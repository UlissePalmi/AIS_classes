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almier\Downloads\"/>
    </mc:Choice>
  </mc:AlternateContent>
  <xr:revisionPtr revIDLastSave="0" documentId="13_ncr:1_{5F98CCB3-50B8-4ACB-8F06-4D081DA9236D}" xr6:coauthVersionLast="47" xr6:coauthVersionMax="47" xr10:uidLastSave="{00000000-0000-0000-0000-000000000000}"/>
  <bookViews>
    <workbookView xWindow="28680" yWindow="-120" windowWidth="29040" windowHeight="15720" activeTab="2" xr2:uid="{C903BE6C-8061-49CA-8602-76D8716F5F43}"/>
  </bookViews>
  <sheets>
    <sheet name="ReturnData" sheetId="1" r:id="rId1"/>
    <sheet name="Momentum Signal" sheetId="2" r:id="rId2"/>
    <sheet name="Monthly Ranks" sheetId="3" r:id="rId3"/>
    <sheet name="HighMomentumPortfolio" sheetId="4" r:id="rId4"/>
    <sheet name="LowMomentumPortfolio" sheetId="5" r:id="rId5"/>
    <sheet name="Other Factor Retur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02" i="5" l="1"/>
  <c r="A601" i="5"/>
  <c r="A600" i="5"/>
  <c r="A599" i="5"/>
  <c r="A598" i="5"/>
  <c r="A597" i="5"/>
  <c r="A596" i="5"/>
  <c r="A595" i="5"/>
  <c r="A594" i="5"/>
  <c r="A593" i="5"/>
  <c r="A592" i="5"/>
  <c r="A591" i="5"/>
  <c r="A602" i="4"/>
  <c r="A601" i="4"/>
  <c r="A600" i="4"/>
  <c r="A599" i="4"/>
  <c r="A598" i="4"/>
  <c r="A597" i="4"/>
  <c r="A596" i="4"/>
  <c r="A595" i="4"/>
  <c r="A594" i="4"/>
  <c r="A593" i="4"/>
  <c r="A592" i="4"/>
  <c r="A591" i="4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A601" i="3" s="1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A599" i="3" s="1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A598" i="3" s="1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A596" i="3" s="1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A595" i="3" s="1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A594" i="3" s="1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A593" i="3" s="1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A590" i="3" s="1"/>
  <c r="A600" i="3"/>
  <c r="A597" i="3"/>
  <c r="A592" i="3"/>
  <c r="A591" i="3"/>
  <c r="Q589" i="2" l="1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4" i="2"/>
  <c r="A4" i="3" s="1"/>
  <c r="A5" i="2"/>
  <c r="A5" i="3" s="1"/>
  <c r="A6" i="2"/>
  <c r="A6" i="3" s="1"/>
  <c r="A7" i="2"/>
  <c r="A7" i="3" s="1"/>
  <c r="A8" i="2"/>
  <c r="A8" i="3" s="1"/>
  <c r="A9" i="2"/>
  <c r="A9" i="3" s="1"/>
  <c r="A10" i="2"/>
  <c r="A10" i="3" s="1"/>
  <c r="A11" i="2"/>
  <c r="A11" i="3" s="1"/>
  <c r="A12" i="2"/>
  <c r="A12" i="3" s="1"/>
  <c r="A13" i="2"/>
  <c r="A13" i="3" s="1"/>
  <c r="A14" i="2"/>
  <c r="A14" i="3" s="1"/>
  <c r="A15" i="2"/>
  <c r="A15" i="3" s="1"/>
  <c r="A16" i="2"/>
  <c r="A16" i="3" s="1"/>
  <c r="A17" i="2"/>
  <c r="A17" i="3" s="1"/>
  <c r="A18" i="2"/>
  <c r="A18" i="3" s="1"/>
  <c r="A19" i="2"/>
  <c r="A19" i="3" s="1"/>
  <c r="A20" i="2"/>
  <c r="A20" i="3" s="1"/>
  <c r="A21" i="2"/>
  <c r="A21" i="3" s="1"/>
  <c r="A22" i="2"/>
  <c r="A22" i="3" s="1"/>
  <c r="A23" i="2"/>
  <c r="A23" i="3" s="1"/>
  <c r="A24" i="2"/>
  <c r="A24" i="3" s="1"/>
  <c r="A25" i="2"/>
  <c r="A25" i="3" s="1"/>
  <c r="A26" i="2"/>
  <c r="A26" i="3" s="1"/>
  <c r="A27" i="2"/>
  <c r="A27" i="3" s="1"/>
  <c r="A28" i="2"/>
  <c r="A28" i="3" s="1"/>
  <c r="A29" i="2"/>
  <c r="A29" i="3" s="1"/>
  <c r="A30" i="2"/>
  <c r="A30" i="3" s="1"/>
  <c r="A31" i="2"/>
  <c r="A31" i="3" s="1"/>
  <c r="A32" i="2"/>
  <c r="A32" i="3" s="1"/>
  <c r="A33" i="2"/>
  <c r="A33" i="3" s="1"/>
  <c r="A34" i="2"/>
  <c r="A34" i="3" s="1"/>
  <c r="A35" i="2"/>
  <c r="A35" i="3" s="1"/>
  <c r="A36" i="2"/>
  <c r="A36" i="3" s="1"/>
  <c r="A37" i="2"/>
  <c r="A37" i="3" s="1"/>
  <c r="A38" i="2"/>
  <c r="A38" i="3" s="1"/>
  <c r="A39" i="2"/>
  <c r="A39" i="3" s="1"/>
  <c r="A40" i="2"/>
  <c r="A40" i="3" s="1"/>
  <c r="A41" i="2"/>
  <c r="A41" i="3" s="1"/>
  <c r="A42" i="2"/>
  <c r="A42" i="3" s="1"/>
  <c r="A43" i="2"/>
  <c r="A43" i="3" s="1"/>
  <c r="A44" i="2"/>
  <c r="A44" i="3" s="1"/>
  <c r="A45" i="2"/>
  <c r="A45" i="3" s="1"/>
  <c r="A46" i="2"/>
  <c r="A46" i="3" s="1"/>
  <c r="A47" i="2"/>
  <c r="A47" i="3" s="1"/>
  <c r="A48" i="2"/>
  <c r="A48" i="3" s="1"/>
  <c r="A49" i="2"/>
  <c r="A49" i="3" s="1"/>
  <c r="A50" i="2"/>
  <c r="A50" i="3" s="1"/>
  <c r="A51" i="2"/>
  <c r="A51" i="3" s="1"/>
  <c r="A52" i="2"/>
  <c r="A52" i="3" s="1"/>
  <c r="A53" i="2"/>
  <c r="A53" i="3" s="1"/>
  <c r="A54" i="2"/>
  <c r="A54" i="3" s="1"/>
  <c r="A55" i="2"/>
  <c r="A55" i="3" s="1"/>
  <c r="A56" i="2"/>
  <c r="A56" i="3" s="1"/>
  <c r="A57" i="2"/>
  <c r="A57" i="3" s="1"/>
  <c r="A58" i="2"/>
  <c r="A58" i="3" s="1"/>
  <c r="A59" i="2"/>
  <c r="A59" i="3" s="1"/>
  <c r="A60" i="2"/>
  <c r="A60" i="3" s="1"/>
  <c r="A61" i="2"/>
  <c r="A61" i="3" s="1"/>
  <c r="A62" i="2"/>
  <c r="A62" i="3" s="1"/>
  <c r="A63" i="2"/>
  <c r="A63" i="3" s="1"/>
  <c r="A64" i="2"/>
  <c r="A64" i="3" s="1"/>
  <c r="A65" i="2"/>
  <c r="A65" i="3" s="1"/>
  <c r="A66" i="2"/>
  <c r="A66" i="3" s="1"/>
  <c r="A67" i="2"/>
  <c r="A67" i="3" s="1"/>
  <c r="A68" i="2"/>
  <c r="A68" i="3" s="1"/>
  <c r="A69" i="2"/>
  <c r="A69" i="3" s="1"/>
  <c r="A70" i="2"/>
  <c r="A70" i="3" s="1"/>
  <c r="A71" i="2"/>
  <c r="A71" i="3" s="1"/>
  <c r="A72" i="2"/>
  <c r="A72" i="3" s="1"/>
  <c r="A73" i="2"/>
  <c r="A73" i="3" s="1"/>
  <c r="A74" i="2"/>
  <c r="A74" i="3" s="1"/>
  <c r="A75" i="2"/>
  <c r="A75" i="3" s="1"/>
  <c r="A76" i="2"/>
  <c r="A76" i="3" s="1"/>
  <c r="A77" i="2"/>
  <c r="A77" i="3" s="1"/>
  <c r="A78" i="2"/>
  <c r="A78" i="3" s="1"/>
  <c r="A79" i="2"/>
  <c r="A79" i="3" s="1"/>
  <c r="A80" i="2"/>
  <c r="A80" i="3" s="1"/>
  <c r="A81" i="2"/>
  <c r="A81" i="3" s="1"/>
  <c r="A82" i="2"/>
  <c r="A82" i="3" s="1"/>
  <c r="A83" i="2"/>
  <c r="A83" i="3" s="1"/>
  <c r="A84" i="2"/>
  <c r="A84" i="3" s="1"/>
  <c r="A85" i="2"/>
  <c r="A85" i="3" s="1"/>
  <c r="A86" i="2"/>
  <c r="A86" i="3" s="1"/>
  <c r="A87" i="2"/>
  <c r="A87" i="3" s="1"/>
  <c r="A88" i="2"/>
  <c r="A88" i="3" s="1"/>
  <c r="A89" i="2"/>
  <c r="A89" i="3" s="1"/>
  <c r="A90" i="2"/>
  <c r="A90" i="3" s="1"/>
  <c r="A91" i="2"/>
  <c r="A91" i="3" s="1"/>
  <c r="A92" i="2"/>
  <c r="A92" i="3" s="1"/>
  <c r="A93" i="2"/>
  <c r="A93" i="3" s="1"/>
  <c r="A94" i="2"/>
  <c r="A94" i="3" s="1"/>
  <c r="A95" i="2"/>
  <c r="A95" i="3" s="1"/>
  <c r="A96" i="2"/>
  <c r="A96" i="3" s="1"/>
  <c r="A97" i="2"/>
  <c r="A97" i="3" s="1"/>
  <c r="A98" i="2"/>
  <c r="A98" i="3" s="1"/>
  <c r="A99" i="2"/>
  <c r="A99" i="3" s="1"/>
  <c r="A100" i="2"/>
  <c r="A100" i="3" s="1"/>
  <c r="A101" i="2"/>
  <c r="A101" i="3" s="1"/>
  <c r="A102" i="2"/>
  <c r="A102" i="3" s="1"/>
  <c r="A103" i="2"/>
  <c r="A103" i="3" s="1"/>
  <c r="A104" i="2"/>
  <c r="A104" i="3" s="1"/>
  <c r="A105" i="2"/>
  <c r="A105" i="3" s="1"/>
  <c r="A106" i="2"/>
  <c r="A106" i="3" s="1"/>
  <c r="A107" i="2"/>
  <c r="A107" i="3" s="1"/>
  <c r="A108" i="2"/>
  <c r="A108" i="3" s="1"/>
  <c r="A109" i="2"/>
  <c r="A109" i="3" s="1"/>
  <c r="A110" i="2"/>
  <c r="A110" i="3" s="1"/>
  <c r="A111" i="2"/>
  <c r="A111" i="3" s="1"/>
  <c r="A112" i="2"/>
  <c r="A112" i="3" s="1"/>
  <c r="A113" i="2"/>
  <c r="A113" i="3" s="1"/>
  <c r="A114" i="2"/>
  <c r="A114" i="3" s="1"/>
  <c r="A115" i="2"/>
  <c r="A115" i="3" s="1"/>
  <c r="A116" i="2"/>
  <c r="A116" i="3" s="1"/>
  <c r="A117" i="2"/>
  <c r="A117" i="3" s="1"/>
  <c r="A118" i="2"/>
  <c r="A118" i="3" s="1"/>
  <c r="A119" i="2"/>
  <c r="A119" i="3" s="1"/>
  <c r="A120" i="2"/>
  <c r="A120" i="3" s="1"/>
  <c r="A121" i="2"/>
  <c r="A121" i="3" s="1"/>
  <c r="A122" i="2"/>
  <c r="A122" i="3" s="1"/>
  <c r="A123" i="2"/>
  <c r="A123" i="3" s="1"/>
  <c r="A124" i="2"/>
  <c r="A124" i="3" s="1"/>
  <c r="A125" i="2"/>
  <c r="A125" i="3" s="1"/>
  <c r="A126" i="2"/>
  <c r="A126" i="3" s="1"/>
  <c r="A127" i="2"/>
  <c r="A127" i="3" s="1"/>
  <c r="A128" i="2"/>
  <c r="A128" i="3" s="1"/>
  <c r="A129" i="2"/>
  <c r="A129" i="3" s="1"/>
  <c r="A130" i="2"/>
  <c r="A130" i="3" s="1"/>
  <c r="A131" i="2"/>
  <c r="A131" i="3" s="1"/>
  <c r="A132" i="2"/>
  <c r="A132" i="3" s="1"/>
  <c r="A133" i="2"/>
  <c r="A133" i="3" s="1"/>
  <c r="A134" i="2"/>
  <c r="A134" i="3" s="1"/>
  <c r="A135" i="2"/>
  <c r="A135" i="3" s="1"/>
  <c r="A136" i="2"/>
  <c r="A136" i="3" s="1"/>
  <c r="A137" i="2"/>
  <c r="A137" i="3" s="1"/>
  <c r="A138" i="2"/>
  <c r="A138" i="3" s="1"/>
  <c r="A139" i="2"/>
  <c r="A139" i="3" s="1"/>
  <c r="A140" i="2"/>
  <c r="A140" i="3" s="1"/>
  <c r="A141" i="2"/>
  <c r="A141" i="3" s="1"/>
  <c r="A142" i="2"/>
  <c r="A142" i="3" s="1"/>
  <c r="A143" i="2"/>
  <c r="A143" i="3" s="1"/>
  <c r="A144" i="2"/>
  <c r="A144" i="3" s="1"/>
  <c r="A145" i="2"/>
  <c r="A145" i="3" s="1"/>
  <c r="A146" i="2"/>
  <c r="A146" i="3" s="1"/>
  <c r="A147" i="2"/>
  <c r="A147" i="3" s="1"/>
  <c r="A148" i="2"/>
  <c r="A148" i="3" s="1"/>
  <c r="A149" i="2"/>
  <c r="A149" i="3" s="1"/>
  <c r="A150" i="2"/>
  <c r="A150" i="3" s="1"/>
  <c r="A151" i="2"/>
  <c r="A151" i="3" s="1"/>
  <c r="A152" i="2"/>
  <c r="A152" i="3" s="1"/>
  <c r="A153" i="2"/>
  <c r="A153" i="3" s="1"/>
  <c r="A154" i="2"/>
  <c r="A154" i="3" s="1"/>
  <c r="A155" i="2"/>
  <c r="A155" i="3" s="1"/>
  <c r="A156" i="2"/>
  <c r="A156" i="3" s="1"/>
  <c r="A157" i="2"/>
  <c r="A157" i="3" s="1"/>
  <c r="A158" i="2"/>
  <c r="A158" i="3" s="1"/>
  <c r="A159" i="2"/>
  <c r="A159" i="3" s="1"/>
  <c r="A160" i="2"/>
  <c r="A160" i="3" s="1"/>
  <c r="A161" i="2"/>
  <c r="A161" i="3" s="1"/>
  <c r="A162" i="2"/>
  <c r="A162" i="3" s="1"/>
  <c r="A163" i="2"/>
  <c r="A163" i="3" s="1"/>
  <c r="A164" i="2"/>
  <c r="A164" i="3" s="1"/>
  <c r="A165" i="2"/>
  <c r="A165" i="3" s="1"/>
  <c r="A166" i="2"/>
  <c r="A166" i="3" s="1"/>
  <c r="A167" i="2"/>
  <c r="A167" i="3" s="1"/>
  <c r="A168" i="2"/>
  <c r="A168" i="3" s="1"/>
  <c r="A169" i="2"/>
  <c r="A169" i="3" s="1"/>
  <c r="A170" i="2"/>
  <c r="A170" i="3" s="1"/>
  <c r="A171" i="2"/>
  <c r="A171" i="3" s="1"/>
  <c r="A172" i="2"/>
  <c r="A172" i="3" s="1"/>
  <c r="A173" i="2"/>
  <c r="A173" i="3" s="1"/>
  <c r="A174" i="2"/>
  <c r="A174" i="3" s="1"/>
  <c r="A175" i="2"/>
  <c r="A175" i="3" s="1"/>
  <c r="A176" i="2"/>
  <c r="A176" i="3" s="1"/>
  <c r="A177" i="2"/>
  <c r="A177" i="3" s="1"/>
  <c r="A178" i="2"/>
  <c r="A178" i="3" s="1"/>
  <c r="A179" i="2"/>
  <c r="A179" i="3" s="1"/>
  <c r="A180" i="2"/>
  <c r="A180" i="3" s="1"/>
  <c r="A181" i="2"/>
  <c r="A181" i="3" s="1"/>
  <c r="A182" i="2"/>
  <c r="A182" i="3" s="1"/>
  <c r="A183" i="2"/>
  <c r="A183" i="3" s="1"/>
  <c r="A184" i="2"/>
  <c r="A184" i="3" s="1"/>
  <c r="A185" i="2"/>
  <c r="A185" i="3" s="1"/>
  <c r="A186" i="2"/>
  <c r="A186" i="3" s="1"/>
  <c r="A187" i="2"/>
  <c r="A187" i="3" s="1"/>
  <c r="A188" i="2"/>
  <c r="A188" i="3" s="1"/>
  <c r="A189" i="2"/>
  <c r="A189" i="3" s="1"/>
  <c r="A190" i="2"/>
  <c r="A190" i="3" s="1"/>
  <c r="A191" i="2"/>
  <c r="A191" i="3" s="1"/>
  <c r="A192" i="2"/>
  <c r="A192" i="3" s="1"/>
  <c r="A193" i="2"/>
  <c r="A193" i="3" s="1"/>
  <c r="A194" i="2"/>
  <c r="A194" i="3" s="1"/>
  <c r="A195" i="2"/>
  <c r="A195" i="3" s="1"/>
  <c r="A196" i="2"/>
  <c r="A196" i="3" s="1"/>
  <c r="A197" i="2"/>
  <c r="A197" i="3" s="1"/>
  <c r="A198" i="2"/>
  <c r="A198" i="3" s="1"/>
  <c r="A199" i="2"/>
  <c r="A199" i="3" s="1"/>
  <c r="A200" i="2"/>
  <c r="A200" i="3" s="1"/>
  <c r="A201" i="2"/>
  <c r="A201" i="3" s="1"/>
  <c r="A202" i="2"/>
  <c r="A202" i="3" s="1"/>
  <c r="A203" i="2"/>
  <c r="A203" i="3" s="1"/>
  <c r="A204" i="2"/>
  <c r="A204" i="3" s="1"/>
  <c r="A205" i="2"/>
  <c r="A205" i="3" s="1"/>
  <c r="A206" i="2"/>
  <c r="A206" i="3" s="1"/>
  <c r="A207" i="2"/>
  <c r="A207" i="3" s="1"/>
  <c r="A208" i="2"/>
  <c r="A208" i="3" s="1"/>
  <c r="A209" i="2"/>
  <c r="A209" i="3" s="1"/>
  <c r="A210" i="2"/>
  <c r="A210" i="3" s="1"/>
  <c r="A211" i="2"/>
  <c r="A211" i="3" s="1"/>
  <c r="A212" i="2"/>
  <c r="A212" i="3" s="1"/>
  <c r="A213" i="2"/>
  <c r="A213" i="3" s="1"/>
  <c r="A214" i="2"/>
  <c r="A214" i="3" s="1"/>
  <c r="A215" i="2"/>
  <c r="A215" i="3" s="1"/>
  <c r="A216" i="2"/>
  <c r="A216" i="3" s="1"/>
  <c r="A217" i="2"/>
  <c r="A217" i="3" s="1"/>
  <c r="A218" i="2"/>
  <c r="A218" i="3" s="1"/>
  <c r="A219" i="2"/>
  <c r="A219" i="3" s="1"/>
  <c r="A220" i="2"/>
  <c r="A220" i="3" s="1"/>
  <c r="A221" i="2"/>
  <c r="A221" i="3" s="1"/>
  <c r="A222" i="2"/>
  <c r="A222" i="3" s="1"/>
  <c r="A223" i="2"/>
  <c r="A223" i="3" s="1"/>
  <c r="A224" i="2"/>
  <c r="A224" i="3" s="1"/>
  <c r="A225" i="2"/>
  <c r="A225" i="3" s="1"/>
  <c r="A226" i="2"/>
  <c r="A226" i="3" s="1"/>
  <c r="A227" i="2"/>
  <c r="A227" i="3" s="1"/>
  <c r="A228" i="2"/>
  <c r="A228" i="3" s="1"/>
  <c r="A229" i="2"/>
  <c r="A229" i="3" s="1"/>
  <c r="A230" i="2"/>
  <c r="A230" i="3" s="1"/>
  <c r="A231" i="2"/>
  <c r="A231" i="3" s="1"/>
  <c r="A232" i="2"/>
  <c r="A232" i="3" s="1"/>
  <c r="A233" i="2"/>
  <c r="A233" i="3" s="1"/>
  <c r="A234" i="2"/>
  <c r="A234" i="3" s="1"/>
  <c r="A235" i="2"/>
  <c r="A235" i="3" s="1"/>
  <c r="A236" i="2"/>
  <c r="A236" i="3" s="1"/>
  <c r="A237" i="2"/>
  <c r="A237" i="3" s="1"/>
  <c r="A238" i="2"/>
  <c r="A238" i="3" s="1"/>
  <c r="A239" i="2"/>
  <c r="A239" i="3" s="1"/>
  <c r="A240" i="2"/>
  <c r="A240" i="3" s="1"/>
  <c r="A241" i="2"/>
  <c r="A241" i="3" s="1"/>
  <c r="A242" i="2"/>
  <c r="A242" i="3" s="1"/>
  <c r="A243" i="2"/>
  <c r="A243" i="3" s="1"/>
  <c r="A244" i="2"/>
  <c r="A244" i="3" s="1"/>
  <c r="A245" i="2"/>
  <c r="A245" i="3" s="1"/>
  <c r="A246" i="2"/>
  <c r="A246" i="3" s="1"/>
  <c r="A247" i="2"/>
  <c r="A247" i="3" s="1"/>
  <c r="A248" i="2"/>
  <c r="A248" i="3" s="1"/>
  <c r="A249" i="2"/>
  <c r="A249" i="3" s="1"/>
  <c r="A250" i="2"/>
  <c r="A250" i="3" s="1"/>
  <c r="A251" i="2"/>
  <c r="A251" i="3" s="1"/>
  <c r="A252" i="2"/>
  <c r="A252" i="3" s="1"/>
  <c r="A253" i="2"/>
  <c r="A253" i="3" s="1"/>
  <c r="A254" i="2"/>
  <c r="A254" i="3" s="1"/>
  <c r="A255" i="2"/>
  <c r="A255" i="3" s="1"/>
  <c r="A256" i="2"/>
  <c r="A256" i="3" s="1"/>
  <c r="A257" i="2"/>
  <c r="A257" i="3" s="1"/>
  <c r="A258" i="2"/>
  <c r="A258" i="3" s="1"/>
  <c r="A259" i="2"/>
  <c r="A259" i="3" s="1"/>
  <c r="A260" i="2"/>
  <c r="A260" i="3" s="1"/>
  <c r="A261" i="2"/>
  <c r="A261" i="3" s="1"/>
  <c r="A262" i="2"/>
  <c r="A262" i="3" s="1"/>
  <c r="A263" i="2"/>
  <c r="A263" i="3" s="1"/>
  <c r="A264" i="2"/>
  <c r="A264" i="3" s="1"/>
  <c r="A265" i="2"/>
  <c r="A265" i="3" s="1"/>
  <c r="A266" i="2"/>
  <c r="A266" i="3" s="1"/>
  <c r="A267" i="2"/>
  <c r="A267" i="3" s="1"/>
  <c r="A268" i="2"/>
  <c r="A268" i="3" s="1"/>
  <c r="A269" i="2"/>
  <c r="A269" i="3" s="1"/>
  <c r="A270" i="2"/>
  <c r="A270" i="3" s="1"/>
  <c r="A271" i="2"/>
  <c r="A271" i="3" s="1"/>
  <c r="A272" i="2"/>
  <c r="A272" i="3" s="1"/>
  <c r="A273" i="2"/>
  <c r="A273" i="3" s="1"/>
  <c r="A274" i="2"/>
  <c r="A274" i="3" s="1"/>
  <c r="A275" i="2"/>
  <c r="A275" i="3" s="1"/>
  <c r="A276" i="2"/>
  <c r="A276" i="3" s="1"/>
  <c r="A277" i="2"/>
  <c r="A277" i="3" s="1"/>
  <c r="A278" i="2"/>
  <c r="A278" i="3" s="1"/>
  <c r="A279" i="2"/>
  <c r="A279" i="3" s="1"/>
  <c r="A280" i="2"/>
  <c r="A280" i="3" s="1"/>
  <c r="A281" i="2"/>
  <c r="A281" i="3" s="1"/>
  <c r="A282" i="2"/>
  <c r="A282" i="3" s="1"/>
  <c r="A283" i="2"/>
  <c r="A283" i="3" s="1"/>
  <c r="A284" i="2"/>
  <c r="A284" i="3" s="1"/>
  <c r="A285" i="2"/>
  <c r="A285" i="3" s="1"/>
  <c r="A286" i="2"/>
  <c r="A286" i="3" s="1"/>
  <c r="A287" i="2"/>
  <c r="A287" i="3" s="1"/>
  <c r="A288" i="2"/>
  <c r="A288" i="3" s="1"/>
  <c r="A289" i="2"/>
  <c r="A289" i="3" s="1"/>
  <c r="A290" i="2"/>
  <c r="A290" i="3" s="1"/>
  <c r="A291" i="2"/>
  <c r="A291" i="3" s="1"/>
  <c r="A292" i="2"/>
  <c r="A292" i="3" s="1"/>
  <c r="A293" i="2"/>
  <c r="A293" i="3" s="1"/>
  <c r="A294" i="2"/>
  <c r="A294" i="3" s="1"/>
  <c r="A295" i="2"/>
  <c r="A295" i="3" s="1"/>
  <c r="A296" i="2"/>
  <c r="A296" i="3" s="1"/>
  <c r="A297" i="2"/>
  <c r="A297" i="3" s="1"/>
  <c r="A298" i="2"/>
  <c r="A298" i="3" s="1"/>
  <c r="A299" i="2"/>
  <c r="A299" i="3" s="1"/>
  <c r="A300" i="2"/>
  <c r="A300" i="3" s="1"/>
  <c r="A301" i="2"/>
  <c r="A301" i="3" s="1"/>
  <c r="A302" i="2"/>
  <c r="A302" i="3" s="1"/>
  <c r="A303" i="2"/>
  <c r="A303" i="3" s="1"/>
  <c r="A304" i="2"/>
  <c r="A304" i="3" s="1"/>
  <c r="A305" i="2"/>
  <c r="A305" i="3" s="1"/>
  <c r="A306" i="2"/>
  <c r="A306" i="3" s="1"/>
  <c r="A307" i="2"/>
  <c r="A307" i="3" s="1"/>
  <c r="A308" i="2"/>
  <c r="A308" i="3" s="1"/>
  <c r="A309" i="2"/>
  <c r="A309" i="3" s="1"/>
  <c r="A310" i="2"/>
  <c r="A310" i="3" s="1"/>
  <c r="A311" i="2"/>
  <c r="A311" i="3" s="1"/>
  <c r="A312" i="2"/>
  <c r="A312" i="3" s="1"/>
  <c r="A313" i="2"/>
  <c r="A313" i="3" s="1"/>
  <c r="A314" i="2"/>
  <c r="A314" i="3" s="1"/>
  <c r="A315" i="2"/>
  <c r="A315" i="3" s="1"/>
  <c r="A316" i="2"/>
  <c r="A316" i="3" s="1"/>
  <c r="A317" i="2"/>
  <c r="A317" i="3" s="1"/>
  <c r="A318" i="2"/>
  <c r="A318" i="3" s="1"/>
  <c r="A319" i="2"/>
  <c r="A319" i="3" s="1"/>
  <c r="A320" i="2"/>
  <c r="A320" i="3" s="1"/>
  <c r="A321" i="2"/>
  <c r="A321" i="3" s="1"/>
  <c r="A322" i="2"/>
  <c r="A322" i="3" s="1"/>
  <c r="A323" i="2"/>
  <c r="A323" i="3" s="1"/>
  <c r="A324" i="2"/>
  <c r="A324" i="3" s="1"/>
  <c r="A325" i="2"/>
  <c r="A325" i="3" s="1"/>
  <c r="A326" i="2"/>
  <c r="A326" i="3" s="1"/>
  <c r="A327" i="2"/>
  <c r="A327" i="3" s="1"/>
  <c r="A328" i="2"/>
  <c r="A328" i="3" s="1"/>
  <c r="A329" i="2"/>
  <c r="A329" i="3" s="1"/>
  <c r="A330" i="2"/>
  <c r="A330" i="3" s="1"/>
  <c r="A331" i="2"/>
  <c r="A331" i="3" s="1"/>
  <c r="A332" i="2"/>
  <c r="A332" i="3" s="1"/>
  <c r="A333" i="2"/>
  <c r="A333" i="3" s="1"/>
  <c r="A334" i="2"/>
  <c r="A334" i="3" s="1"/>
  <c r="A335" i="2"/>
  <c r="A335" i="3" s="1"/>
  <c r="A336" i="2"/>
  <c r="A336" i="3" s="1"/>
  <c r="A337" i="2"/>
  <c r="A337" i="3" s="1"/>
  <c r="A338" i="2"/>
  <c r="A338" i="3" s="1"/>
  <c r="A339" i="2"/>
  <c r="A339" i="3" s="1"/>
  <c r="A340" i="2"/>
  <c r="A340" i="3" s="1"/>
  <c r="A341" i="2"/>
  <c r="A341" i="3" s="1"/>
  <c r="A342" i="2"/>
  <c r="A342" i="3" s="1"/>
  <c r="A343" i="2"/>
  <c r="A343" i="3" s="1"/>
  <c r="A344" i="2"/>
  <c r="A344" i="3" s="1"/>
  <c r="A345" i="2"/>
  <c r="A345" i="3" s="1"/>
  <c r="A346" i="2"/>
  <c r="A346" i="3" s="1"/>
  <c r="A347" i="2"/>
  <c r="A347" i="3" s="1"/>
  <c r="A348" i="2"/>
  <c r="A348" i="3" s="1"/>
  <c r="A349" i="2"/>
  <c r="A349" i="3" s="1"/>
  <c r="A350" i="2"/>
  <c r="A350" i="3" s="1"/>
  <c r="A351" i="2"/>
  <c r="A351" i="3" s="1"/>
  <c r="A352" i="2"/>
  <c r="A352" i="3" s="1"/>
  <c r="A353" i="2"/>
  <c r="A353" i="3" s="1"/>
  <c r="A354" i="2"/>
  <c r="A354" i="3" s="1"/>
  <c r="A355" i="2"/>
  <c r="A355" i="3" s="1"/>
  <c r="A356" i="2"/>
  <c r="A356" i="3" s="1"/>
  <c r="A357" i="2"/>
  <c r="A357" i="3" s="1"/>
  <c r="A358" i="2"/>
  <c r="A358" i="3" s="1"/>
  <c r="A359" i="2"/>
  <c r="A359" i="3" s="1"/>
  <c r="A360" i="2"/>
  <c r="A360" i="3" s="1"/>
  <c r="A361" i="2"/>
  <c r="A361" i="3" s="1"/>
  <c r="A362" i="2"/>
  <c r="A362" i="3" s="1"/>
  <c r="A363" i="2"/>
  <c r="A363" i="3" s="1"/>
  <c r="A364" i="2"/>
  <c r="A364" i="3" s="1"/>
  <c r="A365" i="2"/>
  <c r="A365" i="3" s="1"/>
  <c r="A366" i="2"/>
  <c r="A366" i="3" s="1"/>
  <c r="A367" i="2"/>
  <c r="A367" i="3" s="1"/>
  <c r="A368" i="2"/>
  <c r="A368" i="3" s="1"/>
  <c r="A369" i="2"/>
  <c r="A369" i="3" s="1"/>
  <c r="A370" i="2"/>
  <c r="A370" i="3" s="1"/>
  <c r="A371" i="2"/>
  <c r="A371" i="3" s="1"/>
  <c r="A372" i="2"/>
  <c r="A372" i="3" s="1"/>
  <c r="A373" i="2"/>
  <c r="A373" i="3" s="1"/>
  <c r="A374" i="2"/>
  <c r="A374" i="3" s="1"/>
  <c r="A375" i="2"/>
  <c r="A375" i="3" s="1"/>
  <c r="A376" i="2"/>
  <c r="A376" i="3" s="1"/>
  <c r="A377" i="2"/>
  <c r="A377" i="3" s="1"/>
  <c r="A378" i="2"/>
  <c r="A378" i="3" s="1"/>
  <c r="A379" i="2"/>
  <c r="A379" i="3" s="1"/>
  <c r="A380" i="2"/>
  <c r="A380" i="3" s="1"/>
  <c r="A381" i="2"/>
  <c r="A381" i="3" s="1"/>
  <c r="A382" i="2"/>
  <c r="A382" i="3" s="1"/>
  <c r="A383" i="2"/>
  <c r="A383" i="3" s="1"/>
  <c r="A384" i="2"/>
  <c r="A384" i="3" s="1"/>
  <c r="A385" i="2"/>
  <c r="A385" i="3" s="1"/>
  <c r="A386" i="2"/>
  <c r="A386" i="3" s="1"/>
  <c r="A387" i="2"/>
  <c r="A387" i="3" s="1"/>
  <c r="A388" i="2"/>
  <c r="A388" i="3" s="1"/>
  <c r="A389" i="2"/>
  <c r="A389" i="3" s="1"/>
  <c r="A390" i="2"/>
  <c r="A390" i="3" s="1"/>
  <c r="A391" i="2"/>
  <c r="A391" i="3" s="1"/>
  <c r="A392" i="2"/>
  <c r="A392" i="3" s="1"/>
  <c r="A393" i="2"/>
  <c r="A393" i="3" s="1"/>
  <c r="A394" i="2"/>
  <c r="A394" i="3" s="1"/>
  <c r="A395" i="2"/>
  <c r="A395" i="3" s="1"/>
  <c r="A396" i="2"/>
  <c r="A396" i="3" s="1"/>
  <c r="A397" i="2"/>
  <c r="A397" i="3" s="1"/>
  <c r="A398" i="2"/>
  <c r="A398" i="3" s="1"/>
  <c r="A399" i="2"/>
  <c r="A399" i="3" s="1"/>
  <c r="A400" i="2"/>
  <c r="A400" i="3" s="1"/>
  <c r="A401" i="2"/>
  <c r="A401" i="3" s="1"/>
  <c r="A402" i="2"/>
  <c r="A402" i="3" s="1"/>
  <c r="A403" i="2"/>
  <c r="A403" i="3" s="1"/>
  <c r="A404" i="2"/>
  <c r="A404" i="3" s="1"/>
  <c r="A405" i="2"/>
  <c r="A405" i="3" s="1"/>
  <c r="A406" i="2"/>
  <c r="A406" i="3" s="1"/>
  <c r="A407" i="2"/>
  <c r="A407" i="3" s="1"/>
  <c r="A408" i="2"/>
  <c r="A408" i="3" s="1"/>
  <c r="A409" i="2"/>
  <c r="A409" i="3" s="1"/>
  <c r="A410" i="2"/>
  <c r="A410" i="3" s="1"/>
  <c r="A411" i="2"/>
  <c r="A411" i="3" s="1"/>
  <c r="A412" i="2"/>
  <c r="A412" i="3" s="1"/>
  <c r="A413" i="2"/>
  <c r="A413" i="3" s="1"/>
  <c r="A414" i="2"/>
  <c r="A414" i="3" s="1"/>
  <c r="A415" i="2"/>
  <c r="A415" i="3" s="1"/>
  <c r="A416" i="2"/>
  <c r="A416" i="3" s="1"/>
  <c r="A417" i="2"/>
  <c r="A417" i="3" s="1"/>
  <c r="A418" i="2"/>
  <c r="A418" i="3" s="1"/>
  <c r="A419" i="2"/>
  <c r="A419" i="3" s="1"/>
  <c r="A420" i="2"/>
  <c r="A420" i="3" s="1"/>
  <c r="A421" i="2"/>
  <c r="A421" i="3" s="1"/>
  <c r="A422" i="2"/>
  <c r="A422" i="3" s="1"/>
  <c r="A423" i="2"/>
  <c r="A423" i="3" s="1"/>
  <c r="A424" i="2"/>
  <c r="A424" i="3" s="1"/>
  <c r="A425" i="2"/>
  <c r="A425" i="3" s="1"/>
  <c r="A426" i="2"/>
  <c r="A426" i="3" s="1"/>
  <c r="A427" i="2"/>
  <c r="A427" i="3" s="1"/>
  <c r="A428" i="2"/>
  <c r="A428" i="3" s="1"/>
  <c r="A429" i="2"/>
  <c r="A429" i="3" s="1"/>
  <c r="A430" i="2"/>
  <c r="A430" i="3" s="1"/>
  <c r="A431" i="2"/>
  <c r="A431" i="3" s="1"/>
  <c r="A432" i="2"/>
  <c r="A432" i="3" s="1"/>
  <c r="A433" i="2"/>
  <c r="A433" i="3" s="1"/>
  <c r="A434" i="2"/>
  <c r="A434" i="3" s="1"/>
  <c r="A435" i="2"/>
  <c r="A435" i="3" s="1"/>
  <c r="A436" i="2"/>
  <c r="A436" i="3" s="1"/>
  <c r="A437" i="2"/>
  <c r="A437" i="3" s="1"/>
  <c r="A438" i="2"/>
  <c r="A438" i="3" s="1"/>
  <c r="A439" i="2"/>
  <c r="A439" i="3" s="1"/>
  <c r="A440" i="2"/>
  <c r="A440" i="3" s="1"/>
  <c r="A441" i="2"/>
  <c r="A441" i="3" s="1"/>
  <c r="A442" i="2"/>
  <c r="A442" i="3" s="1"/>
  <c r="A443" i="2"/>
  <c r="A443" i="3" s="1"/>
  <c r="A444" i="2"/>
  <c r="A444" i="3" s="1"/>
  <c r="A445" i="2"/>
  <c r="A445" i="3" s="1"/>
  <c r="A446" i="2"/>
  <c r="A446" i="3" s="1"/>
  <c r="A447" i="2"/>
  <c r="A447" i="3" s="1"/>
  <c r="A448" i="2"/>
  <c r="A448" i="3" s="1"/>
  <c r="A449" i="2"/>
  <c r="A449" i="3" s="1"/>
  <c r="A450" i="2"/>
  <c r="A450" i="3" s="1"/>
  <c r="A451" i="2"/>
  <c r="A451" i="3" s="1"/>
  <c r="A452" i="2"/>
  <c r="A452" i="3" s="1"/>
  <c r="A453" i="2"/>
  <c r="A453" i="3" s="1"/>
  <c r="A454" i="2"/>
  <c r="A454" i="3" s="1"/>
  <c r="A455" i="2"/>
  <c r="A455" i="3" s="1"/>
  <c r="A456" i="2"/>
  <c r="A456" i="3" s="1"/>
  <c r="A457" i="2"/>
  <c r="A457" i="3" s="1"/>
  <c r="A458" i="2"/>
  <c r="A458" i="3" s="1"/>
  <c r="A459" i="2"/>
  <c r="A459" i="3" s="1"/>
  <c r="A460" i="2"/>
  <c r="A460" i="3" s="1"/>
  <c r="A461" i="2"/>
  <c r="A461" i="3" s="1"/>
  <c r="A462" i="2"/>
  <c r="A462" i="3" s="1"/>
  <c r="A463" i="2"/>
  <c r="A463" i="3" s="1"/>
  <c r="A464" i="2"/>
  <c r="A464" i="3" s="1"/>
  <c r="A465" i="2"/>
  <c r="A465" i="3" s="1"/>
  <c r="A466" i="2"/>
  <c r="A466" i="3" s="1"/>
  <c r="A467" i="2"/>
  <c r="A467" i="3" s="1"/>
  <c r="A468" i="2"/>
  <c r="A468" i="3" s="1"/>
  <c r="A469" i="2"/>
  <c r="A469" i="3" s="1"/>
  <c r="A470" i="2"/>
  <c r="A470" i="3" s="1"/>
  <c r="A471" i="2"/>
  <c r="A471" i="3" s="1"/>
  <c r="A472" i="2"/>
  <c r="A472" i="3" s="1"/>
  <c r="A473" i="2"/>
  <c r="A473" i="3" s="1"/>
  <c r="A474" i="2"/>
  <c r="A474" i="3" s="1"/>
  <c r="A475" i="2"/>
  <c r="A475" i="3" s="1"/>
  <c r="A476" i="2"/>
  <c r="A476" i="3" s="1"/>
  <c r="A477" i="2"/>
  <c r="A477" i="3" s="1"/>
  <c r="A478" i="2"/>
  <c r="A478" i="3" s="1"/>
  <c r="A479" i="2"/>
  <c r="A479" i="3" s="1"/>
  <c r="A480" i="2"/>
  <c r="A480" i="3" s="1"/>
  <c r="A481" i="2"/>
  <c r="A481" i="3" s="1"/>
  <c r="A482" i="2"/>
  <c r="A482" i="3" s="1"/>
  <c r="A483" i="2"/>
  <c r="A483" i="3" s="1"/>
  <c r="A484" i="2"/>
  <c r="A484" i="3" s="1"/>
  <c r="A485" i="2"/>
  <c r="A485" i="3" s="1"/>
  <c r="A486" i="2"/>
  <c r="A486" i="3" s="1"/>
  <c r="A487" i="2"/>
  <c r="A487" i="3" s="1"/>
  <c r="A488" i="2"/>
  <c r="A488" i="3" s="1"/>
  <c r="A489" i="2"/>
  <c r="A489" i="3" s="1"/>
  <c r="A490" i="2"/>
  <c r="A490" i="3" s="1"/>
  <c r="A491" i="2"/>
  <c r="A491" i="3" s="1"/>
  <c r="A492" i="2"/>
  <c r="A492" i="3" s="1"/>
  <c r="A493" i="2"/>
  <c r="A493" i="3" s="1"/>
  <c r="A494" i="2"/>
  <c r="A494" i="3" s="1"/>
  <c r="A495" i="2"/>
  <c r="A495" i="3" s="1"/>
  <c r="A496" i="2"/>
  <c r="A496" i="3" s="1"/>
  <c r="A497" i="2"/>
  <c r="A497" i="3" s="1"/>
  <c r="A498" i="2"/>
  <c r="A498" i="3" s="1"/>
  <c r="A499" i="2"/>
  <c r="A499" i="3" s="1"/>
  <c r="A500" i="2"/>
  <c r="A500" i="3" s="1"/>
  <c r="A501" i="2"/>
  <c r="A501" i="3" s="1"/>
  <c r="A502" i="2"/>
  <c r="A502" i="3" s="1"/>
  <c r="A503" i="2"/>
  <c r="A503" i="3" s="1"/>
  <c r="A504" i="2"/>
  <c r="A504" i="3" s="1"/>
  <c r="A505" i="2"/>
  <c r="A505" i="3" s="1"/>
  <c r="A506" i="2"/>
  <c r="A506" i="3" s="1"/>
  <c r="A507" i="2"/>
  <c r="A507" i="3" s="1"/>
  <c r="A508" i="2"/>
  <c r="A508" i="3" s="1"/>
  <c r="A509" i="2"/>
  <c r="A509" i="3" s="1"/>
  <c r="A510" i="2"/>
  <c r="A510" i="3" s="1"/>
  <c r="A511" i="2"/>
  <c r="A511" i="3" s="1"/>
  <c r="A512" i="2"/>
  <c r="A512" i="3" s="1"/>
  <c r="A513" i="2"/>
  <c r="A513" i="3" s="1"/>
  <c r="A514" i="2"/>
  <c r="A514" i="3" s="1"/>
  <c r="A515" i="2"/>
  <c r="A515" i="3" s="1"/>
  <c r="A516" i="2"/>
  <c r="A516" i="3" s="1"/>
  <c r="A517" i="2"/>
  <c r="A517" i="3" s="1"/>
  <c r="A518" i="2"/>
  <c r="A518" i="3" s="1"/>
  <c r="A519" i="2"/>
  <c r="A519" i="3" s="1"/>
  <c r="A520" i="2"/>
  <c r="A520" i="3" s="1"/>
  <c r="A521" i="2"/>
  <c r="A521" i="3" s="1"/>
  <c r="A522" i="2"/>
  <c r="A522" i="3" s="1"/>
  <c r="A523" i="2"/>
  <c r="A523" i="3" s="1"/>
  <c r="A524" i="2"/>
  <c r="A524" i="3" s="1"/>
  <c r="A525" i="2"/>
  <c r="A525" i="3" s="1"/>
  <c r="A526" i="2"/>
  <c r="A526" i="3" s="1"/>
  <c r="A527" i="2"/>
  <c r="A527" i="3" s="1"/>
  <c r="A528" i="2"/>
  <c r="A528" i="3" s="1"/>
  <c r="A529" i="2"/>
  <c r="A529" i="3" s="1"/>
  <c r="A530" i="2"/>
  <c r="A530" i="3" s="1"/>
  <c r="A531" i="2"/>
  <c r="A531" i="3" s="1"/>
  <c r="A532" i="2"/>
  <c r="A532" i="3" s="1"/>
  <c r="A533" i="2"/>
  <c r="A533" i="3" s="1"/>
  <c r="A534" i="2"/>
  <c r="A534" i="3" s="1"/>
  <c r="A535" i="2"/>
  <c r="A535" i="3" s="1"/>
  <c r="A536" i="2"/>
  <c r="A536" i="3" s="1"/>
  <c r="A537" i="2"/>
  <c r="A537" i="3" s="1"/>
  <c r="A538" i="2"/>
  <c r="A538" i="3" s="1"/>
  <c r="A539" i="2"/>
  <c r="A539" i="3" s="1"/>
  <c r="A540" i="2"/>
  <c r="A540" i="3" s="1"/>
  <c r="A541" i="2"/>
  <c r="A541" i="3" s="1"/>
  <c r="A542" i="2"/>
  <c r="A542" i="3" s="1"/>
  <c r="A543" i="2"/>
  <c r="A543" i="3" s="1"/>
  <c r="A544" i="2"/>
  <c r="A544" i="3" s="1"/>
  <c r="A545" i="2"/>
  <c r="A545" i="3" s="1"/>
  <c r="A546" i="2"/>
  <c r="A546" i="3" s="1"/>
  <c r="A547" i="2"/>
  <c r="A547" i="3" s="1"/>
  <c r="A548" i="2"/>
  <c r="A548" i="3" s="1"/>
  <c r="A549" i="2"/>
  <c r="A549" i="3" s="1"/>
  <c r="A550" i="2"/>
  <c r="A550" i="3" s="1"/>
  <c r="A551" i="2"/>
  <c r="A551" i="3" s="1"/>
  <c r="A552" i="2"/>
  <c r="A552" i="3" s="1"/>
  <c r="A553" i="2"/>
  <c r="A553" i="3" s="1"/>
  <c r="A554" i="2"/>
  <c r="A554" i="3" s="1"/>
  <c r="A555" i="2"/>
  <c r="A555" i="3" s="1"/>
  <c r="A556" i="2"/>
  <c r="A556" i="3" s="1"/>
  <c r="A557" i="2"/>
  <c r="A557" i="3" s="1"/>
  <c r="A558" i="2"/>
  <c r="A558" i="3" s="1"/>
  <c r="A559" i="2"/>
  <c r="A559" i="3" s="1"/>
  <c r="A560" i="2"/>
  <c r="A560" i="3" s="1"/>
  <c r="A561" i="2"/>
  <c r="A561" i="3" s="1"/>
  <c r="A562" i="2"/>
  <c r="A562" i="3" s="1"/>
  <c r="A563" i="2"/>
  <c r="A563" i="3" s="1"/>
  <c r="A564" i="2"/>
  <c r="A564" i="3" s="1"/>
  <c r="A565" i="2"/>
  <c r="A565" i="3" s="1"/>
  <c r="A566" i="2"/>
  <c r="A566" i="3" s="1"/>
  <c r="A567" i="2"/>
  <c r="A567" i="3" s="1"/>
  <c r="A568" i="2"/>
  <c r="A568" i="3" s="1"/>
  <c r="A569" i="2"/>
  <c r="A569" i="3" s="1"/>
  <c r="A570" i="2"/>
  <c r="A570" i="3" s="1"/>
  <c r="A571" i="2"/>
  <c r="A571" i="3" s="1"/>
  <c r="A572" i="2"/>
  <c r="A572" i="3" s="1"/>
  <c r="A573" i="2"/>
  <c r="A573" i="3" s="1"/>
  <c r="A574" i="2"/>
  <c r="A574" i="3" s="1"/>
  <c r="A575" i="2"/>
  <c r="A575" i="3" s="1"/>
  <c r="A576" i="2"/>
  <c r="A576" i="3" s="1"/>
  <c r="A577" i="2"/>
  <c r="A577" i="3" s="1"/>
  <c r="A578" i="2"/>
  <c r="A578" i="3" s="1"/>
  <c r="A579" i="2"/>
  <c r="A579" i="3" s="1"/>
  <c r="A580" i="2"/>
  <c r="A580" i="3" s="1"/>
  <c r="A581" i="2"/>
  <c r="A581" i="3" s="1"/>
  <c r="A582" i="2"/>
  <c r="A582" i="3" s="1"/>
  <c r="A583" i="2"/>
  <c r="A583" i="3" s="1"/>
  <c r="A584" i="2"/>
  <c r="A584" i="3" s="1"/>
  <c r="A585" i="2"/>
  <c r="A585" i="3" s="1"/>
  <c r="A586" i="2"/>
  <c r="A586" i="3" s="1"/>
  <c r="A587" i="2"/>
  <c r="A587" i="3" s="1"/>
  <c r="A588" i="2"/>
  <c r="A588" i="3" s="1"/>
  <c r="A589" i="2"/>
  <c r="A589" i="3" s="1"/>
  <c r="A3" i="2"/>
  <c r="A3" i="3" s="1"/>
  <c r="A2" i="2"/>
  <c r="A2" i="3" s="1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A483" i="5"/>
  <c r="S483" i="5" s="1"/>
  <c r="AK483" i="5" s="1"/>
  <c r="A484" i="5"/>
  <c r="S484" i="5" s="1"/>
  <c r="AK484" i="5" s="1"/>
  <c r="A485" i="5"/>
  <c r="S485" i="5" s="1"/>
  <c r="AK485" i="5" s="1"/>
  <c r="A486" i="5"/>
  <c r="S486" i="5" s="1"/>
  <c r="AK486" i="5" s="1"/>
  <c r="A487" i="5"/>
  <c r="S487" i="5" s="1"/>
  <c r="AK487" i="5" s="1"/>
  <c r="A488" i="5"/>
  <c r="S488" i="5" s="1"/>
  <c r="AK488" i="5" s="1"/>
  <c r="A489" i="5"/>
  <c r="S489" i="5" s="1"/>
  <c r="AK489" i="5" s="1"/>
  <c r="A490" i="5"/>
  <c r="S490" i="5" s="1"/>
  <c r="AK490" i="5" s="1"/>
  <c r="A491" i="5"/>
  <c r="S491" i="5" s="1"/>
  <c r="AK491" i="5" s="1"/>
  <c r="A492" i="5"/>
  <c r="S492" i="5" s="1"/>
  <c r="AK492" i="5" s="1"/>
  <c r="A493" i="5"/>
  <c r="S493" i="5" s="1"/>
  <c r="AK493" i="5" s="1"/>
  <c r="A494" i="5"/>
  <c r="S494" i="5" s="1"/>
  <c r="AK494" i="5" s="1"/>
  <c r="A495" i="5"/>
  <c r="S495" i="5" s="1"/>
  <c r="AK495" i="5" s="1"/>
  <c r="A496" i="5"/>
  <c r="S496" i="5" s="1"/>
  <c r="AK496" i="5" s="1"/>
  <c r="A497" i="5"/>
  <c r="S497" i="5" s="1"/>
  <c r="AK497" i="5" s="1"/>
  <c r="A498" i="5"/>
  <c r="S498" i="5" s="1"/>
  <c r="AK498" i="5" s="1"/>
  <c r="A499" i="5"/>
  <c r="S499" i="5" s="1"/>
  <c r="AK499" i="5" s="1"/>
  <c r="A500" i="5"/>
  <c r="S500" i="5" s="1"/>
  <c r="AK500" i="5" s="1"/>
  <c r="A501" i="5"/>
  <c r="S501" i="5" s="1"/>
  <c r="AK501" i="5" s="1"/>
  <c r="A502" i="5"/>
  <c r="S502" i="5" s="1"/>
  <c r="AK502" i="5" s="1"/>
  <c r="A503" i="5"/>
  <c r="S503" i="5" s="1"/>
  <c r="AK503" i="5" s="1"/>
  <c r="A504" i="5"/>
  <c r="S504" i="5" s="1"/>
  <c r="AK504" i="5" s="1"/>
  <c r="A505" i="5"/>
  <c r="S505" i="5" s="1"/>
  <c r="AK505" i="5" s="1"/>
  <c r="A506" i="5"/>
  <c r="S506" i="5" s="1"/>
  <c r="AK506" i="5" s="1"/>
  <c r="A507" i="5"/>
  <c r="S507" i="5" s="1"/>
  <c r="AK507" i="5" s="1"/>
  <c r="A508" i="5"/>
  <c r="S508" i="5" s="1"/>
  <c r="AK508" i="5" s="1"/>
  <c r="A509" i="5"/>
  <c r="S509" i="5" s="1"/>
  <c r="AK509" i="5" s="1"/>
  <c r="A510" i="5"/>
  <c r="S510" i="5" s="1"/>
  <c r="AK510" i="5" s="1"/>
  <c r="A511" i="5"/>
  <c r="S511" i="5" s="1"/>
  <c r="AK511" i="5" s="1"/>
  <c r="A512" i="5"/>
  <c r="S512" i="5" s="1"/>
  <c r="AK512" i="5" s="1"/>
  <c r="A513" i="5"/>
  <c r="S513" i="5" s="1"/>
  <c r="AK513" i="5" s="1"/>
  <c r="A514" i="5"/>
  <c r="S514" i="5" s="1"/>
  <c r="AK514" i="5" s="1"/>
  <c r="A515" i="5"/>
  <c r="S515" i="5" s="1"/>
  <c r="AK515" i="5" s="1"/>
  <c r="A516" i="5"/>
  <c r="S516" i="5" s="1"/>
  <c r="AK516" i="5" s="1"/>
  <c r="A517" i="5"/>
  <c r="S517" i="5" s="1"/>
  <c r="AK517" i="5" s="1"/>
  <c r="A518" i="5"/>
  <c r="S518" i="5" s="1"/>
  <c r="AK518" i="5" s="1"/>
  <c r="A519" i="5"/>
  <c r="S519" i="5" s="1"/>
  <c r="AK519" i="5" s="1"/>
  <c r="A520" i="5"/>
  <c r="S520" i="5" s="1"/>
  <c r="AK520" i="5" s="1"/>
  <c r="A521" i="5"/>
  <c r="S521" i="5" s="1"/>
  <c r="AK521" i="5" s="1"/>
  <c r="A522" i="5"/>
  <c r="S522" i="5" s="1"/>
  <c r="AK522" i="5" s="1"/>
  <c r="A523" i="5"/>
  <c r="S523" i="5" s="1"/>
  <c r="AK523" i="5" s="1"/>
  <c r="A524" i="5"/>
  <c r="S524" i="5" s="1"/>
  <c r="AK524" i="5" s="1"/>
  <c r="A525" i="5"/>
  <c r="S525" i="5" s="1"/>
  <c r="AK525" i="5" s="1"/>
  <c r="A526" i="5"/>
  <c r="S526" i="5"/>
  <c r="AK526" i="5" s="1"/>
  <c r="A527" i="5"/>
  <c r="S527" i="5" s="1"/>
  <c r="AK527" i="5" s="1"/>
  <c r="A528" i="5"/>
  <c r="S528" i="5" s="1"/>
  <c r="AK528" i="5" s="1"/>
  <c r="A529" i="5"/>
  <c r="S529" i="5" s="1"/>
  <c r="AK529" i="5" s="1"/>
  <c r="A530" i="5"/>
  <c r="S530" i="5" s="1"/>
  <c r="AK530" i="5" s="1"/>
  <c r="A531" i="5"/>
  <c r="S531" i="5" s="1"/>
  <c r="AK531" i="5" s="1"/>
  <c r="A532" i="5"/>
  <c r="S532" i="5" s="1"/>
  <c r="AK532" i="5" s="1"/>
  <c r="A533" i="5"/>
  <c r="S533" i="5" s="1"/>
  <c r="AK533" i="5" s="1"/>
  <c r="A534" i="5"/>
  <c r="S534" i="5" s="1"/>
  <c r="AK534" i="5" s="1"/>
  <c r="A535" i="5"/>
  <c r="S535" i="5" s="1"/>
  <c r="AK535" i="5" s="1"/>
  <c r="A536" i="5"/>
  <c r="S536" i="5" s="1"/>
  <c r="AK536" i="5" s="1"/>
  <c r="A537" i="5"/>
  <c r="S537" i="5" s="1"/>
  <c r="AK537" i="5" s="1"/>
  <c r="A538" i="5"/>
  <c r="S538" i="5" s="1"/>
  <c r="AK538" i="5" s="1"/>
  <c r="A539" i="5"/>
  <c r="S539" i="5" s="1"/>
  <c r="AK539" i="5" s="1"/>
  <c r="A540" i="5"/>
  <c r="S540" i="5" s="1"/>
  <c r="AK540" i="5" s="1"/>
  <c r="A541" i="5"/>
  <c r="S541" i="5" s="1"/>
  <c r="AK541" i="5" s="1"/>
  <c r="A542" i="5"/>
  <c r="S542" i="5" s="1"/>
  <c r="AK542" i="5" s="1"/>
  <c r="A543" i="5"/>
  <c r="S543" i="5" s="1"/>
  <c r="AK543" i="5" s="1"/>
  <c r="A544" i="5"/>
  <c r="S544" i="5" s="1"/>
  <c r="AK544" i="5" s="1"/>
  <c r="A545" i="5"/>
  <c r="S545" i="5" s="1"/>
  <c r="AK545" i="5" s="1"/>
  <c r="A546" i="5"/>
  <c r="S546" i="5" s="1"/>
  <c r="AK546" i="5" s="1"/>
  <c r="A547" i="5"/>
  <c r="S547" i="5" s="1"/>
  <c r="AK547" i="5" s="1"/>
  <c r="A548" i="5"/>
  <c r="S548" i="5" s="1"/>
  <c r="AK548" i="5" s="1"/>
  <c r="A549" i="5"/>
  <c r="S549" i="5" s="1"/>
  <c r="AK549" i="5" s="1"/>
  <c r="A550" i="5"/>
  <c r="S550" i="5" s="1"/>
  <c r="AK550" i="5" s="1"/>
  <c r="A551" i="5"/>
  <c r="S551" i="5" s="1"/>
  <c r="AK551" i="5" s="1"/>
  <c r="A552" i="5"/>
  <c r="S552" i="5" s="1"/>
  <c r="AK552" i="5" s="1"/>
  <c r="A553" i="5"/>
  <c r="S553" i="5" s="1"/>
  <c r="AK553" i="5" s="1"/>
  <c r="A554" i="5"/>
  <c r="S554" i="5" s="1"/>
  <c r="AK554" i="5" s="1"/>
  <c r="A555" i="5"/>
  <c r="S555" i="5" s="1"/>
  <c r="AK555" i="5" s="1"/>
  <c r="A556" i="5"/>
  <c r="S556" i="5" s="1"/>
  <c r="AK556" i="5" s="1"/>
  <c r="A557" i="5"/>
  <c r="S557" i="5" s="1"/>
  <c r="AK557" i="5" s="1"/>
  <c r="A558" i="5"/>
  <c r="S558" i="5" s="1"/>
  <c r="AK558" i="5" s="1"/>
  <c r="A559" i="5"/>
  <c r="S559" i="5" s="1"/>
  <c r="AK559" i="5" s="1"/>
  <c r="A560" i="5"/>
  <c r="S560" i="5" s="1"/>
  <c r="AK560" i="5" s="1"/>
  <c r="A561" i="5"/>
  <c r="S561" i="5" s="1"/>
  <c r="AK561" i="5" s="1"/>
  <c r="A562" i="5"/>
  <c r="S562" i="5" s="1"/>
  <c r="AK562" i="5" s="1"/>
  <c r="A563" i="5"/>
  <c r="S563" i="5" s="1"/>
  <c r="AK563" i="5" s="1"/>
  <c r="A564" i="5"/>
  <c r="S564" i="5" s="1"/>
  <c r="AK564" i="5" s="1"/>
  <c r="A565" i="5"/>
  <c r="S565" i="5" s="1"/>
  <c r="AK565" i="5" s="1"/>
  <c r="A566" i="5"/>
  <c r="S566" i="5" s="1"/>
  <c r="AK566" i="5" s="1"/>
  <c r="A567" i="5"/>
  <c r="S567" i="5"/>
  <c r="AK567" i="5" s="1"/>
  <c r="A568" i="5"/>
  <c r="S568" i="5" s="1"/>
  <c r="AK568" i="5" s="1"/>
  <c r="A569" i="5"/>
  <c r="S569" i="5" s="1"/>
  <c r="AK569" i="5" s="1"/>
  <c r="A570" i="5"/>
  <c r="S570" i="5" s="1"/>
  <c r="AK570" i="5" s="1"/>
  <c r="A571" i="5"/>
  <c r="S571" i="5" s="1"/>
  <c r="AK571" i="5" s="1"/>
  <c r="A572" i="5"/>
  <c r="S572" i="5" s="1"/>
  <c r="AK572" i="5" s="1"/>
  <c r="A573" i="5"/>
  <c r="S573" i="5" s="1"/>
  <c r="AK573" i="5" s="1"/>
  <c r="A574" i="5"/>
  <c r="S574" i="5" s="1"/>
  <c r="AK574" i="5" s="1"/>
  <c r="A575" i="5"/>
  <c r="S575" i="5" s="1"/>
  <c r="AK575" i="5" s="1"/>
  <c r="A576" i="5"/>
  <c r="S576" i="5" s="1"/>
  <c r="AK576" i="5" s="1"/>
  <c r="A577" i="5"/>
  <c r="S577" i="5" s="1"/>
  <c r="AK577" i="5" s="1"/>
  <c r="A578" i="5"/>
  <c r="S578" i="5" s="1"/>
  <c r="AK578" i="5" s="1"/>
  <c r="A579" i="5"/>
  <c r="S579" i="5" s="1"/>
  <c r="AK579" i="5" s="1"/>
  <c r="A580" i="5"/>
  <c r="S580" i="5" s="1"/>
  <c r="AK580" i="5" s="1"/>
  <c r="A581" i="5"/>
  <c r="S581" i="5" s="1"/>
  <c r="AK581" i="5" s="1"/>
  <c r="A582" i="5"/>
  <c r="S582" i="5" s="1"/>
  <c r="AK582" i="5" s="1"/>
  <c r="A583" i="5"/>
  <c r="S583" i="5" s="1"/>
  <c r="AK583" i="5" s="1"/>
  <c r="A584" i="5"/>
  <c r="S584" i="5" s="1"/>
  <c r="AK584" i="5" s="1"/>
  <c r="A585" i="5"/>
  <c r="S585" i="5" s="1"/>
  <c r="AK585" i="5" s="1"/>
  <c r="A586" i="5"/>
  <c r="S586" i="5" s="1"/>
  <c r="AK586" i="5" s="1"/>
  <c r="A587" i="5"/>
  <c r="S587" i="5" s="1"/>
  <c r="AK587" i="5" s="1"/>
  <c r="A588" i="5"/>
  <c r="S588" i="5" s="1"/>
  <c r="AK588" i="5" s="1"/>
  <c r="A589" i="5"/>
  <c r="S589" i="5" s="1"/>
  <c r="AK589" i="5" s="1"/>
  <c r="A590" i="5"/>
  <c r="S590" i="5" s="1"/>
  <c r="AK590" i="5" s="1"/>
  <c r="S591" i="5"/>
  <c r="AK591" i="5" s="1"/>
  <c r="S592" i="5"/>
  <c r="AK592" i="5" s="1"/>
  <c r="S593" i="5"/>
  <c r="AK593" i="5" s="1"/>
  <c r="S594" i="5"/>
  <c r="AK594" i="5" s="1"/>
  <c r="S595" i="5"/>
  <c r="AK595" i="5" s="1"/>
  <c r="S596" i="5"/>
  <c r="AK596" i="5" s="1"/>
  <c r="S597" i="5"/>
  <c r="AK597" i="5" s="1"/>
  <c r="S598" i="5"/>
  <c r="AK598" i="5" s="1"/>
  <c r="S599" i="5"/>
  <c r="AK599" i="5" s="1"/>
  <c r="S600" i="5"/>
  <c r="AK600" i="5" s="1"/>
  <c r="S601" i="5"/>
  <c r="AK601" i="5" s="1"/>
  <c r="S602" i="5"/>
  <c r="AK602" i="5" s="1"/>
  <c r="S603" i="4"/>
  <c r="AK603" i="4" s="1"/>
  <c r="S613" i="4"/>
  <c r="AK613" i="4" s="1"/>
  <c r="S614" i="4"/>
  <c r="AK614" i="4" s="1"/>
  <c r="S618" i="4"/>
  <c r="AK618" i="4" s="1"/>
  <c r="S621" i="4"/>
  <c r="AK621" i="4" s="1"/>
  <c r="S622" i="4"/>
  <c r="AK622" i="4" s="1"/>
  <c r="S635" i="4"/>
  <c r="AK635" i="4" s="1"/>
  <c r="S636" i="4"/>
  <c r="AK636" i="4" s="1"/>
  <c r="S643" i="4"/>
  <c r="AK643" i="4" s="1"/>
  <c r="S654" i="4"/>
  <c r="AK654" i="4" s="1"/>
  <c r="S657" i="4"/>
  <c r="AK657" i="4" s="1"/>
  <c r="S661" i="4"/>
  <c r="AK661" i="4" s="1"/>
  <c r="S662" i="4"/>
  <c r="AK662" i="4" s="1"/>
  <c r="S670" i="4"/>
  <c r="AK670" i="4" s="1"/>
  <c r="S676" i="4"/>
  <c r="AK676" i="4" s="1"/>
  <c r="S677" i="4"/>
  <c r="AK677" i="4" s="1"/>
  <c r="S683" i="4"/>
  <c r="AK683" i="4" s="1"/>
  <c r="S690" i="4"/>
  <c r="AK690" i="4" s="1"/>
  <c r="S692" i="4"/>
  <c r="AK692" i="4" s="1"/>
  <c r="S698" i="4"/>
  <c r="AK698" i="4" s="1"/>
  <c r="S699" i="4"/>
  <c r="AK699" i="4" s="1"/>
  <c r="S701" i="4"/>
  <c r="AK701" i="4"/>
  <c r="S702" i="4"/>
  <c r="AK702" i="4" s="1"/>
  <c r="S710" i="4"/>
  <c r="AK710" i="4" s="1"/>
  <c r="S709" i="4"/>
  <c r="AK709" i="4" s="1"/>
  <c r="S708" i="4"/>
  <c r="AK708" i="4" s="1"/>
  <c r="S707" i="4"/>
  <c r="AK707" i="4" s="1"/>
  <c r="S706" i="4"/>
  <c r="AK706" i="4" s="1"/>
  <c r="S705" i="4"/>
  <c r="AK705" i="4" s="1"/>
  <c r="S704" i="4"/>
  <c r="AK704" i="4" s="1"/>
  <c r="S703" i="4"/>
  <c r="AK703" i="4" s="1"/>
  <c r="S700" i="4"/>
  <c r="AK700" i="4" s="1"/>
  <c r="S697" i="4"/>
  <c r="AK697" i="4" s="1"/>
  <c r="S696" i="4"/>
  <c r="AK696" i="4" s="1"/>
  <c r="S695" i="4"/>
  <c r="AK695" i="4" s="1"/>
  <c r="S694" i="4"/>
  <c r="AK694" i="4" s="1"/>
  <c r="S693" i="4"/>
  <c r="AK693" i="4" s="1"/>
  <c r="S691" i="4"/>
  <c r="AK691" i="4" s="1"/>
  <c r="S689" i="4"/>
  <c r="AK689" i="4" s="1"/>
  <c r="S688" i="4"/>
  <c r="AK688" i="4" s="1"/>
  <c r="S687" i="4"/>
  <c r="AK687" i="4" s="1"/>
  <c r="S686" i="4"/>
  <c r="AK686" i="4" s="1"/>
  <c r="S685" i="4"/>
  <c r="AK685" i="4" s="1"/>
  <c r="S684" i="4"/>
  <c r="AK684" i="4" s="1"/>
  <c r="S682" i="4"/>
  <c r="AK682" i="4" s="1"/>
  <c r="S681" i="4"/>
  <c r="AK681" i="4" s="1"/>
  <c r="S680" i="4"/>
  <c r="AK680" i="4" s="1"/>
  <c r="S679" i="4"/>
  <c r="AK679" i="4" s="1"/>
  <c r="S678" i="4"/>
  <c r="AK678" i="4" s="1"/>
  <c r="S675" i="4"/>
  <c r="AK675" i="4" s="1"/>
  <c r="S674" i="4"/>
  <c r="AK674" i="4" s="1"/>
  <c r="S673" i="4"/>
  <c r="AK673" i="4" s="1"/>
  <c r="S672" i="4"/>
  <c r="AK672" i="4" s="1"/>
  <c r="S671" i="4"/>
  <c r="AK671" i="4" s="1"/>
  <c r="S669" i="4"/>
  <c r="AK669" i="4" s="1"/>
  <c r="S668" i="4"/>
  <c r="AK668" i="4" s="1"/>
  <c r="S667" i="4"/>
  <c r="AK667" i="4" s="1"/>
  <c r="S666" i="4"/>
  <c r="AK666" i="4" s="1"/>
  <c r="S665" i="4"/>
  <c r="AK665" i="4" s="1"/>
  <c r="S664" i="4"/>
  <c r="AK664" i="4" s="1"/>
  <c r="S663" i="4"/>
  <c r="AK663" i="4" s="1"/>
  <c r="S660" i="4"/>
  <c r="AK660" i="4" s="1"/>
  <c r="S659" i="4"/>
  <c r="AK659" i="4" s="1"/>
  <c r="S658" i="4"/>
  <c r="AK658" i="4" s="1"/>
  <c r="S656" i="4"/>
  <c r="AK656" i="4" s="1"/>
  <c r="S655" i="4"/>
  <c r="AK655" i="4" s="1"/>
  <c r="S653" i="4"/>
  <c r="AK653" i="4" s="1"/>
  <c r="S652" i="4"/>
  <c r="AK652" i="4" s="1"/>
  <c r="S651" i="4"/>
  <c r="AK651" i="4" s="1"/>
  <c r="S650" i="4"/>
  <c r="AK650" i="4" s="1"/>
  <c r="S649" i="4"/>
  <c r="AK649" i="4" s="1"/>
  <c r="S648" i="4"/>
  <c r="AK648" i="4" s="1"/>
  <c r="S647" i="4"/>
  <c r="AK647" i="4" s="1"/>
  <c r="S646" i="4"/>
  <c r="AK646" i="4" s="1"/>
  <c r="S645" i="4"/>
  <c r="AK645" i="4" s="1"/>
  <c r="S644" i="4"/>
  <c r="AK644" i="4" s="1"/>
  <c r="S642" i="4"/>
  <c r="AK642" i="4" s="1"/>
  <c r="S641" i="4"/>
  <c r="AK641" i="4" s="1"/>
  <c r="S640" i="4"/>
  <c r="AK640" i="4" s="1"/>
  <c r="S639" i="4"/>
  <c r="AK639" i="4" s="1"/>
  <c r="S638" i="4"/>
  <c r="AK638" i="4" s="1"/>
  <c r="S637" i="4"/>
  <c r="AK637" i="4" s="1"/>
  <c r="S634" i="4"/>
  <c r="AK634" i="4" s="1"/>
  <c r="S633" i="4"/>
  <c r="AK633" i="4" s="1"/>
  <c r="S632" i="4"/>
  <c r="AK632" i="4" s="1"/>
  <c r="S631" i="4"/>
  <c r="AK631" i="4" s="1"/>
  <c r="S630" i="4"/>
  <c r="AK630" i="4" s="1"/>
  <c r="S629" i="4"/>
  <c r="AK629" i="4" s="1"/>
  <c r="S628" i="4"/>
  <c r="AK628" i="4" s="1"/>
  <c r="S627" i="4"/>
  <c r="AK627" i="4" s="1"/>
  <c r="S626" i="4"/>
  <c r="AK626" i="4" s="1"/>
  <c r="S625" i="4"/>
  <c r="AK625" i="4" s="1"/>
  <c r="S624" i="4"/>
  <c r="AK624" i="4" s="1"/>
  <c r="S623" i="4"/>
  <c r="AK623" i="4" s="1"/>
  <c r="S620" i="4"/>
  <c r="AK620" i="4" s="1"/>
  <c r="S619" i="4"/>
  <c r="AK619" i="4" s="1"/>
  <c r="S617" i="4"/>
  <c r="AK617" i="4" s="1"/>
  <c r="S616" i="4"/>
  <c r="AK616" i="4" s="1"/>
  <c r="S615" i="4"/>
  <c r="AK615" i="4" s="1"/>
  <c r="S612" i="4"/>
  <c r="AK612" i="4" s="1"/>
  <c r="S611" i="4"/>
  <c r="AK611" i="4" s="1"/>
  <c r="S610" i="4"/>
  <c r="AK610" i="4" s="1"/>
  <c r="S609" i="4"/>
  <c r="AK609" i="4" s="1"/>
  <c r="S608" i="4"/>
  <c r="AK608" i="4" s="1"/>
  <c r="S607" i="4"/>
  <c r="AK607" i="4" s="1"/>
  <c r="S606" i="4"/>
  <c r="AK606" i="4" s="1"/>
  <c r="S605" i="4"/>
  <c r="AK605" i="4" s="1"/>
  <c r="S604" i="4"/>
  <c r="AK604" i="4" s="1"/>
  <c r="S602" i="4"/>
  <c r="AK602" i="4" s="1"/>
  <c r="S601" i="4"/>
  <c r="AK601" i="4" s="1"/>
  <c r="S600" i="4"/>
  <c r="AK600" i="4" s="1"/>
  <c r="S599" i="4"/>
  <c r="AK599" i="4" s="1"/>
  <c r="S598" i="4"/>
  <c r="AK598" i="4" s="1"/>
  <c r="S597" i="4"/>
  <c r="AK597" i="4" s="1"/>
  <c r="S596" i="4"/>
  <c r="AK596" i="4" s="1"/>
  <c r="S595" i="4"/>
  <c r="AK595" i="4" s="1"/>
  <c r="S594" i="4"/>
  <c r="AK594" i="4" s="1"/>
  <c r="S593" i="4"/>
  <c r="AK593" i="4" s="1"/>
  <c r="S592" i="4"/>
  <c r="AK592" i="4" s="1"/>
  <c r="S591" i="4"/>
  <c r="AK591" i="4" s="1"/>
  <c r="A590" i="4"/>
  <c r="S590" i="4" s="1"/>
  <c r="AK590" i="4" s="1"/>
  <c r="A589" i="4"/>
  <c r="S589" i="4" s="1"/>
  <c r="AK589" i="4" s="1"/>
  <c r="A588" i="4"/>
  <c r="S588" i="4" s="1"/>
  <c r="AK588" i="4" s="1"/>
  <c r="A587" i="4"/>
  <c r="S587" i="4" s="1"/>
  <c r="AK587" i="4" s="1"/>
  <c r="A586" i="4"/>
  <c r="S586" i="4" s="1"/>
  <c r="AK586" i="4" s="1"/>
  <c r="A585" i="4"/>
  <c r="S585" i="4" s="1"/>
  <c r="AK585" i="4" s="1"/>
  <c r="A584" i="4"/>
  <c r="S584" i="4" s="1"/>
  <c r="AK584" i="4" s="1"/>
  <c r="A583" i="4"/>
  <c r="S583" i="4" s="1"/>
  <c r="AK583" i="4" s="1"/>
  <c r="A582" i="4"/>
  <c r="S582" i="4" s="1"/>
  <c r="AK582" i="4" s="1"/>
  <c r="A581" i="4"/>
  <c r="S581" i="4" s="1"/>
  <c r="AK581" i="4" s="1"/>
  <c r="A580" i="4"/>
  <c r="S580" i="4" s="1"/>
  <c r="AK580" i="4" s="1"/>
  <c r="A579" i="4"/>
  <c r="S579" i="4" s="1"/>
  <c r="AK579" i="4" s="1"/>
  <c r="A578" i="4"/>
  <c r="S578" i="4" s="1"/>
  <c r="AK578" i="4" s="1"/>
  <c r="A577" i="4"/>
  <c r="S577" i="4" s="1"/>
  <c r="AK577" i="4" s="1"/>
  <c r="A576" i="4"/>
  <c r="S576" i="4" s="1"/>
  <c r="AK576" i="4" s="1"/>
  <c r="A575" i="4"/>
  <c r="S575" i="4" s="1"/>
  <c r="AK575" i="4" s="1"/>
  <c r="A574" i="4"/>
  <c r="S574" i="4" s="1"/>
  <c r="AK574" i="4" s="1"/>
  <c r="A573" i="4"/>
  <c r="S573" i="4" s="1"/>
  <c r="AK573" i="4" s="1"/>
  <c r="A572" i="4"/>
  <c r="S572" i="4" s="1"/>
  <c r="AK572" i="4" s="1"/>
  <c r="A571" i="4"/>
  <c r="S571" i="4" s="1"/>
  <c r="AK571" i="4" s="1"/>
  <c r="A570" i="4"/>
  <c r="S570" i="4" s="1"/>
  <c r="AK570" i="4" s="1"/>
  <c r="A569" i="4"/>
  <c r="S569" i="4" s="1"/>
  <c r="AK569" i="4" s="1"/>
  <c r="A568" i="4"/>
  <c r="S568" i="4" s="1"/>
  <c r="AK568" i="4" s="1"/>
  <c r="A567" i="4"/>
  <c r="S567" i="4" s="1"/>
  <c r="AK567" i="4" s="1"/>
  <c r="A566" i="4"/>
  <c r="S566" i="4" s="1"/>
  <c r="AK566" i="4" s="1"/>
  <c r="A565" i="4"/>
  <c r="S565" i="4" s="1"/>
  <c r="AK565" i="4" s="1"/>
  <c r="A564" i="4"/>
  <c r="S564" i="4" s="1"/>
  <c r="AK564" i="4" s="1"/>
  <c r="A563" i="4"/>
  <c r="S563" i="4" s="1"/>
  <c r="AK563" i="4" s="1"/>
  <c r="A562" i="4"/>
  <c r="S562" i="4" s="1"/>
  <c r="AK562" i="4" s="1"/>
  <c r="A561" i="4"/>
  <c r="S561" i="4" s="1"/>
  <c r="AK561" i="4" s="1"/>
  <c r="A560" i="4"/>
  <c r="S560" i="4" s="1"/>
  <c r="AK560" i="4" s="1"/>
  <c r="A559" i="4"/>
  <c r="S559" i="4" s="1"/>
  <c r="AK559" i="4" s="1"/>
  <c r="A558" i="4"/>
  <c r="S558" i="4" s="1"/>
  <c r="AK558" i="4" s="1"/>
  <c r="A557" i="4"/>
  <c r="S557" i="4" s="1"/>
  <c r="AK557" i="4" s="1"/>
  <c r="A556" i="4"/>
  <c r="S556" i="4" s="1"/>
  <c r="AK556" i="4" s="1"/>
  <c r="A555" i="4"/>
  <c r="S555" i="4" s="1"/>
  <c r="AK555" i="4" s="1"/>
  <c r="A554" i="4"/>
  <c r="S554" i="4" s="1"/>
  <c r="AK554" i="4" s="1"/>
  <c r="A553" i="4"/>
  <c r="S553" i="4" s="1"/>
  <c r="AK553" i="4" s="1"/>
  <c r="A552" i="4"/>
  <c r="S552" i="4" s="1"/>
  <c r="AK552" i="4" s="1"/>
  <c r="A551" i="4"/>
  <c r="S551" i="4" s="1"/>
  <c r="AK551" i="4" s="1"/>
  <c r="A550" i="4"/>
  <c r="S550" i="4" s="1"/>
  <c r="AK550" i="4" s="1"/>
  <c r="A549" i="4"/>
  <c r="S549" i="4" s="1"/>
  <c r="AK549" i="4" s="1"/>
  <c r="A548" i="4"/>
  <c r="S548" i="4" s="1"/>
  <c r="AK548" i="4" s="1"/>
  <c r="A547" i="4"/>
  <c r="S547" i="4" s="1"/>
  <c r="AK547" i="4" s="1"/>
  <c r="A546" i="4"/>
  <c r="S546" i="4" s="1"/>
  <c r="AK546" i="4" s="1"/>
  <c r="A545" i="4"/>
  <c r="S545" i="4" s="1"/>
  <c r="AK545" i="4" s="1"/>
  <c r="A544" i="4"/>
  <c r="S544" i="4" s="1"/>
  <c r="AK544" i="4" s="1"/>
  <c r="A543" i="4"/>
  <c r="S543" i="4" s="1"/>
  <c r="AK543" i="4" s="1"/>
  <c r="A542" i="4"/>
  <c r="S542" i="4" s="1"/>
  <c r="AK542" i="4" s="1"/>
  <c r="A541" i="4"/>
  <c r="S541" i="4" s="1"/>
  <c r="AK541" i="4" s="1"/>
  <c r="A540" i="4"/>
  <c r="S540" i="4" s="1"/>
  <c r="AK540" i="4" s="1"/>
  <c r="A539" i="4"/>
  <c r="S539" i="4" s="1"/>
  <c r="AK539" i="4" s="1"/>
  <c r="A538" i="4"/>
  <c r="S538" i="4" s="1"/>
  <c r="AK538" i="4" s="1"/>
  <c r="A537" i="4"/>
  <c r="S537" i="4" s="1"/>
  <c r="AK537" i="4" s="1"/>
  <c r="A536" i="4"/>
  <c r="S536" i="4" s="1"/>
  <c r="AK536" i="4" s="1"/>
  <c r="A535" i="4"/>
  <c r="S535" i="4" s="1"/>
  <c r="AK535" i="4" s="1"/>
  <c r="A534" i="4"/>
  <c r="S534" i="4" s="1"/>
  <c r="AK534" i="4" s="1"/>
  <c r="A533" i="4"/>
  <c r="S533" i="4" s="1"/>
  <c r="AK533" i="4" s="1"/>
  <c r="A532" i="4"/>
  <c r="S532" i="4" s="1"/>
  <c r="AK532" i="4" s="1"/>
  <c r="A531" i="4"/>
  <c r="S531" i="4" s="1"/>
  <c r="AK531" i="4" s="1"/>
  <c r="A530" i="4"/>
  <c r="S530" i="4" s="1"/>
  <c r="AK530" i="4" s="1"/>
  <c r="A529" i="4"/>
  <c r="S529" i="4" s="1"/>
  <c r="AK529" i="4" s="1"/>
  <c r="A528" i="4"/>
  <c r="S528" i="4" s="1"/>
  <c r="AK528" i="4" s="1"/>
  <c r="A527" i="4"/>
  <c r="S527" i="4" s="1"/>
  <c r="AK527" i="4" s="1"/>
  <c r="A526" i="4"/>
  <c r="S526" i="4" s="1"/>
  <c r="AK526" i="4" s="1"/>
  <c r="A525" i="4"/>
  <c r="S525" i="4" s="1"/>
  <c r="AK525" i="4" s="1"/>
  <c r="A524" i="4"/>
  <c r="S524" i="4" s="1"/>
  <c r="AK524" i="4" s="1"/>
  <c r="A523" i="4"/>
  <c r="S523" i="4" s="1"/>
  <c r="AK523" i="4" s="1"/>
  <c r="A522" i="4"/>
  <c r="S522" i="4" s="1"/>
  <c r="AK522" i="4" s="1"/>
  <c r="A521" i="4"/>
  <c r="S521" i="4" s="1"/>
  <c r="AK521" i="4" s="1"/>
  <c r="A520" i="4"/>
  <c r="S520" i="4" s="1"/>
  <c r="AK520" i="4" s="1"/>
  <c r="A519" i="4"/>
  <c r="S519" i="4" s="1"/>
  <c r="AK519" i="4" s="1"/>
  <c r="A518" i="4"/>
  <c r="S518" i="4" s="1"/>
  <c r="AK518" i="4" s="1"/>
  <c r="A517" i="4"/>
  <c r="S517" i="4" s="1"/>
  <c r="AK517" i="4" s="1"/>
  <c r="A516" i="4"/>
  <c r="S516" i="4" s="1"/>
  <c r="AK516" i="4" s="1"/>
  <c r="A515" i="4"/>
  <c r="S515" i="4" s="1"/>
  <c r="AK515" i="4" s="1"/>
  <c r="A514" i="4"/>
  <c r="S514" i="4" s="1"/>
  <c r="AK514" i="4" s="1"/>
  <c r="A513" i="4"/>
  <c r="S513" i="4" s="1"/>
  <c r="AK513" i="4" s="1"/>
  <c r="A512" i="4"/>
  <c r="S512" i="4" s="1"/>
  <c r="AK512" i="4" s="1"/>
  <c r="A511" i="4"/>
  <c r="S511" i="4" s="1"/>
  <c r="AK511" i="4" s="1"/>
  <c r="A510" i="4"/>
  <c r="S510" i="4" s="1"/>
  <c r="AK510" i="4" s="1"/>
  <c r="A509" i="4"/>
  <c r="S509" i="4" s="1"/>
  <c r="AK509" i="4" s="1"/>
  <c r="A508" i="4"/>
  <c r="S508" i="4" s="1"/>
  <c r="AK508" i="4" s="1"/>
  <c r="A507" i="4"/>
  <c r="S507" i="4" s="1"/>
  <c r="AK507" i="4" s="1"/>
  <c r="A506" i="4"/>
  <c r="S506" i="4" s="1"/>
  <c r="AK506" i="4" s="1"/>
  <c r="A505" i="4"/>
  <c r="S505" i="4" s="1"/>
  <c r="AK505" i="4" s="1"/>
  <c r="A504" i="4"/>
  <c r="S504" i="4" s="1"/>
  <c r="AK504" i="4" s="1"/>
  <c r="A503" i="4"/>
  <c r="S503" i="4" s="1"/>
  <c r="AK503" i="4" s="1"/>
  <c r="A502" i="4"/>
  <c r="S502" i="4" s="1"/>
  <c r="AK502" i="4" s="1"/>
  <c r="A501" i="4"/>
  <c r="S501" i="4" s="1"/>
  <c r="AK501" i="4" s="1"/>
  <c r="A500" i="4"/>
  <c r="S500" i="4" s="1"/>
  <c r="AK500" i="4" s="1"/>
  <c r="A499" i="4"/>
  <c r="S499" i="4" s="1"/>
  <c r="AK499" i="4" s="1"/>
  <c r="A498" i="4"/>
  <c r="S498" i="4" s="1"/>
  <c r="AK498" i="4" s="1"/>
  <c r="A497" i="4"/>
  <c r="S497" i="4" s="1"/>
  <c r="AK497" i="4" s="1"/>
  <c r="A496" i="4"/>
  <c r="S496" i="4" s="1"/>
  <c r="AK496" i="4" s="1"/>
  <c r="A495" i="4"/>
  <c r="S495" i="4" s="1"/>
  <c r="AK495" i="4" s="1"/>
  <c r="A494" i="4"/>
  <c r="S494" i="4" s="1"/>
  <c r="AK494" i="4" s="1"/>
  <c r="A493" i="4"/>
  <c r="S493" i="4" s="1"/>
  <c r="AK493" i="4" s="1"/>
  <c r="A492" i="4"/>
  <c r="S492" i="4" s="1"/>
  <c r="AK492" i="4" s="1"/>
  <c r="A491" i="4"/>
  <c r="S491" i="4" s="1"/>
  <c r="AK491" i="4" s="1"/>
  <c r="A490" i="4"/>
  <c r="S490" i="4" s="1"/>
  <c r="AK490" i="4" s="1"/>
  <c r="A489" i="4"/>
  <c r="S489" i="4" s="1"/>
  <c r="AK489" i="4" s="1"/>
  <c r="A488" i="4"/>
  <c r="S488" i="4" s="1"/>
  <c r="AK488" i="4" s="1"/>
  <c r="A487" i="4"/>
  <c r="S487" i="4" s="1"/>
  <c r="AK487" i="4" s="1"/>
  <c r="A486" i="4"/>
  <c r="S486" i="4" s="1"/>
  <c r="AK486" i="4" s="1"/>
  <c r="A485" i="4"/>
  <c r="S485" i="4" s="1"/>
  <c r="AK485" i="4" s="1"/>
  <c r="A484" i="4"/>
  <c r="S484" i="4" s="1"/>
  <c r="AK484" i="4" s="1"/>
  <c r="A483" i="4"/>
  <c r="S483" i="4" s="1"/>
  <c r="AK483" i="4" s="1"/>
  <c r="A3" i="5"/>
  <c r="A3" i="4"/>
  <c r="A482" i="5" l="1"/>
  <c r="S482" i="5" s="1"/>
  <c r="AK482" i="5" s="1"/>
  <c r="A481" i="5"/>
  <c r="S481" i="5" s="1"/>
  <c r="AK481" i="5" s="1"/>
  <c r="A480" i="5"/>
  <c r="S480" i="5" s="1"/>
  <c r="AK480" i="5" s="1"/>
  <c r="A479" i="5"/>
  <c r="S479" i="5" s="1"/>
  <c r="AK479" i="5" s="1"/>
  <c r="A478" i="5"/>
  <c r="S478" i="5" s="1"/>
  <c r="AK478" i="5" s="1"/>
  <c r="A477" i="5"/>
  <c r="S477" i="5" s="1"/>
  <c r="AK477" i="5" s="1"/>
  <c r="A476" i="5"/>
  <c r="S476" i="5" s="1"/>
  <c r="AK476" i="5" s="1"/>
  <c r="A475" i="5"/>
  <c r="S475" i="5" s="1"/>
  <c r="AK475" i="5" s="1"/>
  <c r="A474" i="5"/>
  <c r="S474" i="5" s="1"/>
  <c r="AK474" i="5" s="1"/>
  <c r="A473" i="5"/>
  <c r="S473" i="5" s="1"/>
  <c r="AK473" i="5" s="1"/>
  <c r="A472" i="5"/>
  <c r="S472" i="5" s="1"/>
  <c r="AK472" i="5" s="1"/>
  <c r="A471" i="5"/>
  <c r="S471" i="5" s="1"/>
  <c r="AK471" i="5" s="1"/>
  <c r="A470" i="5"/>
  <c r="S470" i="5" s="1"/>
  <c r="AK470" i="5" s="1"/>
  <c r="A469" i="5"/>
  <c r="S469" i="5" s="1"/>
  <c r="AK469" i="5" s="1"/>
  <c r="A468" i="5"/>
  <c r="S468" i="5" s="1"/>
  <c r="AK468" i="5" s="1"/>
  <c r="A467" i="5"/>
  <c r="S467" i="5" s="1"/>
  <c r="AK467" i="5" s="1"/>
  <c r="A466" i="5"/>
  <c r="S466" i="5" s="1"/>
  <c r="AK466" i="5" s="1"/>
  <c r="A465" i="5"/>
  <c r="S465" i="5" s="1"/>
  <c r="AK465" i="5" s="1"/>
  <c r="A464" i="5"/>
  <c r="S464" i="5" s="1"/>
  <c r="AK464" i="5" s="1"/>
  <c r="A463" i="5"/>
  <c r="S463" i="5" s="1"/>
  <c r="AK463" i="5" s="1"/>
  <c r="A462" i="5"/>
  <c r="S462" i="5" s="1"/>
  <c r="AK462" i="5" s="1"/>
  <c r="A461" i="5"/>
  <c r="S461" i="5" s="1"/>
  <c r="AK461" i="5" s="1"/>
  <c r="A460" i="5"/>
  <c r="S460" i="5" s="1"/>
  <c r="AK460" i="5" s="1"/>
  <c r="A459" i="5"/>
  <c r="S459" i="5" s="1"/>
  <c r="AK459" i="5" s="1"/>
  <c r="A458" i="5"/>
  <c r="S458" i="5" s="1"/>
  <c r="AK458" i="5" s="1"/>
  <c r="A457" i="5"/>
  <c r="S457" i="5" s="1"/>
  <c r="AK457" i="5" s="1"/>
  <c r="A456" i="5"/>
  <c r="S456" i="5" s="1"/>
  <c r="AK456" i="5" s="1"/>
  <c r="A455" i="5"/>
  <c r="S455" i="5" s="1"/>
  <c r="AK455" i="5" s="1"/>
  <c r="A454" i="5"/>
  <c r="S454" i="5" s="1"/>
  <c r="AK454" i="5" s="1"/>
  <c r="A453" i="5"/>
  <c r="S453" i="5" s="1"/>
  <c r="AK453" i="5" s="1"/>
  <c r="A452" i="5"/>
  <c r="S452" i="5" s="1"/>
  <c r="AK452" i="5" s="1"/>
  <c r="A451" i="5"/>
  <c r="S451" i="5" s="1"/>
  <c r="AK451" i="5" s="1"/>
  <c r="A450" i="5"/>
  <c r="S450" i="5" s="1"/>
  <c r="AK450" i="5" s="1"/>
  <c r="A449" i="5"/>
  <c r="S449" i="5" s="1"/>
  <c r="AK449" i="5" s="1"/>
  <c r="A448" i="5"/>
  <c r="S448" i="5" s="1"/>
  <c r="AK448" i="5" s="1"/>
  <c r="A447" i="5"/>
  <c r="S447" i="5" s="1"/>
  <c r="AK447" i="5" s="1"/>
  <c r="A446" i="5"/>
  <c r="S446" i="5" s="1"/>
  <c r="AK446" i="5" s="1"/>
  <c r="A445" i="5"/>
  <c r="S445" i="5" s="1"/>
  <c r="AK445" i="5" s="1"/>
  <c r="A444" i="5"/>
  <c r="S444" i="5" s="1"/>
  <c r="AK444" i="5" s="1"/>
  <c r="A443" i="5"/>
  <c r="S443" i="5" s="1"/>
  <c r="AK443" i="5" s="1"/>
  <c r="A442" i="5"/>
  <c r="S442" i="5" s="1"/>
  <c r="AK442" i="5" s="1"/>
  <c r="A441" i="5"/>
  <c r="S441" i="5" s="1"/>
  <c r="AK441" i="5" s="1"/>
  <c r="A440" i="5"/>
  <c r="S440" i="5" s="1"/>
  <c r="AK440" i="5" s="1"/>
  <c r="A439" i="5"/>
  <c r="S439" i="5" s="1"/>
  <c r="AK439" i="5" s="1"/>
  <c r="A438" i="5"/>
  <c r="S438" i="5" s="1"/>
  <c r="AK438" i="5" s="1"/>
  <c r="A437" i="5"/>
  <c r="S437" i="5" s="1"/>
  <c r="AK437" i="5" s="1"/>
  <c r="A436" i="5"/>
  <c r="S436" i="5" s="1"/>
  <c r="AK436" i="5" s="1"/>
  <c r="A435" i="5"/>
  <c r="S435" i="5" s="1"/>
  <c r="AK435" i="5" s="1"/>
  <c r="A434" i="5"/>
  <c r="S434" i="5" s="1"/>
  <c r="AK434" i="5" s="1"/>
  <c r="A433" i="5"/>
  <c r="S433" i="5" s="1"/>
  <c r="AK433" i="5" s="1"/>
  <c r="A432" i="5"/>
  <c r="S432" i="5" s="1"/>
  <c r="AK432" i="5" s="1"/>
  <c r="A431" i="5"/>
  <c r="S431" i="5" s="1"/>
  <c r="AK431" i="5" s="1"/>
  <c r="A430" i="5"/>
  <c r="S430" i="5" s="1"/>
  <c r="AK430" i="5" s="1"/>
  <c r="A429" i="5"/>
  <c r="S429" i="5" s="1"/>
  <c r="AK429" i="5" s="1"/>
  <c r="A428" i="5"/>
  <c r="S428" i="5" s="1"/>
  <c r="AK428" i="5" s="1"/>
  <c r="A427" i="5"/>
  <c r="S427" i="5" s="1"/>
  <c r="AK427" i="5" s="1"/>
  <c r="A426" i="5"/>
  <c r="S426" i="5" s="1"/>
  <c r="AK426" i="5" s="1"/>
  <c r="A425" i="5"/>
  <c r="S425" i="5" s="1"/>
  <c r="AK425" i="5" s="1"/>
  <c r="A424" i="5"/>
  <c r="S424" i="5" s="1"/>
  <c r="AK424" i="5" s="1"/>
  <c r="A423" i="5"/>
  <c r="S423" i="5" s="1"/>
  <c r="AK423" i="5" s="1"/>
  <c r="A422" i="5"/>
  <c r="S422" i="5" s="1"/>
  <c r="AK422" i="5" s="1"/>
  <c r="A421" i="5"/>
  <c r="S421" i="5" s="1"/>
  <c r="AK421" i="5" s="1"/>
  <c r="A420" i="5"/>
  <c r="S420" i="5" s="1"/>
  <c r="AK420" i="5" s="1"/>
  <c r="A419" i="5"/>
  <c r="S419" i="5" s="1"/>
  <c r="AK419" i="5" s="1"/>
  <c r="A418" i="5"/>
  <c r="S418" i="5" s="1"/>
  <c r="AK418" i="5" s="1"/>
  <c r="A417" i="5"/>
  <c r="S417" i="5" s="1"/>
  <c r="AK417" i="5" s="1"/>
  <c r="A416" i="5"/>
  <c r="S416" i="5" s="1"/>
  <c r="AK416" i="5" s="1"/>
  <c r="A415" i="5"/>
  <c r="S415" i="5" s="1"/>
  <c r="AK415" i="5" s="1"/>
  <c r="A414" i="5"/>
  <c r="S414" i="5" s="1"/>
  <c r="AK414" i="5" s="1"/>
  <c r="A413" i="5"/>
  <c r="S413" i="5" s="1"/>
  <c r="AK413" i="5" s="1"/>
  <c r="A412" i="5"/>
  <c r="S412" i="5" s="1"/>
  <c r="AK412" i="5" s="1"/>
  <c r="A411" i="5"/>
  <c r="S411" i="5" s="1"/>
  <c r="AK411" i="5" s="1"/>
  <c r="A410" i="5"/>
  <c r="S410" i="5" s="1"/>
  <c r="AK410" i="5" s="1"/>
  <c r="A409" i="5"/>
  <c r="S409" i="5" s="1"/>
  <c r="AK409" i="5" s="1"/>
  <c r="A408" i="5"/>
  <c r="S408" i="5" s="1"/>
  <c r="AK408" i="5" s="1"/>
  <c r="A407" i="5"/>
  <c r="S407" i="5" s="1"/>
  <c r="AK407" i="5" s="1"/>
  <c r="A406" i="5"/>
  <c r="S406" i="5" s="1"/>
  <c r="AK406" i="5" s="1"/>
  <c r="A405" i="5"/>
  <c r="S405" i="5" s="1"/>
  <c r="AK405" i="5" s="1"/>
  <c r="A404" i="5"/>
  <c r="S404" i="5" s="1"/>
  <c r="AK404" i="5" s="1"/>
  <c r="A403" i="5"/>
  <c r="S403" i="5" s="1"/>
  <c r="AK403" i="5" s="1"/>
  <c r="A402" i="5"/>
  <c r="S402" i="5" s="1"/>
  <c r="AK402" i="5" s="1"/>
  <c r="A401" i="5"/>
  <c r="S401" i="5" s="1"/>
  <c r="AK401" i="5" s="1"/>
  <c r="A400" i="5"/>
  <c r="S400" i="5" s="1"/>
  <c r="AK400" i="5" s="1"/>
  <c r="A399" i="5"/>
  <c r="S399" i="5" s="1"/>
  <c r="AK399" i="5" s="1"/>
  <c r="A398" i="5"/>
  <c r="S398" i="5" s="1"/>
  <c r="AK398" i="5" s="1"/>
  <c r="A397" i="5"/>
  <c r="S397" i="5" s="1"/>
  <c r="AK397" i="5" s="1"/>
  <c r="A396" i="5"/>
  <c r="S396" i="5" s="1"/>
  <c r="AK396" i="5" s="1"/>
  <c r="A395" i="5"/>
  <c r="S395" i="5" s="1"/>
  <c r="AK395" i="5" s="1"/>
  <c r="A394" i="5"/>
  <c r="S394" i="5" s="1"/>
  <c r="AK394" i="5" s="1"/>
  <c r="A393" i="5"/>
  <c r="S393" i="5" s="1"/>
  <c r="AK393" i="5" s="1"/>
  <c r="A392" i="5"/>
  <c r="S392" i="5" s="1"/>
  <c r="AK392" i="5" s="1"/>
  <c r="A391" i="5"/>
  <c r="S391" i="5" s="1"/>
  <c r="AK391" i="5" s="1"/>
  <c r="A390" i="5"/>
  <c r="S390" i="5" s="1"/>
  <c r="AK390" i="5" s="1"/>
  <c r="A389" i="5"/>
  <c r="S389" i="5" s="1"/>
  <c r="AK389" i="5" s="1"/>
  <c r="A388" i="5"/>
  <c r="S388" i="5" s="1"/>
  <c r="AK388" i="5" s="1"/>
  <c r="A387" i="5"/>
  <c r="S387" i="5" s="1"/>
  <c r="AK387" i="5" s="1"/>
  <c r="A386" i="5"/>
  <c r="S386" i="5" s="1"/>
  <c r="AK386" i="5" s="1"/>
  <c r="A385" i="5"/>
  <c r="S385" i="5" s="1"/>
  <c r="AK385" i="5" s="1"/>
  <c r="A384" i="5"/>
  <c r="S384" i="5" s="1"/>
  <c r="AK384" i="5" s="1"/>
  <c r="A383" i="5"/>
  <c r="S383" i="5" s="1"/>
  <c r="AK383" i="5" s="1"/>
  <c r="A382" i="5"/>
  <c r="S382" i="5" s="1"/>
  <c r="AK382" i="5" s="1"/>
  <c r="A381" i="5"/>
  <c r="S381" i="5" s="1"/>
  <c r="AK381" i="5" s="1"/>
  <c r="A380" i="5"/>
  <c r="S380" i="5" s="1"/>
  <c r="AK380" i="5" s="1"/>
  <c r="A379" i="5"/>
  <c r="S379" i="5" s="1"/>
  <c r="AK379" i="5" s="1"/>
  <c r="A378" i="5"/>
  <c r="S378" i="5" s="1"/>
  <c r="AK378" i="5" s="1"/>
  <c r="A377" i="5"/>
  <c r="S377" i="5" s="1"/>
  <c r="AK377" i="5" s="1"/>
  <c r="A376" i="5"/>
  <c r="S376" i="5" s="1"/>
  <c r="AK376" i="5" s="1"/>
  <c r="A375" i="5"/>
  <c r="S375" i="5" s="1"/>
  <c r="AK375" i="5" s="1"/>
  <c r="A374" i="5"/>
  <c r="S374" i="5" s="1"/>
  <c r="AK374" i="5" s="1"/>
  <c r="A373" i="5"/>
  <c r="S373" i="5" s="1"/>
  <c r="AK373" i="5" s="1"/>
  <c r="A372" i="5"/>
  <c r="S372" i="5" s="1"/>
  <c r="AK372" i="5" s="1"/>
  <c r="A371" i="5"/>
  <c r="S371" i="5" s="1"/>
  <c r="AK371" i="5" s="1"/>
  <c r="A370" i="5"/>
  <c r="S370" i="5" s="1"/>
  <c r="AK370" i="5" s="1"/>
  <c r="A369" i="5"/>
  <c r="S369" i="5" s="1"/>
  <c r="AK369" i="5" s="1"/>
  <c r="A368" i="5"/>
  <c r="S368" i="5" s="1"/>
  <c r="AK368" i="5" s="1"/>
  <c r="A367" i="5"/>
  <c r="S367" i="5" s="1"/>
  <c r="AK367" i="5" s="1"/>
  <c r="A366" i="5"/>
  <c r="S366" i="5" s="1"/>
  <c r="AK366" i="5" s="1"/>
  <c r="A365" i="5"/>
  <c r="S365" i="5" s="1"/>
  <c r="AK365" i="5" s="1"/>
  <c r="A364" i="5"/>
  <c r="S364" i="5" s="1"/>
  <c r="AK364" i="5" s="1"/>
  <c r="A363" i="5"/>
  <c r="S363" i="5" s="1"/>
  <c r="AK363" i="5" s="1"/>
  <c r="A362" i="5"/>
  <c r="S362" i="5" s="1"/>
  <c r="AK362" i="5" s="1"/>
  <c r="A361" i="5"/>
  <c r="S361" i="5" s="1"/>
  <c r="AK361" i="5" s="1"/>
  <c r="A360" i="5"/>
  <c r="S360" i="5" s="1"/>
  <c r="AK360" i="5" s="1"/>
  <c r="A359" i="5"/>
  <c r="S359" i="5" s="1"/>
  <c r="AK359" i="5" s="1"/>
  <c r="A358" i="5"/>
  <c r="S358" i="5" s="1"/>
  <c r="AK358" i="5" s="1"/>
  <c r="A357" i="5"/>
  <c r="S357" i="5" s="1"/>
  <c r="AK357" i="5" s="1"/>
  <c r="A356" i="5"/>
  <c r="S356" i="5" s="1"/>
  <c r="AK356" i="5" s="1"/>
  <c r="A355" i="5"/>
  <c r="S355" i="5" s="1"/>
  <c r="AK355" i="5" s="1"/>
  <c r="A354" i="5"/>
  <c r="S354" i="5" s="1"/>
  <c r="AK354" i="5" s="1"/>
  <c r="A353" i="5"/>
  <c r="S353" i="5" s="1"/>
  <c r="AK353" i="5" s="1"/>
  <c r="A352" i="5"/>
  <c r="S352" i="5" s="1"/>
  <c r="AK352" i="5" s="1"/>
  <c r="A351" i="5"/>
  <c r="S351" i="5" s="1"/>
  <c r="AK351" i="5" s="1"/>
  <c r="A350" i="5"/>
  <c r="S350" i="5" s="1"/>
  <c r="AK350" i="5" s="1"/>
  <c r="A349" i="5"/>
  <c r="S349" i="5" s="1"/>
  <c r="AK349" i="5" s="1"/>
  <c r="A348" i="5"/>
  <c r="S348" i="5" s="1"/>
  <c r="AK348" i="5" s="1"/>
  <c r="A347" i="5"/>
  <c r="S347" i="5" s="1"/>
  <c r="AK347" i="5" s="1"/>
  <c r="A346" i="5"/>
  <c r="S346" i="5" s="1"/>
  <c r="AK346" i="5" s="1"/>
  <c r="A345" i="5"/>
  <c r="S345" i="5" s="1"/>
  <c r="AK345" i="5" s="1"/>
  <c r="A344" i="5"/>
  <c r="S344" i="5" s="1"/>
  <c r="AK344" i="5" s="1"/>
  <c r="A343" i="5"/>
  <c r="S343" i="5" s="1"/>
  <c r="AK343" i="5" s="1"/>
  <c r="A342" i="5"/>
  <c r="S342" i="5" s="1"/>
  <c r="AK342" i="5" s="1"/>
  <c r="A341" i="5"/>
  <c r="S341" i="5" s="1"/>
  <c r="AK341" i="5" s="1"/>
  <c r="A340" i="5"/>
  <c r="S340" i="5" s="1"/>
  <c r="AK340" i="5" s="1"/>
  <c r="A339" i="5"/>
  <c r="S339" i="5" s="1"/>
  <c r="AK339" i="5" s="1"/>
  <c r="A338" i="5"/>
  <c r="S338" i="5" s="1"/>
  <c r="AK338" i="5" s="1"/>
  <c r="A337" i="5"/>
  <c r="S337" i="5" s="1"/>
  <c r="AK337" i="5" s="1"/>
  <c r="A336" i="5"/>
  <c r="S336" i="5" s="1"/>
  <c r="AK336" i="5" s="1"/>
  <c r="A335" i="5"/>
  <c r="S335" i="5" s="1"/>
  <c r="AK335" i="5" s="1"/>
  <c r="A334" i="5"/>
  <c r="S334" i="5" s="1"/>
  <c r="AK334" i="5" s="1"/>
  <c r="A333" i="5"/>
  <c r="S333" i="5" s="1"/>
  <c r="AK333" i="5" s="1"/>
  <c r="A332" i="5"/>
  <c r="S332" i="5" s="1"/>
  <c r="AK332" i="5" s="1"/>
  <c r="A331" i="5"/>
  <c r="S331" i="5" s="1"/>
  <c r="AK331" i="5" s="1"/>
  <c r="A330" i="5"/>
  <c r="S330" i="5" s="1"/>
  <c r="AK330" i="5" s="1"/>
  <c r="A329" i="5"/>
  <c r="S329" i="5" s="1"/>
  <c r="AK329" i="5" s="1"/>
  <c r="A328" i="5"/>
  <c r="S328" i="5" s="1"/>
  <c r="AK328" i="5" s="1"/>
  <c r="A327" i="5"/>
  <c r="S327" i="5" s="1"/>
  <c r="AK327" i="5" s="1"/>
  <c r="A326" i="5"/>
  <c r="S326" i="5" s="1"/>
  <c r="AK326" i="5" s="1"/>
  <c r="A325" i="5"/>
  <c r="S325" i="5" s="1"/>
  <c r="AK325" i="5" s="1"/>
  <c r="A324" i="5"/>
  <c r="S324" i="5" s="1"/>
  <c r="AK324" i="5" s="1"/>
  <c r="A323" i="5"/>
  <c r="S323" i="5" s="1"/>
  <c r="AK323" i="5" s="1"/>
  <c r="A322" i="5"/>
  <c r="S322" i="5" s="1"/>
  <c r="AK322" i="5" s="1"/>
  <c r="A321" i="5"/>
  <c r="S321" i="5" s="1"/>
  <c r="AK321" i="5" s="1"/>
  <c r="A320" i="5"/>
  <c r="S320" i="5" s="1"/>
  <c r="AK320" i="5" s="1"/>
  <c r="A319" i="5"/>
  <c r="S319" i="5" s="1"/>
  <c r="AK319" i="5" s="1"/>
  <c r="A318" i="5"/>
  <c r="S318" i="5" s="1"/>
  <c r="AK318" i="5" s="1"/>
  <c r="A317" i="5"/>
  <c r="S317" i="5" s="1"/>
  <c r="AK317" i="5" s="1"/>
  <c r="A316" i="5"/>
  <c r="S316" i="5" s="1"/>
  <c r="AK316" i="5" s="1"/>
  <c r="A315" i="5"/>
  <c r="S315" i="5" s="1"/>
  <c r="AK315" i="5" s="1"/>
  <c r="A314" i="5"/>
  <c r="S314" i="5" s="1"/>
  <c r="AK314" i="5" s="1"/>
  <c r="A313" i="5"/>
  <c r="S313" i="5" s="1"/>
  <c r="AK313" i="5" s="1"/>
  <c r="A312" i="5"/>
  <c r="S312" i="5" s="1"/>
  <c r="AK312" i="5" s="1"/>
  <c r="A311" i="5"/>
  <c r="S311" i="5" s="1"/>
  <c r="AK311" i="5" s="1"/>
  <c r="A310" i="5"/>
  <c r="S310" i="5" s="1"/>
  <c r="AK310" i="5" s="1"/>
  <c r="A309" i="5"/>
  <c r="S309" i="5" s="1"/>
  <c r="AK309" i="5" s="1"/>
  <c r="A308" i="5"/>
  <c r="S308" i="5" s="1"/>
  <c r="AK308" i="5" s="1"/>
  <c r="A307" i="5"/>
  <c r="S307" i="5" s="1"/>
  <c r="AK307" i="5" s="1"/>
  <c r="A306" i="5"/>
  <c r="S306" i="5" s="1"/>
  <c r="AK306" i="5" s="1"/>
  <c r="A305" i="5"/>
  <c r="S305" i="5" s="1"/>
  <c r="AK305" i="5" s="1"/>
  <c r="A304" i="5"/>
  <c r="S304" i="5" s="1"/>
  <c r="AK304" i="5" s="1"/>
  <c r="A303" i="5"/>
  <c r="S303" i="5" s="1"/>
  <c r="AK303" i="5" s="1"/>
  <c r="A302" i="5"/>
  <c r="S302" i="5" s="1"/>
  <c r="AK302" i="5" s="1"/>
  <c r="A301" i="5"/>
  <c r="S301" i="5" s="1"/>
  <c r="AK301" i="5" s="1"/>
  <c r="A300" i="5"/>
  <c r="S300" i="5" s="1"/>
  <c r="AK300" i="5" s="1"/>
  <c r="A299" i="5"/>
  <c r="S299" i="5" s="1"/>
  <c r="AK299" i="5" s="1"/>
  <c r="A298" i="5"/>
  <c r="S298" i="5" s="1"/>
  <c r="AK298" i="5" s="1"/>
  <c r="A297" i="5"/>
  <c r="S297" i="5" s="1"/>
  <c r="AK297" i="5" s="1"/>
  <c r="A296" i="5"/>
  <c r="S296" i="5" s="1"/>
  <c r="AK296" i="5" s="1"/>
  <c r="A295" i="5"/>
  <c r="S295" i="5" s="1"/>
  <c r="AK295" i="5" s="1"/>
  <c r="A294" i="5"/>
  <c r="S294" i="5" s="1"/>
  <c r="AK294" i="5" s="1"/>
  <c r="A293" i="5"/>
  <c r="S293" i="5" s="1"/>
  <c r="AK293" i="5" s="1"/>
  <c r="A292" i="5"/>
  <c r="S292" i="5" s="1"/>
  <c r="AK292" i="5" s="1"/>
  <c r="A291" i="5"/>
  <c r="S291" i="5" s="1"/>
  <c r="AK291" i="5" s="1"/>
  <c r="A290" i="5"/>
  <c r="S290" i="5" s="1"/>
  <c r="AK290" i="5" s="1"/>
  <c r="A289" i="5"/>
  <c r="S289" i="5" s="1"/>
  <c r="AK289" i="5" s="1"/>
  <c r="A288" i="5"/>
  <c r="S288" i="5" s="1"/>
  <c r="AK288" i="5" s="1"/>
  <c r="A287" i="5"/>
  <c r="S287" i="5" s="1"/>
  <c r="AK287" i="5" s="1"/>
  <c r="A286" i="5"/>
  <c r="S286" i="5" s="1"/>
  <c r="AK286" i="5" s="1"/>
  <c r="A285" i="5"/>
  <c r="S285" i="5" s="1"/>
  <c r="AK285" i="5" s="1"/>
  <c r="A284" i="5"/>
  <c r="S284" i="5" s="1"/>
  <c r="AK284" i="5" s="1"/>
  <c r="A283" i="5"/>
  <c r="S283" i="5" s="1"/>
  <c r="AK283" i="5" s="1"/>
  <c r="A282" i="5"/>
  <c r="S282" i="5" s="1"/>
  <c r="AK282" i="5" s="1"/>
  <c r="A281" i="5"/>
  <c r="S281" i="5" s="1"/>
  <c r="AK281" i="5" s="1"/>
  <c r="A280" i="5"/>
  <c r="S280" i="5" s="1"/>
  <c r="AK280" i="5" s="1"/>
  <c r="A279" i="5"/>
  <c r="S279" i="5" s="1"/>
  <c r="AK279" i="5" s="1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482" i="4"/>
  <c r="S482" i="4" s="1"/>
  <c r="AK482" i="4" s="1"/>
  <c r="A481" i="4"/>
  <c r="S481" i="4" s="1"/>
  <c r="AK481" i="4" s="1"/>
  <c r="A480" i="4"/>
  <c r="S480" i="4" s="1"/>
  <c r="AK480" i="4" s="1"/>
  <c r="A479" i="4"/>
  <c r="S479" i="4" s="1"/>
  <c r="AK479" i="4" s="1"/>
  <c r="A478" i="4"/>
  <c r="S478" i="4" s="1"/>
  <c r="AK478" i="4" s="1"/>
  <c r="A477" i="4"/>
  <c r="S477" i="4" s="1"/>
  <c r="AK477" i="4" s="1"/>
  <c r="A476" i="4"/>
  <c r="S476" i="4" s="1"/>
  <c r="AK476" i="4" s="1"/>
  <c r="A475" i="4"/>
  <c r="S475" i="4" s="1"/>
  <c r="AK475" i="4" s="1"/>
  <c r="A474" i="4"/>
  <c r="S474" i="4" s="1"/>
  <c r="AK474" i="4" s="1"/>
  <c r="A473" i="4"/>
  <c r="S473" i="4" s="1"/>
  <c r="AK473" i="4" s="1"/>
  <c r="A472" i="4"/>
  <c r="S472" i="4" s="1"/>
  <c r="AK472" i="4" s="1"/>
  <c r="A471" i="4"/>
  <c r="S471" i="4" s="1"/>
  <c r="AK471" i="4" s="1"/>
  <c r="A470" i="4"/>
  <c r="S470" i="4" s="1"/>
  <c r="AK470" i="4" s="1"/>
  <c r="A469" i="4"/>
  <c r="S469" i="4" s="1"/>
  <c r="AK469" i="4" s="1"/>
  <c r="A468" i="4"/>
  <c r="S468" i="4" s="1"/>
  <c r="AK468" i="4" s="1"/>
  <c r="A467" i="4"/>
  <c r="S467" i="4" s="1"/>
  <c r="AK467" i="4" s="1"/>
  <c r="A466" i="4"/>
  <c r="S466" i="4" s="1"/>
  <c r="AK466" i="4" s="1"/>
  <c r="A465" i="4"/>
  <c r="S465" i="4" s="1"/>
  <c r="AK465" i="4" s="1"/>
  <c r="A464" i="4"/>
  <c r="S464" i="4" s="1"/>
  <c r="AK464" i="4" s="1"/>
  <c r="A463" i="4"/>
  <c r="S463" i="4" s="1"/>
  <c r="AK463" i="4" s="1"/>
  <c r="A462" i="4"/>
  <c r="S462" i="4" s="1"/>
  <c r="AK462" i="4" s="1"/>
  <c r="A461" i="4"/>
  <c r="S461" i="4" s="1"/>
  <c r="AK461" i="4" s="1"/>
  <c r="A460" i="4"/>
  <c r="S460" i="4" s="1"/>
  <c r="AK460" i="4" s="1"/>
  <c r="A459" i="4"/>
  <c r="S459" i="4" s="1"/>
  <c r="AK459" i="4" s="1"/>
  <c r="A458" i="4"/>
  <c r="S458" i="4" s="1"/>
  <c r="AK458" i="4" s="1"/>
  <c r="A457" i="4"/>
  <c r="S457" i="4" s="1"/>
  <c r="AK457" i="4" s="1"/>
  <c r="A456" i="4"/>
  <c r="S456" i="4" s="1"/>
  <c r="AK456" i="4" s="1"/>
  <c r="A455" i="4"/>
  <c r="S455" i="4" s="1"/>
  <c r="AK455" i="4" s="1"/>
  <c r="A454" i="4"/>
  <c r="S454" i="4" s="1"/>
  <c r="AK454" i="4" s="1"/>
  <c r="A453" i="4"/>
  <c r="S453" i="4" s="1"/>
  <c r="AK453" i="4" s="1"/>
  <c r="A452" i="4"/>
  <c r="S452" i="4" s="1"/>
  <c r="AK452" i="4" s="1"/>
  <c r="A451" i="4"/>
  <c r="S451" i="4" s="1"/>
  <c r="AK451" i="4" s="1"/>
  <c r="A450" i="4"/>
  <c r="S450" i="4" s="1"/>
  <c r="AK450" i="4" s="1"/>
  <c r="A449" i="4"/>
  <c r="S449" i="4" s="1"/>
  <c r="AK449" i="4" s="1"/>
  <c r="A448" i="4"/>
  <c r="S448" i="4" s="1"/>
  <c r="AK448" i="4" s="1"/>
  <c r="A447" i="4"/>
  <c r="S447" i="4" s="1"/>
  <c r="AK447" i="4" s="1"/>
  <c r="A446" i="4"/>
  <c r="S446" i="4" s="1"/>
  <c r="AK446" i="4" s="1"/>
  <c r="A445" i="4"/>
  <c r="S445" i="4" s="1"/>
  <c r="AK445" i="4" s="1"/>
  <c r="A444" i="4"/>
  <c r="S444" i="4" s="1"/>
  <c r="AK444" i="4" s="1"/>
  <c r="A443" i="4"/>
  <c r="S443" i="4" s="1"/>
  <c r="AK443" i="4" s="1"/>
  <c r="A442" i="4"/>
  <c r="S442" i="4" s="1"/>
  <c r="AK442" i="4" s="1"/>
  <c r="A441" i="4"/>
  <c r="S441" i="4" s="1"/>
  <c r="AK441" i="4" s="1"/>
  <c r="A440" i="4"/>
  <c r="S440" i="4" s="1"/>
  <c r="AK440" i="4" s="1"/>
  <c r="A439" i="4"/>
  <c r="S439" i="4" s="1"/>
  <c r="AK439" i="4" s="1"/>
  <c r="A438" i="4"/>
  <c r="S438" i="4" s="1"/>
  <c r="AK438" i="4" s="1"/>
  <c r="A437" i="4"/>
  <c r="S437" i="4" s="1"/>
  <c r="AK437" i="4" s="1"/>
  <c r="A436" i="4"/>
  <c r="S436" i="4" s="1"/>
  <c r="AK436" i="4" s="1"/>
  <c r="A435" i="4"/>
  <c r="S435" i="4" s="1"/>
  <c r="AK435" i="4" s="1"/>
  <c r="A434" i="4"/>
  <c r="S434" i="4" s="1"/>
  <c r="AK434" i="4" s="1"/>
  <c r="A433" i="4"/>
  <c r="S433" i="4" s="1"/>
  <c r="AK433" i="4" s="1"/>
  <c r="A432" i="4"/>
  <c r="S432" i="4" s="1"/>
  <c r="AK432" i="4" s="1"/>
  <c r="A431" i="4"/>
  <c r="S431" i="4" s="1"/>
  <c r="AK431" i="4" s="1"/>
  <c r="A430" i="4"/>
  <c r="S430" i="4" s="1"/>
  <c r="AK430" i="4" s="1"/>
  <c r="A429" i="4"/>
  <c r="S429" i="4" s="1"/>
  <c r="AK429" i="4" s="1"/>
  <c r="A428" i="4"/>
  <c r="S428" i="4" s="1"/>
  <c r="AK428" i="4" s="1"/>
  <c r="A427" i="4"/>
  <c r="S427" i="4" s="1"/>
  <c r="AK427" i="4" s="1"/>
  <c r="A426" i="4"/>
  <c r="S426" i="4" s="1"/>
  <c r="AK426" i="4" s="1"/>
  <c r="A425" i="4"/>
  <c r="S425" i="4" s="1"/>
  <c r="AK425" i="4" s="1"/>
  <c r="A424" i="4"/>
  <c r="S424" i="4" s="1"/>
  <c r="AK424" i="4" s="1"/>
  <c r="A423" i="4"/>
  <c r="S423" i="4" s="1"/>
  <c r="AK423" i="4" s="1"/>
  <c r="A422" i="4"/>
  <c r="S422" i="4" s="1"/>
  <c r="AK422" i="4" s="1"/>
  <c r="A421" i="4"/>
  <c r="S421" i="4" s="1"/>
  <c r="AK421" i="4" s="1"/>
  <c r="A420" i="4"/>
  <c r="S420" i="4" s="1"/>
  <c r="AK420" i="4" s="1"/>
  <c r="A419" i="4"/>
  <c r="S419" i="4" s="1"/>
  <c r="AK419" i="4" s="1"/>
  <c r="A418" i="4"/>
  <c r="S418" i="4" s="1"/>
  <c r="AK418" i="4" s="1"/>
  <c r="A417" i="4"/>
  <c r="S417" i="4" s="1"/>
  <c r="AK417" i="4" s="1"/>
  <c r="A416" i="4"/>
  <c r="S416" i="4" s="1"/>
  <c r="AK416" i="4" s="1"/>
  <c r="A415" i="4"/>
  <c r="S415" i="4" s="1"/>
  <c r="AK415" i="4" s="1"/>
  <c r="A414" i="4"/>
  <c r="S414" i="4" s="1"/>
  <c r="AK414" i="4" s="1"/>
  <c r="A413" i="4"/>
  <c r="S413" i="4" s="1"/>
  <c r="AK413" i="4" s="1"/>
  <c r="A412" i="4"/>
  <c r="S412" i="4" s="1"/>
  <c r="AK412" i="4" s="1"/>
  <c r="A411" i="4"/>
  <c r="S411" i="4" s="1"/>
  <c r="AK411" i="4" s="1"/>
  <c r="A410" i="4"/>
  <c r="S410" i="4" s="1"/>
  <c r="AK410" i="4" s="1"/>
  <c r="A409" i="4"/>
  <c r="S409" i="4" s="1"/>
  <c r="AK409" i="4" s="1"/>
  <c r="A408" i="4"/>
  <c r="S408" i="4" s="1"/>
  <c r="AK408" i="4" s="1"/>
  <c r="A407" i="4"/>
  <c r="S407" i="4" s="1"/>
  <c r="AK407" i="4" s="1"/>
  <c r="A406" i="4"/>
  <c r="S406" i="4" s="1"/>
  <c r="AK406" i="4" s="1"/>
  <c r="A405" i="4"/>
  <c r="S405" i="4" s="1"/>
  <c r="AK405" i="4" s="1"/>
  <c r="A404" i="4"/>
  <c r="S404" i="4" s="1"/>
  <c r="AK404" i="4" s="1"/>
  <c r="A403" i="4"/>
  <c r="S403" i="4" s="1"/>
  <c r="AK403" i="4" s="1"/>
  <c r="A402" i="4"/>
  <c r="S402" i="4" s="1"/>
  <c r="AK402" i="4" s="1"/>
  <c r="A401" i="4"/>
  <c r="S401" i="4" s="1"/>
  <c r="AK401" i="4" s="1"/>
  <c r="A400" i="4"/>
  <c r="S400" i="4" s="1"/>
  <c r="AK400" i="4" s="1"/>
  <c r="A399" i="4"/>
  <c r="S399" i="4" s="1"/>
  <c r="AK399" i="4" s="1"/>
  <c r="A398" i="4"/>
  <c r="S398" i="4" s="1"/>
  <c r="AK398" i="4" s="1"/>
  <c r="A397" i="4"/>
  <c r="S397" i="4" s="1"/>
  <c r="AK397" i="4" s="1"/>
  <c r="A396" i="4"/>
  <c r="S396" i="4" s="1"/>
  <c r="AK396" i="4" s="1"/>
  <c r="A395" i="4"/>
  <c r="S395" i="4" s="1"/>
  <c r="AK395" i="4" s="1"/>
  <c r="A394" i="4"/>
  <c r="S394" i="4" s="1"/>
  <c r="AK394" i="4" s="1"/>
  <c r="A393" i="4"/>
  <c r="S393" i="4" s="1"/>
  <c r="AK393" i="4" s="1"/>
  <c r="A392" i="4"/>
  <c r="S392" i="4" s="1"/>
  <c r="AK392" i="4" s="1"/>
  <c r="A391" i="4"/>
  <c r="S391" i="4" s="1"/>
  <c r="AK391" i="4" s="1"/>
  <c r="A390" i="4"/>
  <c r="S390" i="4" s="1"/>
  <c r="AK390" i="4" s="1"/>
  <c r="A389" i="4"/>
  <c r="S389" i="4" s="1"/>
  <c r="AK389" i="4" s="1"/>
  <c r="A388" i="4"/>
  <c r="S388" i="4" s="1"/>
  <c r="AK388" i="4" s="1"/>
  <c r="A387" i="4"/>
  <c r="S387" i="4" s="1"/>
  <c r="AK387" i="4" s="1"/>
  <c r="A386" i="4"/>
  <c r="S386" i="4" s="1"/>
  <c r="AK386" i="4" s="1"/>
  <c r="A385" i="4"/>
  <c r="S385" i="4" s="1"/>
  <c r="AK385" i="4" s="1"/>
  <c r="A384" i="4"/>
  <c r="S384" i="4" s="1"/>
  <c r="AK384" i="4" s="1"/>
  <c r="A383" i="4"/>
  <c r="S383" i="4" s="1"/>
  <c r="AK383" i="4" s="1"/>
  <c r="A382" i="4"/>
  <c r="S382" i="4" s="1"/>
  <c r="AK382" i="4" s="1"/>
  <c r="A381" i="4"/>
  <c r="S381" i="4" s="1"/>
  <c r="AK381" i="4" s="1"/>
  <c r="A380" i="4"/>
  <c r="S380" i="4" s="1"/>
  <c r="AK380" i="4" s="1"/>
  <c r="A379" i="4"/>
  <c r="S379" i="4" s="1"/>
  <c r="AK379" i="4" s="1"/>
  <c r="A378" i="4"/>
  <c r="S378" i="4" s="1"/>
  <c r="AK378" i="4" s="1"/>
  <c r="A377" i="4"/>
  <c r="S377" i="4" s="1"/>
  <c r="AK377" i="4" s="1"/>
  <c r="A376" i="4"/>
  <c r="S376" i="4" s="1"/>
  <c r="AK376" i="4" s="1"/>
  <c r="A375" i="4"/>
  <c r="S375" i="4" s="1"/>
  <c r="AK375" i="4" s="1"/>
  <c r="A374" i="4"/>
  <c r="S374" i="4" s="1"/>
  <c r="AK374" i="4" s="1"/>
  <c r="A373" i="4"/>
  <c r="S373" i="4" s="1"/>
  <c r="AK373" i="4" s="1"/>
  <c r="A372" i="4"/>
  <c r="S372" i="4" s="1"/>
  <c r="AK372" i="4" s="1"/>
  <c r="A371" i="4"/>
  <c r="S371" i="4" s="1"/>
  <c r="AK371" i="4" s="1"/>
  <c r="A370" i="4"/>
  <c r="S370" i="4" s="1"/>
  <c r="AK370" i="4" s="1"/>
  <c r="A369" i="4"/>
  <c r="S369" i="4" s="1"/>
  <c r="AK369" i="4" s="1"/>
  <c r="A368" i="4"/>
  <c r="S368" i="4" s="1"/>
  <c r="AK368" i="4" s="1"/>
  <c r="A367" i="4"/>
  <c r="S367" i="4" s="1"/>
  <c r="AK367" i="4" s="1"/>
  <c r="A366" i="4"/>
  <c r="S366" i="4" s="1"/>
  <c r="AK366" i="4" s="1"/>
  <c r="A365" i="4"/>
  <c r="S365" i="4" s="1"/>
  <c r="AK365" i="4" s="1"/>
  <c r="A364" i="4"/>
  <c r="S364" i="4" s="1"/>
  <c r="AK364" i="4" s="1"/>
  <c r="A363" i="4"/>
  <c r="S363" i="4" s="1"/>
  <c r="AK363" i="4" s="1"/>
  <c r="A362" i="4"/>
  <c r="S362" i="4" s="1"/>
  <c r="AK362" i="4" s="1"/>
  <c r="A361" i="4"/>
  <c r="S361" i="4" s="1"/>
  <c r="AK361" i="4" s="1"/>
  <c r="A360" i="4"/>
  <c r="S360" i="4" s="1"/>
  <c r="AK360" i="4" s="1"/>
  <c r="A359" i="4"/>
  <c r="S359" i="4" s="1"/>
  <c r="AK359" i="4" s="1"/>
  <c r="A358" i="4"/>
  <c r="S358" i="4" s="1"/>
  <c r="AK358" i="4" s="1"/>
  <c r="A357" i="4"/>
  <c r="S357" i="4" s="1"/>
  <c r="AK357" i="4" s="1"/>
  <c r="A356" i="4"/>
  <c r="S356" i="4" s="1"/>
  <c r="AK356" i="4" s="1"/>
  <c r="A355" i="4"/>
  <c r="S355" i="4" s="1"/>
  <c r="AK355" i="4" s="1"/>
  <c r="A354" i="4"/>
  <c r="S354" i="4" s="1"/>
  <c r="AK354" i="4" s="1"/>
  <c r="A353" i="4"/>
  <c r="S353" i="4" s="1"/>
  <c r="AK353" i="4" s="1"/>
  <c r="A352" i="4"/>
  <c r="S352" i="4" s="1"/>
  <c r="AK352" i="4" s="1"/>
  <c r="A351" i="4"/>
  <c r="S351" i="4" s="1"/>
  <c r="AK351" i="4" s="1"/>
  <c r="A350" i="4"/>
  <c r="S350" i="4" s="1"/>
  <c r="AK350" i="4" s="1"/>
  <c r="A349" i="4"/>
  <c r="S349" i="4" s="1"/>
  <c r="AK349" i="4" s="1"/>
  <c r="A348" i="4"/>
  <c r="S348" i="4" s="1"/>
  <c r="AK348" i="4" s="1"/>
  <c r="A347" i="4"/>
  <c r="S347" i="4" s="1"/>
  <c r="AK347" i="4" s="1"/>
  <c r="A346" i="4"/>
  <c r="S346" i="4" s="1"/>
  <c r="AK346" i="4" s="1"/>
  <c r="A345" i="4"/>
  <c r="S345" i="4" s="1"/>
  <c r="AK345" i="4" s="1"/>
  <c r="A344" i="4"/>
  <c r="S344" i="4" s="1"/>
  <c r="AK344" i="4" s="1"/>
  <c r="A343" i="4"/>
  <c r="S343" i="4" s="1"/>
  <c r="AK343" i="4" s="1"/>
  <c r="A342" i="4"/>
  <c r="S342" i="4" s="1"/>
  <c r="AK342" i="4" s="1"/>
  <c r="A341" i="4"/>
  <c r="S341" i="4" s="1"/>
  <c r="AK341" i="4" s="1"/>
  <c r="A340" i="4"/>
  <c r="S340" i="4" s="1"/>
  <c r="AK340" i="4" s="1"/>
  <c r="A339" i="4"/>
  <c r="S339" i="4" s="1"/>
  <c r="AK339" i="4" s="1"/>
  <c r="A338" i="4"/>
  <c r="S338" i="4" s="1"/>
  <c r="AK338" i="4" s="1"/>
  <c r="A337" i="4"/>
  <c r="S337" i="4" s="1"/>
  <c r="AK337" i="4" s="1"/>
  <c r="A336" i="4"/>
  <c r="S336" i="4" s="1"/>
  <c r="AK336" i="4" s="1"/>
  <c r="A335" i="4"/>
  <c r="S335" i="4" s="1"/>
  <c r="AK335" i="4" s="1"/>
  <c r="A334" i="4"/>
  <c r="S334" i="4" s="1"/>
  <c r="AK334" i="4" s="1"/>
  <c r="A333" i="4"/>
  <c r="S333" i="4" s="1"/>
  <c r="AK333" i="4" s="1"/>
  <c r="A332" i="4"/>
  <c r="S332" i="4" s="1"/>
  <c r="AK332" i="4" s="1"/>
  <c r="A331" i="4"/>
  <c r="S331" i="4" s="1"/>
  <c r="AK331" i="4" s="1"/>
  <c r="A330" i="4"/>
  <c r="S330" i="4" s="1"/>
  <c r="AK330" i="4" s="1"/>
  <c r="A329" i="4"/>
  <c r="S329" i="4" s="1"/>
  <c r="AK329" i="4" s="1"/>
  <c r="A328" i="4"/>
  <c r="S328" i="4" s="1"/>
  <c r="AK328" i="4" s="1"/>
  <c r="A327" i="4"/>
  <c r="S327" i="4" s="1"/>
  <c r="AK327" i="4" s="1"/>
  <c r="A326" i="4"/>
  <c r="S326" i="4" s="1"/>
  <c r="AK326" i="4" s="1"/>
  <c r="A325" i="4"/>
  <c r="S325" i="4" s="1"/>
  <c r="AK325" i="4" s="1"/>
  <c r="A324" i="4"/>
  <c r="S324" i="4" s="1"/>
  <c r="AK324" i="4" s="1"/>
  <c r="A323" i="4"/>
  <c r="S323" i="4" s="1"/>
  <c r="AK323" i="4" s="1"/>
  <c r="A322" i="4"/>
  <c r="S322" i="4" s="1"/>
  <c r="AK322" i="4" s="1"/>
  <c r="A321" i="4"/>
  <c r="S321" i="4" s="1"/>
  <c r="AK321" i="4" s="1"/>
  <c r="A320" i="4"/>
  <c r="S320" i="4" s="1"/>
  <c r="AK320" i="4" s="1"/>
  <c r="A319" i="4"/>
  <c r="S319" i="4" s="1"/>
  <c r="AK319" i="4" s="1"/>
  <c r="A318" i="4"/>
  <c r="S318" i="4" s="1"/>
  <c r="AK318" i="4" s="1"/>
  <c r="A317" i="4"/>
  <c r="S317" i="4" s="1"/>
  <c r="AK317" i="4" s="1"/>
  <c r="A316" i="4"/>
  <c r="S316" i="4" s="1"/>
  <c r="AK316" i="4" s="1"/>
  <c r="A315" i="4"/>
  <c r="S315" i="4" s="1"/>
  <c r="AK315" i="4" s="1"/>
  <c r="A314" i="4"/>
  <c r="S314" i="4" s="1"/>
  <c r="AK314" i="4" s="1"/>
  <c r="A313" i="4"/>
  <c r="S313" i="4" s="1"/>
  <c r="AK313" i="4" s="1"/>
  <c r="A312" i="4"/>
  <c r="S312" i="4" s="1"/>
  <c r="AK312" i="4" s="1"/>
  <c r="A311" i="4"/>
  <c r="S311" i="4" s="1"/>
  <c r="AK311" i="4" s="1"/>
  <c r="A310" i="4"/>
  <c r="S310" i="4" s="1"/>
  <c r="AK310" i="4" s="1"/>
  <c r="A309" i="4"/>
  <c r="S309" i="4" s="1"/>
  <c r="AK309" i="4" s="1"/>
  <c r="A308" i="4"/>
  <c r="S308" i="4" s="1"/>
  <c r="AK308" i="4" s="1"/>
  <c r="A307" i="4"/>
  <c r="S307" i="4" s="1"/>
  <c r="AK307" i="4" s="1"/>
  <c r="A306" i="4"/>
  <c r="S306" i="4" s="1"/>
  <c r="AK306" i="4" s="1"/>
  <c r="A305" i="4"/>
  <c r="S305" i="4" s="1"/>
  <c r="AK305" i="4" s="1"/>
  <c r="A304" i="4"/>
  <c r="S304" i="4" s="1"/>
  <c r="AK304" i="4" s="1"/>
  <c r="A303" i="4"/>
  <c r="S303" i="4" s="1"/>
  <c r="AK303" i="4" s="1"/>
  <c r="A302" i="4"/>
  <c r="S302" i="4" s="1"/>
  <c r="AK302" i="4" s="1"/>
  <c r="A301" i="4"/>
  <c r="S301" i="4" s="1"/>
  <c r="AK301" i="4" s="1"/>
  <c r="A300" i="4"/>
  <c r="S300" i="4" s="1"/>
  <c r="AK300" i="4" s="1"/>
  <c r="A299" i="4"/>
  <c r="S299" i="4" s="1"/>
  <c r="AK299" i="4" s="1"/>
  <c r="A298" i="4"/>
  <c r="S298" i="4" s="1"/>
  <c r="AK298" i="4" s="1"/>
  <c r="A297" i="4"/>
  <c r="S297" i="4" s="1"/>
  <c r="AK297" i="4" s="1"/>
  <c r="A296" i="4"/>
  <c r="S296" i="4" s="1"/>
  <c r="AK296" i="4" s="1"/>
  <c r="A295" i="4"/>
  <c r="S295" i="4" s="1"/>
  <c r="AK295" i="4" s="1"/>
  <c r="A294" i="4"/>
  <c r="S294" i="4" s="1"/>
  <c r="AK294" i="4" s="1"/>
  <c r="A293" i="4"/>
  <c r="S293" i="4" s="1"/>
  <c r="AK293" i="4" s="1"/>
  <c r="A292" i="4"/>
  <c r="S292" i="4" s="1"/>
  <c r="AK292" i="4" s="1"/>
  <c r="A291" i="4"/>
  <c r="S291" i="4" s="1"/>
  <c r="AK291" i="4" s="1"/>
  <c r="A290" i="4"/>
  <c r="S290" i="4" s="1"/>
  <c r="AK290" i="4" s="1"/>
  <c r="A289" i="4"/>
  <c r="S289" i="4" s="1"/>
  <c r="AK289" i="4" s="1"/>
  <c r="A288" i="4"/>
  <c r="S288" i="4" s="1"/>
  <c r="AK288" i="4" s="1"/>
  <c r="A287" i="4"/>
  <c r="S287" i="4" s="1"/>
  <c r="AK287" i="4" s="1"/>
  <c r="A286" i="4"/>
  <c r="S286" i="4" s="1"/>
  <c r="AK286" i="4" s="1"/>
  <c r="A285" i="4"/>
  <c r="S285" i="4" s="1"/>
  <c r="AK285" i="4" s="1"/>
  <c r="A284" i="4"/>
  <c r="S284" i="4" s="1"/>
  <c r="AK284" i="4" s="1"/>
  <c r="A283" i="4"/>
  <c r="S283" i="4" s="1"/>
  <c r="AK283" i="4" s="1"/>
  <c r="A282" i="4"/>
  <c r="S282" i="4" s="1"/>
  <c r="AK282" i="4" s="1"/>
  <c r="A281" i="4"/>
  <c r="S281" i="4" s="1"/>
  <c r="AK281" i="4" s="1"/>
  <c r="A280" i="4"/>
  <c r="S280" i="4" s="1"/>
  <c r="AK280" i="4" s="1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S279" i="4" l="1"/>
  <c r="AK279" i="4" s="1"/>
  <c r="S275" i="4"/>
  <c r="AK275" i="4" s="1"/>
  <c r="S271" i="5"/>
  <c r="AK271" i="5" s="1"/>
  <c r="S271" i="4"/>
  <c r="AK271" i="4" s="1"/>
  <c r="S270" i="4"/>
  <c r="AK270" i="4" s="1"/>
  <c r="S268" i="4"/>
  <c r="AK268" i="4" s="1"/>
  <c r="S269" i="5" l="1"/>
  <c r="AK269" i="5" s="1"/>
  <c r="S272" i="4"/>
  <c r="AK272" i="4" s="1"/>
  <c r="S267" i="5"/>
  <c r="AK267" i="5" s="1"/>
  <c r="S278" i="4"/>
  <c r="AK278" i="4" s="1"/>
  <c r="S277" i="5"/>
  <c r="AK277" i="5" s="1"/>
  <c r="S268" i="5"/>
  <c r="AK268" i="5" s="1"/>
  <c r="S269" i="4"/>
  <c r="AK269" i="4" s="1"/>
  <c r="S274" i="4"/>
  <c r="AK274" i="4" s="1"/>
  <c r="S273" i="5"/>
  <c r="AK273" i="5" s="1"/>
  <c r="S276" i="4"/>
  <c r="AK276" i="4" s="1"/>
  <c r="S275" i="5"/>
  <c r="AK275" i="5" s="1"/>
  <c r="S273" i="4"/>
  <c r="AK273" i="4" s="1"/>
  <c r="S272" i="5"/>
  <c r="AK272" i="5" s="1"/>
  <c r="S276" i="5"/>
  <c r="AK276" i="5" s="1"/>
  <c r="S277" i="4"/>
  <c r="AK277" i="4" s="1"/>
  <c r="S270" i="5"/>
  <c r="AK270" i="5" s="1"/>
  <c r="S278" i="5"/>
  <c r="AK278" i="5" s="1"/>
  <c r="S274" i="5"/>
  <c r="AK274" i="5" s="1"/>
  <c r="S2" i="5"/>
  <c r="S3" i="4"/>
  <c r="AK2" i="5" l="1"/>
  <c r="AK3" i="4" l="1"/>
  <c r="K2" i="3" l="1"/>
  <c r="S267" i="4"/>
  <c r="AK267" i="4" s="1"/>
  <c r="S114" i="4"/>
  <c r="AK114" i="4" s="1"/>
  <c r="S137" i="4"/>
  <c r="AK137" i="4" s="1"/>
  <c r="C2" i="3"/>
  <c r="B2" i="3"/>
  <c r="Q2" i="3"/>
  <c r="P2" i="3"/>
  <c r="O2" i="3"/>
  <c r="N2" i="3"/>
  <c r="M2" i="3"/>
  <c r="L2" i="3"/>
  <c r="D2" i="3"/>
  <c r="E2" i="3"/>
  <c r="F2" i="3"/>
  <c r="I2" i="3"/>
  <c r="G2" i="3"/>
  <c r="H2" i="3"/>
  <c r="J2" i="3"/>
  <c r="S67" i="5"/>
  <c r="AK67" i="5" s="1"/>
  <c r="S68" i="4"/>
  <c r="AK68" i="4" s="1"/>
  <c r="S5" i="5"/>
  <c r="AK5" i="5" s="1"/>
  <c r="S6" i="4"/>
  <c r="AK6" i="4" s="1"/>
  <c r="S165" i="4"/>
  <c r="AK165" i="4" s="1"/>
  <c r="S89" i="4"/>
  <c r="AK89" i="4" s="1"/>
  <c r="S25" i="5"/>
  <c r="AK25" i="5" s="1"/>
  <c r="S26" i="4"/>
  <c r="AK26" i="4" s="1"/>
  <c r="S115" i="4"/>
  <c r="AK115" i="4" s="1"/>
  <c r="S139" i="4"/>
  <c r="AK139" i="4" s="1"/>
  <c r="S107" i="4"/>
  <c r="AK107" i="4" s="1"/>
  <c r="S4" i="4"/>
  <c r="AK4" i="4" s="1"/>
  <c r="S130" i="4"/>
  <c r="AK130" i="4" s="1"/>
  <c r="S106" i="4"/>
  <c r="AK106" i="4" s="1"/>
  <c r="S237" i="5"/>
  <c r="AK237" i="5" s="1"/>
  <c r="S83" i="5"/>
  <c r="AK83" i="5" s="1"/>
  <c r="S122" i="5"/>
  <c r="AK122" i="5" s="1"/>
  <c r="S81" i="5"/>
  <c r="AK81" i="5" s="1"/>
  <c r="S88" i="5"/>
  <c r="AK88" i="5" s="1"/>
  <c r="S259" i="5"/>
  <c r="AK259" i="5" s="1"/>
  <c r="S139" i="5"/>
  <c r="AK139" i="5" s="1"/>
  <c r="S103" i="5"/>
  <c r="AK103" i="5" s="1"/>
  <c r="S142" i="5"/>
  <c r="AK142" i="5" s="1"/>
  <c r="S101" i="5"/>
  <c r="AK101" i="5" s="1"/>
  <c r="S3" i="5"/>
  <c r="AK3" i="5" s="1"/>
  <c r="S86" i="5"/>
  <c r="AK86" i="5" s="1"/>
  <c r="S183" i="5"/>
  <c r="AK183" i="5" s="1"/>
  <c r="S182" i="5"/>
  <c r="AK182" i="5" s="1"/>
  <c r="S141" i="5"/>
  <c r="AK141" i="5" s="1"/>
  <c r="S138" i="5"/>
  <c r="AK138" i="5" s="1"/>
  <c r="S143" i="5"/>
  <c r="AK143" i="5" s="1"/>
  <c r="S82" i="5"/>
  <c r="AK82" i="5" s="1"/>
  <c r="S121" i="5"/>
  <c r="AK121" i="5" s="1"/>
  <c r="S65" i="5"/>
  <c r="AK65" i="5" s="1"/>
  <c r="S162" i="5"/>
  <c r="AK162" i="5" s="1"/>
  <c r="S114" i="5"/>
  <c r="AK114" i="5" s="1"/>
  <c r="S223" i="5"/>
  <c r="AK223" i="5" s="1"/>
  <c r="S23" i="5"/>
  <c r="AK23" i="5" s="1"/>
  <c r="S222" i="5"/>
  <c r="AK222" i="5" s="1"/>
  <c r="S42" i="5"/>
  <c r="AK42" i="5" s="1"/>
  <c r="S261" i="5"/>
  <c r="AK261" i="5" s="1"/>
  <c r="S241" i="5"/>
  <c r="AK241" i="5" s="1"/>
  <c r="S201" i="5"/>
  <c r="AK201" i="5" s="1"/>
  <c r="S61" i="5"/>
  <c r="AK61" i="5" s="1"/>
  <c r="S233" i="5"/>
  <c r="AK233" i="5" s="1"/>
  <c r="S163" i="5"/>
  <c r="AK163" i="5" s="1"/>
  <c r="S102" i="5"/>
  <c r="AK102" i="5" s="1"/>
  <c r="S229" i="5"/>
  <c r="AK229" i="5" s="1"/>
  <c r="S263" i="5"/>
  <c r="AK263" i="5" s="1"/>
  <c r="S203" i="5"/>
  <c r="AK203" i="5" s="1"/>
  <c r="S63" i="5"/>
  <c r="AK63" i="5" s="1"/>
  <c r="S242" i="5"/>
  <c r="AK242" i="5" s="1"/>
  <c r="S22" i="5"/>
  <c r="AK22" i="5" s="1"/>
  <c r="S17" i="5"/>
  <c r="AK17" i="5" s="1"/>
  <c r="S16" i="4"/>
  <c r="AK16" i="4" s="1"/>
  <c r="S228" i="5"/>
  <c r="AK228" i="5" s="1"/>
  <c r="S165" i="5"/>
  <c r="AK165" i="5" s="1"/>
  <c r="S243" i="5"/>
  <c r="AK243" i="5" s="1"/>
  <c r="S43" i="5"/>
  <c r="AK43" i="5" s="1"/>
  <c r="S202" i="5"/>
  <c r="AK202" i="5" s="1"/>
  <c r="S62" i="5"/>
  <c r="AK62" i="5" s="1"/>
  <c r="S221" i="5"/>
  <c r="AK221" i="5" s="1"/>
  <c r="S41" i="5"/>
  <c r="AK41" i="5" s="1"/>
  <c r="S226" i="5"/>
  <c r="AK226" i="5" s="1"/>
  <c r="S168" i="5"/>
  <c r="AK168" i="5" s="1"/>
  <c r="S125" i="5"/>
  <c r="AK125" i="5" s="1"/>
  <c r="S136" i="5"/>
  <c r="AK136" i="5" s="1"/>
  <c r="S36" i="5"/>
  <c r="AK36" i="5" s="1"/>
  <c r="S225" i="5"/>
  <c r="AK225" i="5" s="1"/>
  <c r="S124" i="5"/>
  <c r="AK124" i="5" s="1"/>
  <c r="S235" i="5"/>
  <c r="AK235" i="5" s="1"/>
  <c r="S35" i="5"/>
  <c r="AK35" i="5" s="1"/>
  <c r="S15" i="5"/>
  <c r="AK15" i="5" s="1"/>
  <c r="S266" i="5"/>
  <c r="AK266" i="5" s="1"/>
  <c r="S59" i="5"/>
  <c r="AK59" i="5" s="1"/>
  <c r="S9" i="5"/>
  <c r="AK9" i="5" s="1"/>
  <c r="S112" i="5"/>
  <c r="AK112" i="5" s="1"/>
  <c r="S207" i="5"/>
  <c r="AK207" i="5" s="1"/>
  <c r="S231" i="5"/>
  <c r="AK231" i="5" s="1"/>
  <c r="S111" i="5"/>
  <c r="AK111" i="5" s="1"/>
  <c r="S69" i="5"/>
  <c r="AK69" i="5" s="1"/>
  <c r="S149" i="5"/>
  <c r="AK149" i="5" s="1"/>
  <c r="S129" i="5"/>
  <c r="AK129" i="5" s="1"/>
  <c r="S148" i="5"/>
  <c r="AK148" i="5" s="1"/>
  <c r="S209" i="5"/>
  <c r="AK209" i="5" s="1"/>
  <c r="S239" i="5"/>
  <c r="AK239" i="5" s="1"/>
  <c r="S206" i="5"/>
  <c r="AK206" i="5" s="1"/>
  <c r="S49" i="5"/>
  <c r="AK49" i="5" s="1"/>
  <c r="S189" i="5"/>
  <c r="AK189" i="5" s="1"/>
  <c r="S39" i="5"/>
  <c r="AK39" i="5" s="1"/>
  <c r="S205" i="5"/>
  <c r="AK205" i="5" s="1"/>
  <c r="S26" i="5"/>
  <c r="AK26" i="5" s="1"/>
  <c r="S220" i="5"/>
  <c r="AK220" i="5" s="1"/>
  <c r="S200" i="5"/>
  <c r="AK200" i="5" s="1"/>
  <c r="S180" i="5"/>
  <c r="AK180" i="5" s="1"/>
  <c r="S160" i="5"/>
  <c r="AK160" i="5" s="1"/>
  <c r="S140" i="5"/>
  <c r="AK140" i="5" s="1"/>
  <c r="S100" i="5"/>
  <c r="AK100" i="5" s="1"/>
  <c r="S80" i="5"/>
  <c r="AK80" i="5" s="1"/>
  <c r="S60" i="5"/>
  <c r="AK60" i="5" s="1"/>
  <c r="S40" i="5"/>
  <c r="AK40" i="5" s="1"/>
  <c r="S20" i="5"/>
  <c r="AK20" i="5" s="1"/>
  <c r="S166" i="5"/>
  <c r="AK166" i="5" s="1"/>
  <c r="S199" i="5"/>
  <c r="AK199" i="5" s="1"/>
  <c r="S99" i="5"/>
  <c r="AK99" i="5" s="1"/>
  <c r="S227" i="5"/>
  <c r="AK227" i="5" s="1"/>
  <c r="S119" i="5"/>
  <c r="AK119" i="5" s="1"/>
  <c r="S79" i="5"/>
  <c r="AK79" i="5" s="1"/>
  <c r="S213" i="5"/>
  <c r="AK213" i="5" s="1"/>
  <c r="S113" i="5"/>
  <c r="AK113" i="5" s="1"/>
  <c r="S73" i="5"/>
  <c r="AK73" i="5" s="1"/>
  <c r="S185" i="5"/>
  <c r="AK185" i="5" s="1"/>
  <c r="S147" i="5"/>
  <c r="AK147" i="5" s="1"/>
  <c r="S7" i="5"/>
  <c r="AK7" i="5" s="1"/>
  <c r="S219" i="5"/>
  <c r="AK219" i="5" s="1"/>
  <c r="S247" i="5"/>
  <c r="AK247" i="5" s="1"/>
  <c r="S106" i="5"/>
  <c r="AK106" i="5" s="1"/>
  <c r="S105" i="5"/>
  <c r="AK105" i="5" s="1"/>
  <c r="S164" i="5"/>
  <c r="AK164" i="5" s="1"/>
  <c r="H3" i="4" l="1"/>
  <c r="F3" i="4"/>
  <c r="E3" i="4"/>
  <c r="C3" i="4"/>
  <c r="G3" i="4"/>
  <c r="L3" i="4"/>
  <c r="AD3" i="4" s="1"/>
  <c r="K3" i="4"/>
  <c r="D3" i="4"/>
  <c r="M3" i="4"/>
  <c r="AE3" i="4" s="1"/>
  <c r="J3" i="4"/>
  <c r="N3" i="4"/>
  <c r="AF3" i="4" s="1"/>
  <c r="O3" i="4"/>
  <c r="AG3" i="4" s="1"/>
  <c r="P3" i="4"/>
  <c r="AH3" i="4" s="1"/>
  <c r="Q3" i="4"/>
  <c r="AI3" i="4" s="1"/>
  <c r="B3" i="4"/>
  <c r="I3" i="4"/>
  <c r="S182" i="4"/>
  <c r="AK182" i="4" s="1"/>
  <c r="S118" i="5"/>
  <c r="AK118" i="5" s="1"/>
  <c r="S220" i="4"/>
  <c r="AK220" i="4" s="1"/>
  <c r="S97" i="5"/>
  <c r="AK97" i="5" s="1"/>
  <c r="S153" i="5"/>
  <c r="AK153" i="5" s="1"/>
  <c r="S147" i="4"/>
  <c r="AK147" i="4" s="1"/>
  <c r="S126" i="4"/>
  <c r="AK126" i="4" s="1"/>
  <c r="S200" i="4"/>
  <c r="AK200" i="4" s="1"/>
  <c r="S158" i="5"/>
  <c r="AK158" i="5" s="1"/>
  <c r="S45" i="4"/>
  <c r="AK45" i="4" s="1"/>
  <c r="S50" i="4"/>
  <c r="AK50" i="4" s="1"/>
  <c r="S237" i="4"/>
  <c r="AK237" i="4" s="1"/>
  <c r="S159" i="4"/>
  <c r="AK159" i="4" s="1"/>
  <c r="S88" i="4"/>
  <c r="AK88" i="4" s="1"/>
  <c r="S127" i="5"/>
  <c r="AK127" i="5" s="1"/>
  <c r="S196" i="5"/>
  <c r="AK196" i="5" s="1"/>
  <c r="S119" i="4"/>
  <c r="AK119" i="4" s="1"/>
  <c r="S53" i="4"/>
  <c r="AK53" i="4" s="1"/>
  <c r="S222" i="4"/>
  <c r="AK222" i="4" s="1"/>
  <c r="S243" i="4"/>
  <c r="AK243" i="4" s="1"/>
  <c r="S257" i="4"/>
  <c r="AK257" i="4" s="1"/>
  <c r="S131" i="5"/>
  <c r="AK131" i="5" s="1"/>
  <c r="S128" i="4"/>
  <c r="AK128" i="4" s="1"/>
  <c r="S10" i="4"/>
  <c r="AK10" i="4" s="1"/>
  <c r="S54" i="4"/>
  <c r="AK54" i="4" s="1"/>
  <c r="S118" i="4"/>
  <c r="AK118" i="4" s="1"/>
  <c r="S136" i="4"/>
  <c r="AK136" i="4" s="1"/>
  <c r="S236" i="5"/>
  <c r="AK236" i="5" s="1"/>
  <c r="S187" i="4"/>
  <c r="AK187" i="4" s="1"/>
  <c r="S172" i="5"/>
  <c r="AK172" i="5" s="1"/>
  <c r="S202" i="4"/>
  <c r="AK202" i="4" s="1"/>
  <c r="S167" i="5"/>
  <c r="AK167" i="5" s="1"/>
  <c r="S135" i="5"/>
  <c r="AK135" i="5" s="1"/>
  <c r="S89" i="5"/>
  <c r="AK89" i="5" s="1"/>
  <c r="S93" i="4"/>
  <c r="AK93" i="4" s="1"/>
  <c r="S197" i="5"/>
  <c r="AK197" i="5" s="1"/>
  <c r="S92" i="5"/>
  <c r="AK92" i="5" s="1"/>
  <c r="S41" i="4"/>
  <c r="AK41" i="4" s="1"/>
  <c r="S24" i="4"/>
  <c r="AK24" i="4" s="1"/>
  <c r="S190" i="4"/>
  <c r="AK190" i="4" s="1"/>
  <c r="S198" i="4"/>
  <c r="AK198" i="4" s="1"/>
  <c r="S76" i="5"/>
  <c r="AK76" i="5" s="1"/>
  <c r="S137" i="5"/>
  <c r="AK137" i="5" s="1"/>
  <c r="S121" i="4"/>
  <c r="AK121" i="4" s="1"/>
  <c r="S174" i="4"/>
  <c r="AK174" i="4" s="1"/>
  <c r="S55" i="4"/>
  <c r="AK55" i="4" s="1"/>
  <c r="S76" i="4"/>
  <c r="AK76" i="4" s="1"/>
  <c r="S256" i="4"/>
  <c r="AK256" i="4" s="1"/>
  <c r="S180" i="4"/>
  <c r="AK180" i="4" s="1"/>
  <c r="S98" i="5"/>
  <c r="AK98" i="5" s="1"/>
  <c r="S105" i="4"/>
  <c r="AK105" i="4" s="1"/>
  <c r="S150" i="5"/>
  <c r="AK150" i="5" s="1"/>
  <c r="S192" i="5"/>
  <c r="AK192" i="5" s="1"/>
  <c r="S191" i="5"/>
  <c r="AK191" i="5" s="1"/>
  <c r="S134" i="4"/>
  <c r="AK134" i="4" s="1"/>
  <c r="S31" i="5"/>
  <c r="AK31" i="5" s="1"/>
  <c r="S166" i="4"/>
  <c r="AK166" i="4" s="1"/>
  <c r="S70" i="4"/>
  <c r="AK70" i="4" s="1"/>
  <c r="S87" i="5"/>
  <c r="AK87" i="5" s="1"/>
  <c r="S29" i="4"/>
  <c r="AK29" i="4" s="1"/>
  <c r="S92" i="4"/>
  <c r="AK92" i="4" s="1"/>
  <c r="S138" i="4"/>
  <c r="AK138" i="4" s="1"/>
  <c r="S217" i="5"/>
  <c r="AK217" i="5" s="1"/>
  <c r="S133" i="5"/>
  <c r="AK133" i="5" s="1"/>
  <c r="S28" i="5"/>
  <c r="AK28" i="5" s="1"/>
  <c r="S218" i="5"/>
  <c r="AK218" i="5" s="1"/>
  <c r="S15" i="4"/>
  <c r="AK15" i="4" s="1"/>
  <c r="S51" i="4"/>
  <c r="AK51" i="4" s="1"/>
  <c r="S210" i="4"/>
  <c r="AK210" i="4" s="1"/>
  <c r="S54" i="5"/>
  <c r="AK54" i="5" s="1"/>
  <c r="S104" i="5"/>
  <c r="AK104" i="5" s="1"/>
  <c r="S32" i="4"/>
  <c r="AK32" i="4" s="1"/>
  <c r="S81" i="4"/>
  <c r="AK81" i="4" s="1"/>
  <c r="S64" i="4"/>
  <c r="AK64" i="4" s="1"/>
  <c r="S230" i="4"/>
  <c r="AK230" i="4" s="1"/>
  <c r="S250" i="4"/>
  <c r="AK250" i="4" s="1"/>
  <c r="S128" i="5"/>
  <c r="AK128" i="5" s="1"/>
  <c r="S265" i="5"/>
  <c r="AK265" i="5" s="1"/>
  <c r="S241" i="4"/>
  <c r="AK241" i="4" s="1"/>
  <c r="S253" i="5"/>
  <c r="AK253" i="5" s="1"/>
  <c r="S74" i="5"/>
  <c r="AK74" i="5" s="1"/>
  <c r="S116" i="4"/>
  <c r="AK116" i="4" s="1"/>
  <c r="S263" i="4"/>
  <c r="AK263" i="4" s="1"/>
  <c r="S218" i="4"/>
  <c r="AK218" i="4" s="1"/>
  <c r="S198" i="5"/>
  <c r="AK198" i="5" s="1"/>
  <c r="S145" i="4"/>
  <c r="AK145" i="4" s="1"/>
  <c r="S250" i="5"/>
  <c r="AK250" i="5" s="1"/>
  <c r="S212" i="5"/>
  <c r="AK212" i="5" s="1"/>
  <c r="S8" i="5"/>
  <c r="AK8" i="5" s="1"/>
  <c r="S34" i="5"/>
  <c r="AK34" i="5" s="1"/>
  <c r="S11" i="5"/>
  <c r="AK11" i="5" s="1"/>
  <c r="S66" i="4"/>
  <c r="AK66" i="4" s="1"/>
  <c r="S38" i="4"/>
  <c r="AK38" i="4" s="1"/>
  <c r="S120" i="5"/>
  <c r="AK120" i="5" s="1"/>
  <c r="S77" i="4"/>
  <c r="AK77" i="4" s="1"/>
  <c r="S193" i="4"/>
  <c r="AK193" i="4" s="1"/>
  <c r="S101" i="4"/>
  <c r="AK101" i="4" s="1"/>
  <c r="S129" i="4"/>
  <c r="AK129" i="4" s="1"/>
  <c r="S175" i="5"/>
  <c r="AK175" i="5" s="1"/>
  <c r="S213" i="4"/>
  <c r="AK213" i="4" s="1"/>
  <c r="S37" i="5"/>
  <c r="AK37" i="5" s="1"/>
  <c r="S197" i="4"/>
  <c r="AK197" i="4" s="1"/>
  <c r="S240" i="4"/>
  <c r="AK240" i="4" s="1"/>
  <c r="S259" i="4"/>
  <c r="AK259" i="4" s="1"/>
  <c r="S211" i="5"/>
  <c r="AK211" i="5" s="1"/>
  <c r="S90" i="4"/>
  <c r="AK90" i="4" s="1"/>
  <c r="S219" i="4"/>
  <c r="AK219" i="4" s="1"/>
  <c r="S33" i="5"/>
  <c r="AK33" i="5" s="1"/>
  <c r="S61" i="4"/>
  <c r="AK61" i="4" s="1"/>
  <c r="S249" i="5"/>
  <c r="AK249" i="5" s="1"/>
  <c r="S254" i="4"/>
  <c r="AK254" i="4" s="1"/>
  <c r="S115" i="5"/>
  <c r="AK115" i="5" s="1"/>
  <c r="S99" i="4"/>
  <c r="AK99" i="4" s="1"/>
  <c r="S151" i="4"/>
  <c r="AK151" i="4" s="1"/>
  <c r="S206" i="4"/>
  <c r="AK206" i="4" s="1"/>
  <c r="S112" i="4"/>
  <c r="AK112" i="4" s="1"/>
  <c r="S266" i="4"/>
  <c r="AK266" i="4" s="1"/>
  <c r="S10" i="5"/>
  <c r="AK10" i="5" s="1"/>
  <c r="S57" i="5"/>
  <c r="AK57" i="5" s="1"/>
  <c r="S199" i="4"/>
  <c r="AK199" i="4" s="1"/>
  <c r="S251" i="4"/>
  <c r="AK251" i="4" s="1"/>
  <c r="S35" i="4"/>
  <c r="AK35" i="4" s="1"/>
  <c r="S186" i="4"/>
  <c r="AK186" i="4" s="1"/>
  <c r="S141" i="4"/>
  <c r="AK141" i="4" s="1"/>
  <c r="S104" i="4"/>
  <c r="AK104" i="4" s="1"/>
  <c r="S232" i="4"/>
  <c r="AK232" i="4" s="1"/>
  <c r="S78" i="5"/>
  <c r="AK78" i="5" s="1"/>
  <c r="S176" i="5"/>
  <c r="AK176" i="5" s="1"/>
  <c r="S161" i="5"/>
  <c r="AK161" i="5" s="1"/>
  <c r="S261" i="4"/>
  <c r="AK261" i="4" s="1"/>
  <c r="S11" i="4"/>
  <c r="AK11" i="4" s="1"/>
  <c r="S154" i="5"/>
  <c r="AK154" i="5" s="1"/>
  <c r="S176" i="4"/>
  <c r="AK176" i="4" s="1"/>
  <c r="S58" i="4"/>
  <c r="AK58" i="4" s="1"/>
  <c r="S247" i="4"/>
  <c r="AK247" i="4" s="1"/>
  <c r="S19" i="5"/>
  <c r="AK19" i="5" s="1"/>
  <c r="S205" i="4"/>
  <c r="AK205" i="4" s="1"/>
  <c r="S170" i="5"/>
  <c r="AK170" i="5" s="1"/>
  <c r="S72" i="5"/>
  <c r="AK72" i="5" s="1"/>
  <c r="S209" i="4"/>
  <c r="AK209" i="4" s="1"/>
  <c r="S134" i="5"/>
  <c r="AK134" i="5" s="1"/>
  <c r="S32" i="5"/>
  <c r="AK32" i="5" s="1"/>
  <c r="S226" i="4"/>
  <c r="AK226" i="4" s="1"/>
  <c r="S86" i="4"/>
  <c r="AK86" i="4" s="1"/>
  <c r="S52" i="5"/>
  <c r="AK52" i="5" s="1"/>
  <c r="S154" i="4"/>
  <c r="AK154" i="4" s="1"/>
  <c r="S260" i="4"/>
  <c r="AK260" i="4" s="1"/>
  <c r="S64" i="5"/>
  <c r="AK64" i="5" s="1"/>
  <c r="S44" i="4"/>
  <c r="AK44" i="4" s="1"/>
  <c r="S240" i="5"/>
  <c r="AK240" i="5" s="1"/>
  <c r="S262" i="5"/>
  <c r="AK262" i="5" s="1"/>
  <c r="S192" i="4"/>
  <c r="AK192" i="4" s="1"/>
  <c r="S84" i="4"/>
  <c r="AK84" i="4" s="1"/>
  <c r="S238" i="4"/>
  <c r="AK238" i="4" s="1"/>
  <c r="S260" i="5"/>
  <c r="AK260" i="5" s="1"/>
  <c r="S75" i="4"/>
  <c r="AK75" i="4" s="1"/>
  <c r="S246" i="5"/>
  <c r="AK246" i="5" s="1"/>
  <c r="S144" i="5"/>
  <c r="AK144" i="5" s="1"/>
  <c r="S9" i="4"/>
  <c r="AK9" i="4" s="1"/>
  <c r="S12" i="4"/>
  <c r="AK12" i="4" s="1"/>
  <c r="S161" i="4"/>
  <c r="AK161" i="4" s="1"/>
  <c r="S144" i="4"/>
  <c r="AK144" i="4" s="1"/>
  <c r="S23" i="4"/>
  <c r="AK23" i="4" s="1"/>
  <c r="S79" i="4"/>
  <c r="AK79" i="4" s="1"/>
  <c r="S177" i="4"/>
  <c r="AK177" i="4" s="1"/>
  <c r="S162" i="4"/>
  <c r="AK162" i="4" s="1"/>
  <c r="S16" i="5"/>
  <c r="AK16" i="5" s="1"/>
  <c r="S110" i="5"/>
  <c r="AK110" i="5" s="1"/>
  <c r="S155" i="4"/>
  <c r="AK155" i="4" s="1"/>
  <c r="S215" i="5"/>
  <c r="AK215" i="5" s="1"/>
  <c r="S157" i="5"/>
  <c r="AK157" i="5" s="1"/>
  <c r="S125" i="4"/>
  <c r="AK125" i="4" s="1"/>
  <c r="S20" i="4"/>
  <c r="AK20" i="4" s="1"/>
  <c r="S204" i="5"/>
  <c r="AK204" i="5" s="1"/>
  <c r="S171" i="4"/>
  <c r="AK171" i="4" s="1"/>
  <c r="S73" i="4"/>
  <c r="AK73" i="4" s="1"/>
  <c r="S208" i="5"/>
  <c r="AK208" i="5" s="1"/>
  <c r="S135" i="4"/>
  <c r="AK135" i="4" s="1"/>
  <c r="S33" i="4"/>
  <c r="AK33" i="4" s="1"/>
  <c r="S169" i="4"/>
  <c r="AK169" i="4" s="1"/>
  <c r="S109" i="4"/>
  <c r="AK109" i="4" s="1"/>
  <c r="S85" i="5"/>
  <c r="AK85" i="5" s="1"/>
  <c r="S231" i="4"/>
  <c r="AK231" i="4" s="1"/>
  <c r="S181" i="4"/>
  <c r="AK181" i="4" s="1"/>
  <c r="S43" i="4"/>
  <c r="AK43" i="4" s="1"/>
  <c r="S178" i="5"/>
  <c r="AK178" i="5" s="1"/>
  <c r="S38" i="5"/>
  <c r="AK38" i="5" s="1"/>
  <c r="S111" i="4"/>
  <c r="AK111" i="4" s="1"/>
  <c r="S216" i="4"/>
  <c r="AK216" i="4" s="1"/>
  <c r="S113" i="4"/>
  <c r="AK113" i="4" s="1"/>
  <c r="S245" i="4"/>
  <c r="AK245" i="4" s="1"/>
  <c r="S95" i="5"/>
  <c r="AK95" i="5" s="1"/>
  <c r="S169" i="5"/>
  <c r="AK169" i="5" s="1"/>
  <c r="S214" i="4"/>
  <c r="AK214" i="4" s="1"/>
  <c r="S108" i="5"/>
  <c r="AK108" i="5" s="1"/>
  <c r="S230" i="5"/>
  <c r="AK230" i="5" s="1"/>
  <c r="S164" i="4"/>
  <c r="AK164" i="4" s="1"/>
  <c r="S30" i="5"/>
  <c r="AK30" i="5" s="1"/>
  <c r="S17" i="4"/>
  <c r="AK17" i="4" s="1"/>
  <c r="S174" i="5"/>
  <c r="AK174" i="5" s="1"/>
  <c r="S158" i="4"/>
  <c r="AK158" i="4" s="1"/>
  <c r="S49" i="4"/>
  <c r="AK49" i="4" s="1"/>
  <c r="S51" i="5"/>
  <c r="AK51" i="5" s="1"/>
  <c r="S252" i="5"/>
  <c r="AK252" i="5" s="1"/>
  <c r="S132" i="5"/>
  <c r="AK132" i="5" s="1"/>
  <c r="S201" i="4"/>
  <c r="AK201" i="4" s="1"/>
  <c r="S184" i="4"/>
  <c r="AK184" i="4" s="1"/>
  <c r="S63" i="4"/>
  <c r="AK63" i="4" s="1"/>
  <c r="S179" i="4"/>
  <c r="AK179" i="4" s="1"/>
  <c r="S31" i="4"/>
  <c r="AK31" i="4" s="1"/>
  <c r="S39" i="4"/>
  <c r="AK39" i="4" s="1"/>
  <c r="S68" i="5"/>
  <c r="AK68" i="5" s="1"/>
  <c r="S210" i="5"/>
  <c r="AK210" i="5" s="1"/>
  <c r="S175" i="4"/>
  <c r="AK175" i="4" s="1"/>
  <c r="S46" i="4"/>
  <c r="AK46" i="4" s="1"/>
  <c r="S257" i="5"/>
  <c r="AK257" i="5" s="1"/>
  <c r="S225" i="4"/>
  <c r="AK225" i="4" s="1"/>
  <c r="S48" i="5"/>
  <c r="AK48" i="5" s="1"/>
  <c r="S244" i="5"/>
  <c r="AK244" i="5" s="1"/>
  <c r="S52" i="4"/>
  <c r="AK52" i="4" s="1"/>
  <c r="S96" i="4"/>
  <c r="AK96" i="4" s="1"/>
  <c r="S253" i="4"/>
  <c r="AK253" i="4" s="1"/>
  <c r="S170" i="4"/>
  <c r="AK170" i="4" s="1"/>
  <c r="S133" i="4"/>
  <c r="AK133" i="4" s="1"/>
  <c r="S74" i="4"/>
  <c r="AK74" i="4" s="1"/>
  <c r="S44" i="5"/>
  <c r="AK44" i="5" s="1"/>
  <c r="S146" i="5"/>
  <c r="AK146" i="5" s="1"/>
  <c r="S173" i="5"/>
  <c r="AK173" i="5" s="1"/>
  <c r="S83" i="4"/>
  <c r="AK83" i="4" s="1"/>
  <c r="S214" i="5"/>
  <c r="AK214" i="5" s="1"/>
  <c r="S251" i="5"/>
  <c r="AK251" i="5" s="1"/>
  <c r="S27" i="4"/>
  <c r="AK27" i="4" s="1"/>
  <c r="S30" i="4"/>
  <c r="AK30" i="4" s="1"/>
  <c r="S215" i="4"/>
  <c r="AK215" i="4" s="1"/>
  <c r="S252" i="4"/>
  <c r="AK252" i="4" s="1"/>
  <c r="S234" i="4"/>
  <c r="AK234" i="4" s="1"/>
  <c r="S65" i="4"/>
  <c r="AK65" i="4" s="1"/>
  <c r="S262" i="4"/>
  <c r="AK262" i="4" s="1"/>
  <c r="S212" i="4"/>
  <c r="AK212" i="4" s="1"/>
  <c r="S29" i="5"/>
  <c r="AK29" i="5" s="1"/>
  <c r="S224" i="5"/>
  <c r="AK224" i="5" s="1"/>
  <c r="S235" i="4"/>
  <c r="AK235" i="4" s="1"/>
  <c r="S103" i="4"/>
  <c r="AK103" i="4" s="1"/>
  <c r="S87" i="4"/>
  <c r="AK87" i="4" s="1"/>
  <c r="S155" i="5"/>
  <c r="AK155" i="5" s="1"/>
  <c r="S196" i="4"/>
  <c r="AK196" i="4" s="1"/>
  <c r="S234" i="5"/>
  <c r="AK234" i="5" s="1"/>
  <c r="S40" i="4"/>
  <c r="AK40" i="4" s="1"/>
  <c r="S42" i="4"/>
  <c r="AK42" i="4" s="1"/>
  <c r="S244" i="4"/>
  <c r="AK244" i="4" s="1"/>
  <c r="S123" i="4"/>
  <c r="AK123" i="4" s="1"/>
  <c r="S6" i="5"/>
  <c r="AK6" i="5" s="1"/>
  <c r="S77" i="5"/>
  <c r="AK77" i="5" s="1"/>
  <c r="S238" i="5"/>
  <c r="AK238" i="5" s="1"/>
  <c r="S117" i="4"/>
  <c r="AK117" i="4" s="1"/>
  <c r="S187" i="5"/>
  <c r="AK187" i="5" s="1"/>
  <c r="S254" i="5"/>
  <c r="AK254" i="5" s="1"/>
  <c r="S145" i="5"/>
  <c r="AK145" i="5" s="1"/>
  <c r="S59" i="4"/>
  <c r="AK59" i="4" s="1"/>
  <c r="S156" i="4"/>
  <c r="AK156" i="4" s="1"/>
  <c r="S55" i="5"/>
  <c r="AK55" i="5" s="1"/>
  <c r="S94" i="5"/>
  <c r="AK94" i="5" s="1"/>
  <c r="S71" i="5"/>
  <c r="AK71" i="5" s="1"/>
  <c r="S96" i="5"/>
  <c r="AK96" i="5" s="1"/>
  <c r="S107" i="5"/>
  <c r="AK107" i="5" s="1"/>
  <c r="S70" i="5"/>
  <c r="AK70" i="5" s="1"/>
  <c r="S236" i="4"/>
  <c r="AK236" i="4" s="1"/>
  <c r="S258" i="5"/>
  <c r="AK258" i="5" s="1"/>
  <c r="S132" i="4"/>
  <c r="AK132" i="4" s="1"/>
  <c r="S168" i="4"/>
  <c r="AK168" i="4" s="1"/>
  <c r="S34" i="4"/>
  <c r="AK34" i="4" s="1"/>
  <c r="S18" i="4"/>
  <c r="AK18" i="4" s="1"/>
  <c r="S75" i="5"/>
  <c r="AK75" i="5" s="1"/>
  <c r="S126" i="5"/>
  <c r="AK126" i="5" s="1"/>
  <c r="S258" i="4"/>
  <c r="AK258" i="4" s="1"/>
  <c r="S109" i="5"/>
  <c r="AK109" i="5" s="1"/>
  <c r="S224" i="4"/>
  <c r="AK224" i="4" s="1"/>
  <c r="S67" i="4"/>
  <c r="AK67" i="4" s="1"/>
  <c r="S146" i="4"/>
  <c r="AK146" i="4" s="1"/>
  <c r="S249" i="4"/>
  <c r="AK249" i="4" s="1"/>
  <c r="S110" i="4"/>
  <c r="AK110" i="4" s="1"/>
  <c r="S264" i="4"/>
  <c r="AK264" i="4" s="1"/>
  <c r="S239" i="4"/>
  <c r="AK239" i="4" s="1"/>
  <c r="S245" i="5"/>
  <c r="AK245" i="5" s="1"/>
  <c r="S56" i="4"/>
  <c r="AK56" i="4" s="1"/>
  <c r="S72" i="4"/>
  <c r="AK72" i="4" s="1"/>
  <c r="S108" i="4"/>
  <c r="AK108" i="4" s="1"/>
  <c r="S227" i="4"/>
  <c r="AK227" i="4" s="1"/>
  <c r="S242" i="4"/>
  <c r="AK242" i="4" s="1"/>
  <c r="S91" i="5"/>
  <c r="AK91" i="5" s="1"/>
  <c r="S255" i="5"/>
  <c r="AK255" i="5" s="1"/>
  <c r="S66" i="5"/>
  <c r="AK66" i="5" s="1"/>
  <c r="S248" i="5"/>
  <c r="AK248" i="5" s="1"/>
  <c r="S233" i="4"/>
  <c r="AK233" i="4" s="1"/>
  <c r="S21" i="4"/>
  <c r="AK21" i="4" s="1"/>
  <c r="S127" i="4"/>
  <c r="AK127" i="4" s="1"/>
  <c r="S116" i="5"/>
  <c r="AK116" i="5" s="1"/>
  <c r="S58" i="5"/>
  <c r="AK58" i="5" s="1"/>
  <c r="S264" i="5"/>
  <c r="AK264" i="5" s="1"/>
  <c r="S232" i="5"/>
  <c r="AK232" i="5" s="1"/>
  <c r="S60" i="4"/>
  <c r="AK60" i="4" s="1"/>
  <c r="S62" i="4"/>
  <c r="AK62" i="4" s="1"/>
  <c r="S143" i="4"/>
  <c r="AK143" i="4" s="1"/>
  <c r="S7" i="4"/>
  <c r="AK7" i="4" s="1"/>
  <c r="S78" i="4"/>
  <c r="AK78" i="4" s="1"/>
  <c r="S216" i="5"/>
  <c r="AK216" i="5" s="1"/>
  <c r="S188" i="4"/>
  <c r="AK188" i="4" s="1"/>
  <c r="S255" i="4"/>
  <c r="AK255" i="4" s="1"/>
  <c r="S193" i="5"/>
  <c r="AK193" i="5" s="1"/>
  <c r="S36" i="4"/>
  <c r="AK36" i="4" s="1"/>
  <c r="S95" i="4"/>
  <c r="AK95" i="4" s="1"/>
  <c r="S97" i="4"/>
  <c r="AK97" i="4" s="1"/>
  <c r="S71" i="4"/>
  <c r="AK71" i="4" s="1"/>
  <c r="S80" i="4"/>
  <c r="AK80" i="4" s="1"/>
  <c r="S82" i="4"/>
  <c r="AK82" i="4" s="1"/>
  <c r="S148" i="4"/>
  <c r="AK148" i="4" s="1"/>
  <c r="S163" i="4"/>
  <c r="AK163" i="4" s="1"/>
  <c r="S130" i="5"/>
  <c r="AK130" i="5" s="1"/>
  <c r="S177" i="5"/>
  <c r="AK177" i="5" s="1"/>
  <c r="S207" i="4"/>
  <c r="AK207" i="4" s="1"/>
  <c r="S217" i="4"/>
  <c r="AK217" i="4" s="1"/>
  <c r="S156" i="5"/>
  <c r="AK156" i="5" s="1"/>
  <c r="S8" i="4"/>
  <c r="AK8" i="4" s="1"/>
  <c r="S246" i="4"/>
  <c r="AK246" i="4" s="1"/>
  <c r="S194" i="4"/>
  <c r="AK194" i="4" s="1"/>
  <c r="S18" i="5"/>
  <c r="AK18" i="5" s="1"/>
  <c r="S123" i="5"/>
  <c r="AK123" i="5" s="1"/>
  <c r="S159" i="5"/>
  <c r="AK159" i="5" s="1"/>
  <c r="S171" i="5"/>
  <c r="AK171" i="5" s="1"/>
  <c r="S90" i="5"/>
  <c r="AK90" i="5" s="1"/>
  <c r="S151" i="5"/>
  <c r="AK151" i="5" s="1"/>
  <c r="S85" i="4"/>
  <c r="AK85" i="4" s="1"/>
  <c r="S167" i="4"/>
  <c r="AK167" i="4" s="1"/>
  <c r="S98" i="4"/>
  <c r="AK98" i="4" s="1"/>
  <c r="S50" i="5"/>
  <c r="AK50" i="5" s="1"/>
  <c r="S204" i="4"/>
  <c r="AK204" i="4" s="1"/>
  <c r="S69" i="4"/>
  <c r="AK69" i="4" s="1"/>
  <c r="S45" i="5"/>
  <c r="AK45" i="5" s="1"/>
  <c r="S195" i="5"/>
  <c r="AK195" i="5" s="1"/>
  <c r="S100" i="4"/>
  <c r="AK100" i="4" s="1"/>
  <c r="S102" i="4"/>
  <c r="AK102" i="4" s="1"/>
  <c r="S208" i="4"/>
  <c r="AK208" i="4" s="1"/>
  <c r="S183" i="4"/>
  <c r="AK183" i="4" s="1"/>
  <c r="S131" i="4"/>
  <c r="AK131" i="4" s="1"/>
  <c r="S178" i="4"/>
  <c r="AK178" i="4" s="1"/>
  <c r="S21" i="5"/>
  <c r="AK21" i="5" s="1"/>
  <c r="S13" i="5"/>
  <c r="AK13" i="5" s="1"/>
  <c r="S157" i="4"/>
  <c r="AK157" i="4" s="1"/>
  <c r="S56" i="5"/>
  <c r="AK56" i="5" s="1"/>
  <c r="S25" i="4"/>
  <c r="AK25" i="4" s="1"/>
  <c r="S47" i="4"/>
  <c r="AK47" i="4" s="1"/>
  <c r="S19" i="4"/>
  <c r="AK19" i="4" s="1"/>
  <c r="S124" i="4"/>
  <c r="AK124" i="4" s="1"/>
  <c r="S160" i="4"/>
  <c r="AK160" i="4" s="1"/>
  <c r="S172" i="4"/>
  <c r="AK172" i="4" s="1"/>
  <c r="S91" i="4"/>
  <c r="AK91" i="4" s="1"/>
  <c r="S152" i="4"/>
  <c r="AK152" i="4" s="1"/>
  <c r="S84" i="5"/>
  <c r="AK84" i="5" s="1"/>
  <c r="S149" i="4"/>
  <c r="AK149" i="4" s="1"/>
  <c r="S150" i="4"/>
  <c r="AK150" i="4" s="1"/>
  <c r="S221" i="4"/>
  <c r="AK221" i="4" s="1"/>
  <c r="S122" i="4"/>
  <c r="AK122" i="4" s="1"/>
  <c r="S203" i="4"/>
  <c r="AK203" i="4" s="1"/>
  <c r="S188" i="5"/>
  <c r="AK188" i="5" s="1"/>
  <c r="S93" i="5"/>
  <c r="AK93" i="5" s="1"/>
  <c r="S24" i="5"/>
  <c r="AK24" i="5" s="1"/>
  <c r="S4" i="5"/>
  <c r="AK4" i="5" s="1"/>
  <c r="S190" i="5"/>
  <c r="AK190" i="5" s="1"/>
  <c r="S173" i="4"/>
  <c r="AK173" i="4" s="1"/>
  <c r="S14" i="5"/>
  <c r="AK14" i="5" s="1"/>
  <c r="S179" i="5"/>
  <c r="AK179" i="5" s="1"/>
  <c r="S211" i="4"/>
  <c r="AK211" i="4" s="1"/>
  <c r="S265" i="4"/>
  <c r="AK265" i="4" s="1"/>
  <c r="S120" i="4"/>
  <c r="AK120" i="4" s="1"/>
  <c r="S228" i="4"/>
  <c r="AK228" i="4" s="1"/>
  <c r="S27" i="5"/>
  <c r="AK27" i="5" s="1"/>
  <c r="S22" i="4"/>
  <c r="AK22" i="4" s="1"/>
  <c r="S14" i="4"/>
  <c r="AK14" i="4" s="1"/>
  <c r="S57" i="4"/>
  <c r="AK57" i="4" s="1"/>
  <c r="S46" i="5"/>
  <c r="AK46" i="5" s="1"/>
  <c r="S47" i="5"/>
  <c r="AK47" i="5" s="1"/>
  <c r="S194" i="5"/>
  <c r="AK194" i="5" s="1"/>
  <c r="S12" i="5"/>
  <c r="AK12" i="5" s="1"/>
  <c r="S152" i="5"/>
  <c r="AK152" i="5" s="1"/>
  <c r="S185" i="4"/>
  <c r="AK185" i="4" s="1"/>
  <c r="S229" i="4"/>
  <c r="AK229" i="4" s="1"/>
  <c r="S140" i="4"/>
  <c r="AK140" i="4" s="1"/>
  <c r="S142" i="4"/>
  <c r="AK142" i="4" s="1"/>
  <c r="S248" i="4"/>
  <c r="AK248" i="4" s="1"/>
  <c r="S223" i="4"/>
  <c r="AK223" i="4" s="1"/>
  <c r="S28" i="4"/>
  <c r="AK28" i="4" s="1"/>
  <c r="S189" i="4"/>
  <c r="AK189" i="4" s="1"/>
  <c r="S181" i="5"/>
  <c r="AK181" i="5" s="1"/>
  <c r="S53" i="5"/>
  <c r="AK53" i="5" s="1"/>
  <c r="S94" i="4"/>
  <c r="AK94" i="4" s="1"/>
  <c r="S256" i="5"/>
  <c r="AK256" i="5" s="1"/>
  <c r="S186" i="5"/>
  <c r="AK186" i="5" s="1"/>
  <c r="S117" i="5"/>
  <c r="AK117" i="5" s="1"/>
  <c r="S48" i="4"/>
  <c r="AK48" i="4" s="1"/>
  <c r="S5" i="4"/>
  <c r="AK5" i="4" s="1"/>
  <c r="S195" i="4"/>
  <c r="AK195" i="4" s="1"/>
  <c r="S13" i="4"/>
  <c r="AK13" i="4" s="1"/>
  <c r="S191" i="4"/>
  <c r="AK191" i="4" s="1"/>
  <c r="S153" i="4"/>
  <c r="AK153" i="4" s="1"/>
  <c r="S184" i="5"/>
  <c r="AK184" i="5" s="1"/>
  <c r="S37" i="4"/>
  <c r="AK37" i="4" s="1"/>
  <c r="T3" i="4" l="1"/>
  <c r="W3" i="4"/>
  <c r="AA3" i="4"/>
  <c r="X3" i="4"/>
  <c r="Y3" i="4"/>
  <c r="AB3" i="4" l="1"/>
  <c r="U3" i="4"/>
  <c r="V3" i="4" l="1"/>
  <c r="AC3" i="4"/>
  <c r="Z3" i="4"/>
  <c r="AL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Bacidore</author>
  </authors>
  <commentList>
    <comment ref="A2" authorId="0" shapeId="0" xr:uid="{4DF868AC-5DD8-46BF-B6E5-5C4E0393AB90}">
      <text>
        <r>
          <rPr>
            <b/>
            <sz val="9"/>
            <color rgb="FF000000"/>
            <rFont val="Tahoma"/>
            <family val="2"/>
          </rPr>
          <t xml:space="preserve">Jeffrey Bacidore:First month of analysis is January 1984 since signal is not available before that date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Bacidore</author>
  </authors>
  <commentList>
    <comment ref="A3" authorId="0" shapeId="0" xr:uid="{0E5D7C2B-7071-4FB2-8AC3-E8461F8599E8}">
      <text>
        <r>
          <rPr>
            <b/>
            <sz val="9"/>
            <color rgb="FF000000"/>
            <rFont val="Tahoma"/>
            <family val="2"/>
          </rPr>
          <t xml:space="preserve">Jeffrey Bacidore:First month of analysis is January 1984 since signal is not available before that date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Bacidore</author>
  </authors>
  <commentList>
    <comment ref="A3" authorId="0" shapeId="0" xr:uid="{A093C35C-8C27-47B2-8E80-4924B94CB5A6}">
      <text>
        <r>
          <rPr>
            <b/>
            <sz val="9"/>
            <color rgb="FF000000"/>
            <rFont val="Tahoma"/>
            <family val="2"/>
          </rPr>
          <t xml:space="preserve">Jeffrey Bacidore:First month of analysis is January 1984 since signal is not available before that date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<sst xmlns="http://schemas.openxmlformats.org/spreadsheetml/2006/main" count="129" uniqueCount="29">
  <si>
    <t>Date</t>
  </si>
  <si>
    <t>Weights in High Momentum Portfolio * Returns</t>
  </si>
  <si>
    <t>Return on High Momentum Portfolio</t>
  </si>
  <si>
    <t>Return</t>
  </si>
  <si>
    <t>Weights in Low Momentum Portfolio * Returns</t>
  </si>
  <si>
    <t>Return on Low Momentum Portfolio</t>
  </si>
  <si>
    <t>date</t>
  </si>
  <si>
    <t>mktrf</t>
  </si>
  <si>
    <t>smb</t>
  </si>
  <si>
    <t>hml</t>
  </si>
  <si>
    <t>umd</t>
  </si>
  <si>
    <t>High Momentum Portfolio Weights</t>
  </si>
  <si>
    <t>Low Momentum Portfolio Weights</t>
  </si>
  <si>
    <t xml:space="preserve">Food </t>
  </si>
  <si>
    <t>Mines</t>
  </si>
  <si>
    <t xml:space="preserve">Oil  </t>
  </si>
  <si>
    <t>Clths</t>
  </si>
  <si>
    <t>Durbl</t>
  </si>
  <si>
    <t>Chems</t>
  </si>
  <si>
    <t>Cnsum</t>
  </si>
  <si>
    <t>Cnstr</t>
  </si>
  <si>
    <t>Steel</t>
  </si>
  <si>
    <t>FabPr</t>
  </si>
  <si>
    <t>Machn</t>
  </si>
  <si>
    <t xml:space="preserve">Cars </t>
  </si>
  <si>
    <t>Trans</t>
  </si>
  <si>
    <t>Utils</t>
  </si>
  <si>
    <t>Rtail</t>
  </si>
  <si>
    <t>Finan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</si>
</sst>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49" fontId="2" fillId="0" borderId="0" xfId="0" applyNumberFormat="1" applyFont="1"/>
    <xf numFmtId="49" fontId="0" fillId="0" borderId="0" xfId="0" applyNumberForma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10" fontId="1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10" fontId="0" fillId="0" borderId="1" xfId="1" applyNumberFormat="1" applyFont="1" applyBorder="1"/>
    <xf numFmtId="10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4138-9A5A-4FE7-AE88-4FD6D1CEACB5}">
  <dimension ref="A1:S733"/>
  <sheetViews>
    <sheetView workbookViewId="0">
      <selection activeCell="S2" sqref="S2"/>
    </sheetView>
  </sheetViews>
  <sheetFormatPr defaultColWidth="8.85546875" defaultRowHeight="15" x14ac:dyDescent="0.25"/>
  <cols>
    <col min="1" max="1" width="13.7109375" bestFit="1" customWidth="1"/>
    <col min="2" max="2" width="23.140625" bestFit="1" customWidth="1"/>
    <col min="3" max="3" width="22.42578125" bestFit="1" customWidth="1"/>
    <col min="4" max="4" width="17" bestFit="1" customWidth="1"/>
    <col min="5" max="6" width="9.7109375" bestFit="1" customWidth="1"/>
    <col min="7" max="7" width="11.28515625" bestFit="1" customWidth="1"/>
    <col min="8" max="8" width="10.28515625" bestFit="1" customWidth="1"/>
    <col min="9" max="9" width="9.42578125" customWidth="1"/>
    <col min="10" max="11" width="9.7109375" bestFit="1" customWidth="1"/>
  </cols>
  <sheetData>
    <row r="1" spans="1:19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spans="1:19" x14ac:dyDescent="0.25">
      <c r="A2" s="3">
        <v>197401</v>
      </c>
      <c r="B2" s="14">
        <v>1.55E-2</v>
      </c>
      <c r="C2" s="14">
        <v>0.05</v>
      </c>
      <c r="D2" s="14">
        <v>-8.5000000000000006E-2</v>
      </c>
      <c r="E2" s="14">
        <v>0.1032</v>
      </c>
      <c r="F2" s="14">
        <v>-1.8000000000000002E-2</v>
      </c>
      <c r="G2" s="14">
        <v>1.9099999999999999E-2</v>
      </c>
      <c r="H2" s="14">
        <v>-1.77E-2</v>
      </c>
      <c r="I2" s="14">
        <v>6.2300000000000001E-2</v>
      </c>
      <c r="J2" s="14">
        <v>4.9000000000000002E-2</v>
      </c>
      <c r="K2" s="14">
        <v>-5.8999999999999999E-3</v>
      </c>
      <c r="L2" s="14">
        <v>-3.8E-3</v>
      </c>
      <c r="M2" s="14">
        <v>0.11749999999999999</v>
      </c>
      <c r="N2" s="14">
        <v>2.9600000000000001E-2</v>
      </c>
      <c r="O2" s="14">
        <v>4.5499999999999999E-2</v>
      </c>
      <c r="P2" s="14">
        <v>6.7500000000000004E-2</v>
      </c>
      <c r="Q2" s="14">
        <v>3.0000000000000001E-3</v>
      </c>
      <c r="R2" s="7"/>
      <c r="S2" s="3"/>
    </row>
    <row r="3" spans="1:19" x14ac:dyDescent="0.25">
      <c r="A3" s="3">
        <v>197402</v>
      </c>
      <c r="B3" s="14">
        <v>1.2999999999999999E-3</v>
      </c>
      <c r="C3" s="14">
        <v>2.1400000000000002E-2</v>
      </c>
      <c r="D3" s="14">
        <v>-1.3500000000000002E-2</v>
      </c>
      <c r="E3" s="14">
        <v>1.29E-2</v>
      </c>
      <c r="F3" s="14">
        <v>-3.2899999999999999E-2</v>
      </c>
      <c r="G3" s="14">
        <v>1.9299999999999998E-2</v>
      </c>
      <c r="H3" s="14">
        <v>-1.3600000000000001E-2</v>
      </c>
      <c r="I3" s="14">
        <v>3.8300000000000001E-2</v>
      </c>
      <c r="J3" s="14">
        <v>3.44E-2</v>
      </c>
      <c r="K3" s="14">
        <v>-3.0999999999999999E-3</v>
      </c>
      <c r="L3" s="14">
        <v>-6.0999999999999995E-3</v>
      </c>
      <c r="M3" s="14">
        <v>-3.4000000000000002E-3</v>
      </c>
      <c r="N3" s="14">
        <v>6.9500000000000006E-2</v>
      </c>
      <c r="O3" s="14">
        <v>2.8999999999999998E-3</v>
      </c>
      <c r="P3" s="14">
        <v>6.5000000000000006E-3</v>
      </c>
      <c r="Q3" s="14">
        <v>5.8999999999999999E-3</v>
      </c>
      <c r="R3" s="7"/>
    </row>
    <row r="4" spans="1:19" x14ac:dyDescent="0.25">
      <c r="A4" s="3">
        <v>197403</v>
      </c>
      <c r="B4" s="14">
        <v>-2.3799999999999998E-2</v>
      </c>
      <c r="C4" s="14">
        <v>-4.5700000000000005E-2</v>
      </c>
      <c r="D4" s="14">
        <v>-3.5499999999999997E-2</v>
      </c>
      <c r="E4" s="14">
        <v>6.4000000000000003E-3</v>
      </c>
      <c r="F4" s="14">
        <v>-4.6999999999999993E-3</v>
      </c>
      <c r="G4" s="14">
        <v>1.5600000000000001E-2</v>
      </c>
      <c r="H4" s="14">
        <v>2E-3</v>
      </c>
      <c r="I4" s="14">
        <v>-6.6E-3</v>
      </c>
      <c r="J4" s="14">
        <v>-2.6600000000000002E-2</v>
      </c>
      <c r="K4" s="14">
        <v>-3.4200000000000001E-2</v>
      </c>
      <c r="L4" s="14">
        <v>-2.8300000000000002E-2</v>
      </c>
      <c r="M4" s="14">
        <v>2.7000000000000001E-3</v>
      </c>
      <c r="N4" s="14">
        <v>-5.0199999999999995E-2</v>
      </c>
      <c r="O4" s="14">
        <v>-3.6400000000000002E-2</v>
      </c>
      <c r="P4" s="14">
        <v>-3.6400000000000002E-2</v>
      </c>
      <c r="Q4" s="14">
        <v>-4.1200000000000001E-2</v>
      </c>
      <c r="R4" s="7"/>
    </row>
    <row r="5" spans="1:19" x14ac:dyDescent="0.25">
      <c r="A5" s="3">
        <v>197404</v>
      </c>
      <c r="B5" s="14">
        <v>-3.3799999999999997E-2</v>
      </c>
      <c r="C5" s="14">
        <v>-7.1599999999999997E-2</v>
      </c>
      <c r="D5" s="14">
        <v>-6.7799999999999999E-2</v>
      </c>
      <c r="E5" s="14">
        <v>-2.6099999999999998E-2</v>
      </c>
      <c r="F5" s="14">
        <v>-5.5199999999999999E-2</v>
      </c>
      <c r="G5" s="14">
        <v>9.8999999999999991E-3</v>
      </c>
      <c r="H5" s="14">
        <v>-1.4800000000000001E-2</v>
      </c>
      <c r="I5" s="14">
        <v>-4.4400000000000002E-2</v>
      </c>
      <c r="J5" s="14">
        <v>1.8E-3</v>
      </c>
      <c r="K5" s="14">
        <v>-6.0700000000000004E-2</v>
      </c>
      <c r="L5" s="14">
        <v>-3.39E-2</v>
      </c>
      <c r="M5" s="14">
        <v>-2.7900000000000001E-2</v>
      </c>
      <c r="N5" s="14">
        <v>-3.5200000000000002E-2</v>
      </c>
      <c r="O5" s="14">
        <v>-0.12189999999999999</v>
      </c>
      <c r="P5" s="14">
        <v>-1.8700000000000001E-2</v>
      </c>
      <c r="Q5" s="14">
        <v>-6.8400000000000002E-2</v>
      </c>
      <c r="R5" s="7"/>
    </row>
    <row r="6" spans="1:19" x14ac:dyDescent="0.25">
      <c r="A6" s="3">
        <v>197405</v>
      </c>
      <c r="B6" s="14">
        <v>-3.9399999999999998E-2</v>
      </c>
      <c r="C6" s="14">
        <v>-7.8399999999999997E-2</v>
      </c>
      <c r="D6" s="14">
        <v>-7.5600000000000001E-2</v>
      </c>
      <c r="E6" s="14">
        <v>-6.9199999999999998E-2</v>
      </c>
      <c r="F6" s="14">
        <v>1.8E-3</v>
      </c>
      <c r="G6" s="14">
        <v>-1.1000000000000001E-3</v>
      </c>
      <c r="H6" s="14">
        <v>1.04E-2</v>
      </c>
      <c r="I6" s="14">
        <v>-6.7500000000000004E-2</v>
      </c>
      <c r="J6" s="14">
        <v>-8.8699999999999987E-2</v>
      </c>
      <c r="K6" s="14">
        <v>-0.11410000000000001</v>
      </c>
      <c r="L6" s="14">
        <v>-4.6300000000000001E-2</v>
      </c>
      <c r="M6" s="14">
        <v>2.8300000000000002E-2</v>
      </c>
      <c r="N6" s="14">
        <v>-5.1399999999999994E-2</v>
      </c>
      <c r="O6" s="14">
        <v>-4.9000000000000002E-2</v>
      </c>
      <c r="P6" s="14">
        <v>1.89E-2</v>
      </c>
      <c r="Q6" s="14">
        <v>-0.1008</v>
      </c>
      <c r="R6" s="7"/>
    </row>
    <row r="7" spans="1:19" x14ac:dyDescent="0.25">
      <c r="A7" s="3">
        <v>197406</v>
      </c>
      <c r="B7" s="14">
        <v>-4.5999999999999999E-3</v>
      </c>
      <c r="C7" s="14">
        <v>7.7000000000000002E-3</v>
      </c>
      <c r="D7" s="14">
        <v>8.0000000000000004E-4</v>
      </c>
      <c r="E7" s="14">
        <v>-2.5600000000000001E-2</v>
      </c>
      <c r="F7" s="14">
        <v>-1.8200000000000001E-2</v>
      </c>
      <c r="G7" s="14">
        <v>5.0000000000000001E-3</v>
      </c>
      <c r="H7" s="14">
        <v>-5.1000000000000004E-3</v>
      </c>
      <c r="I7" s="14">
        <v>-4.6799999999999994E-2</v>
      </c>
      <c r="J7" s="14">
        <v>0.03</v>
      </c>
      <c r="K7" s="14">
        <v>-2.07E-2</v>
      </c>
      <c r="L7" s="14">
        <v>-2.63E-2</v>
      </c>
      <c r="M7" s="14">
        <v>-3.3799999999999997E-2</v>
      </c>
      <c r="N7" s="14">
        <v>-1.15E-2</v>
      </c>
      <c r="O7" s="14">
        <v>-6.1799999999999994E-2</v>
      </c>
      <c r="P7" s="14">
        <v>-2.5499999999999998E-2</v>
      </c>
      <c r="Q7" s="14">
        <v>-6.8099999999999994E-2</v>
      </c>
      <c r="R7" s="7"/>
    </row>
    <row r="8" spans="1:19" x14ac:dyDescent="0.25">
      <c r="A8" s="3">
        <v>197407</v>
      </c>
      <c r="B8" s="14">
        <v>-0.12189999999999999</v>
      </c>
      <c r="C8" s="14">
        <v>4.9400000000000006E-2</v>
      </c>
      <c r="D8" s="14">
        <v>-8.3000000000000001E-3</v>
      </c>
      <c r="E8" s="14">
        <v>-3.3000000000000002E-2</v>
      </c>
      <c r="F8" s="14">
        <v>-0.13769999999999999</v>
      </c>
      <c r="G8" s="14">
        <v>-4.3700000000000003E-2</v>
      </c>
      <c r="H8" s="14">
        <v>-0.12869999999999998</v>
      </c>
      <c r="I8" s="14">
        <v>-5.4699999999999999E-2</v>
      </c>
      <c r="J8" s="14">
        <v>3.9800000000000002E-2</v>
      </c>
      <c r="K8" s="14">
        <v>-7.0000000000000007E-2</v>
      </c>
      <c r="L8" s="14">
        <v>-7.7800000000000008E-2</v>
      </c>
      <c r="M8" s="14">
        <v>-0.1201</v>
      </c>
      <c r="N8" s="14">
        <v>-6.5299999999999997E-2</v>
      </c>
      <c r="O8" s="14">
        <v>7.7000000000000002E-3</v>
      </c>
      <c r="P8" s="14">
        <v>-0.1376</v>
      </c>
      <c r="Q8" s="14">
        <v>-7.2300000000000003E-2</v>
      </c>
      <c r="R8" s="7"/>
    </row>
    <row r="9" spans="1:19" x14ac:dyDescent="0.25">
      <c r="A9" s="3">
        <v>197408</v>
      </c>
      <c r="B9" s="14">
        <v>-0.12179999999999999</v>
      </c>
      <c r="C9" s="14">
        <v>-9.1400000000000009E-2</v>
      </c>
      <c r="D9" s="14">
        <v>-8.5099999999999995E-2</v>
      </c>
      <c r="E9" s="14">
        <v>-6.1799999999999994E-2</v>
      </c>
      <c r="F9" s="14">
        <v>-0.1057</v>
      </c>
      <c r="G9" s="14">
        <v>-0.11130000000000001</v>
      </c>
      <c r="H9" s="14">
        <v>-8.1699999999999995E-2</v>
      </c>
      <c r="I9" s="14">
        <v>-9.4600000000000004E-2</v>
      </c>
      <c r="J9" s="14">
        <v>-7.9899999999999999E-2</v>
      </c>
      <c r="K9" s="14">
        <v>-8.14E-2</v>
      </c>
      <c r="L9" s="14">
        <v>-6.7900000000000002E-2</v>
      </c>
      <c r="M9" s="14">
        <v>-3.9599999999999996E-2</v>
      </c>
      <c r="N9" s="14">
        <v>-9.3800000000000008E-2</v>
      </c>
      <c r="O9" s="14">
        <v>-8.6199999999999999E-2</v>
      </c>
      <c r="P9" s="14">
        <v>-0.1358</v>
      </c>
      <c r="Q9" s="14">
        <v>-0.1176</v>
      </c>
      <c r="R9" s="7"/>
    </row>
    <row r="10" spans="1:19" x14ac:dyDescent="0.25">
      <c r="A10" s="3">
        <v>197409</v>
      </c>
      <c r="B10" s="14">
        <v>-0.1346</v>
      </c>
      <c r="C10" s="14">
        <v>-0.1234</v>
      </c>
      <c r="D10" s="14">
        <v>-7.9899999999999999E-2</v>
      </c>
      <c r="E10" s="14">
        <v>-9.6999999999999989E-2</v>
      </c>
      <c r="F10" s="14">
        <v>-0.18260000000000001</v>
      </c>
      <c r="G10" s="14">
        <v>-0.10220000000000001</v>
      </c>
      <c r="H10" s="14">
        <v>-0.15049999999999999</v>
      </c>
      <c r="I10" s="14">
        <v>-0.1067</v>
      </c>
      <c r="J10" s="14">
        <v>-8.14E-2</v>
      </c>
      <c r="K10" s="14">
        <v>-9.1999999999999998E-2</v>
      </c>
      <c r="L10" s="14">
        <v>-0.15960000000000002</v>
      </c>
      <c r="M10" s="14">
        <v>-9.9399999999999988E-2</v>
      </c>
      <c r="N10" s="14">
        <v>-8.72E-2</v>
      </c>
      <c r="O10" s="14">
        <v>-1.3100000000000001E-2</v>
      </c>
      <c r="P10" s="14">
        <v>-0.12570000000000001</v>
      </c>
      <c r="Q10" s="14">
        <v>-7.1199999999999999E-2</v>
      </c>
      <c r="R10" s="7"/>
    </row>
    <row r="11" spans="1:19" x14ac:dyDescent="0.25">
      <c r="A11" s="3">
        <v>197410</v>
      </c>
      <c r="B11" s="14">
        <v>0.1888</v>
      </c>
      <c r="C11" s="14">
        <v>0.22270000000000001</v>
      </c>
      <c r="D11" s="14">
        <v>0.215</v>
      </c>
      <c r="E11" s="14">
        <v>4.7599999999999996E-2</v>
      </c>
      <c r="F11" s="14">
        <v>0.1323</v>
      </c>
      <c r="G11" s="14">
        <v>0.1794</v>
      </c>
      <c r="H11" s="14">
        <v>0.28970000000000001</v>
      </c>
      <c r="I11" s="14">
        <v>0.14580000000000001</v>
      </c>
      <c r="J11" s="14">
        <v>9.8100000000000007E-2</v>
      </c>
      <c r="K11" s="14">
        <v>0.14910000000000001</v>
      </c>
      <c r="L11" s="14">
        <v>0.1772</v>
      </c>
      <c r="M11" s="14">
        <v>-3.0099999999999998E-2</v>
      </c>
      <c r="N11" s="14">
        <v>0.15629999999999999</v>
      </c>
      <c r="O11" s="14">
        <v>0.13009999999999999</v>
      </c>
      <c r="P11" s="14">
        <v>8.9499999999999996E-2</v>
      </c>
      <c r="Q11" s="14">
        <v>0.21030000000000001</v>
      </c>
      <c r="R11" s="7"/>
    </row>
    <row r="12" spans="1:19" x14ac:dyDescent="0.25">
      <c r="A12" s="3">
        <v>197411</v>
      </c>
      <c r="B12" s="14">
        <v>-3.5000000000000003E-2</v>
      </c>
      <c r="C12" s="14">
        <v>-1.6799999999999999E-2</v>
      </c>
      <c r="D12" s="14">
        <v>-4.1500000000000002E-2</v>
      </c>
      <c r="E12" s="14">
        <v>-0.12809999999999999</v>
      </c>
      <c r="F12" s="14">
        <v>-7.2599999999999998E-2</v>
      </c>
      <c r="G12" s="14">
        <v>-0.1008</v>
      </c>
      <c r="H12" s="14">
        <v>-2E-3</v>
      </c>
      <c r="I12" s="14">
        <v>-5.5300000000000002E-2</v>
      </c>
      <c r="J12" s="14">
        <v>-1.3999999999999999E-2</v>
      </c>
      <c r="K12" s="14">
        <v>2.8000000000000004E-3</v>
      </c>
      <c r="L12" s="14">
        <v>-4.7500000000000001E-2</v>
      </c>
      <c r="M12" s="14">
        <v>-6.2899999999999998E-2</v>
      </c>
      <c r="N12" s="14">
        <v>-5.0999999999999997E-2</v>
      </c>
      <c r="O12" s="14">
        <v>-1.2999999999999999E-3</v>
      </c>
      <c r="P12" s="14">
        <v>-5.9800000000000006E-2</v>
      </c>
      <c r="Q12" s="14">
        <v>-2.12E-2</v>
      </c>
      <c r="R12" s="7"/>
    </row>
    <row r="13" spans="1:19" x14ac:dyDescent="0.25">
      <c r="A13" s="3">
        <v>197412</v>
      </c>
      <c r="B13" s="14">
        <v>-3.9000000000000003E-3</v>
      </c>
      <c r="C13" s="14">
        <v>-5.9500000000000004E-2</v>
      </c>
      <c r="D13" s="14">
        <v>1.2E-2</v>
      </c>
      <c r="E13" s="14">
        <v>-2.7099999999999999E-2</v>
      </c>
      <c r="F13" s="14">
        <v>-7.5600000000000001E-2</v>
      </c>
      <c r="G13" s="14">
        <v>-3.78E-2</v>
      </c>
      <c r="H13" s="14">
        <v>-2.2799999999999997E-2</v>
      </c>
      <c r="I13" s="14">
        <v>-5.4000000000000006E-2</v>
      </c>
      <c r="J13" s="14">
        <v>-3.8300000000000001E-2</v>
      </c>
      <c r="K13" s="14">
        <v>-3.4000000000000002E-3</v>
      </c>
      <c r="L13" s="14">
        <v>-5.0700000000000002E-2</v>
      </c>
      <c r="M13" s="14">
        <v>3.3E-3</v>
      </c>
      <c r="N13" s="14">
        <v>-6.0100000000000001E-2</v>
      </c>
      <c r="O13" s="14">
        <v>-8.1000000000000013E-3</v>
      </c>
      <c r="P13" s="14">
        <v>-3.4200000000000001E-2</v>
      </c>
      <c r="Q13" s="14">
        <v>-2.6699999999999998E-2</v>
      </c>
      <c r="R13" s="7"/>
    </row>
    <row r="14" spans="1:19" x14ac:dyDescent="0.25">
      <c r="A14">
        <v>197501</v>
      </c>
      <c r="B14" s="15">
        <v>0.20100000000000001</v>
      </c>
      <c r="C14" s="15">
        <v>0.1182</v>
      </c>
      <c r="D14" s="15">
        <v>4.8799999999999996E-2</v>
      </c>
      <c r="E14" s="15">
        <v>0.26179999999999998</v>
      </c>
      <c r="F14" s="15">
        <v>0.2026</v>
      </c>
      <c r="G14" s="15">
        <v>0.10210000000000001</v>
      </c>
      <c r="H14" s="15">
        <v>2.3399999999999997E-2</v>
      </c>
      <c r="I14" s="15">
        <v>0.26100000000000001</v>
      </c>
      <c r="J14" s="15">
        <v>0.17730000000000001</v>
      </c>
      <c r="K14" s="15">
        <v>0.15689999999999998</v>
      </c>
      <c r="L14" s="15">
        <v>0.13390000000000002</v>
      </c>
      <c r="M14" s="15">
        <v>0.22769999999999999</v>
      </c>
      <c r="N14" s="15">
        <v>0.18</v>
      </c>
      <c r="O14" s="15">
        <v>0.188</v>
      </c>
      <c r="P14" s="15">
        <v>0.26860000000000001</v>
      </c>
      <c r="Q14" s="15">
        <v>0.17269999999999999</v>
      </c>
      <c r="R14" s="7"/>
    </row>
    <row r="15" spans="1:19" x14ac:dyDescent="0.25">
      <c r="A15">
        <v>197502</v>
      </c>
      <c r="B15" s="15">
        <v>5.4400000000000004E-2</v>
      </c>
      <c r="C15" s="15">
        <v>5.7300000000000004E-2</v>
      </c>
      <c r="D15" s="15">
        <v>2.41E-2</v>
      </c>
      <c r="E15" s="15">
        <v>1.6299999999999999E-2</v>
      </c>
      <c r="F15" s="15">
        <v>0.13150000000000001</v>
      </c>
      <c r="G15" s="15">
        <v>9.11E-2</v>
      </c>
      <c r="H15" s="15">
        <v>0.11269999999999999</v>
      </c>
      <c r="I15" s="15">
        <v>3.3500000000000002E-2</v>
      </c>
      <c r="J15" s="15">
        <v>1.6299999999999999E-2</v>
      </c>
      <c r="K15" s="15">
        <v>5.6600000000000004E-2</v>
      </c>
      <c r="L15" s="15">
        <v>0.1263</v>
      </c>
      <c r="M15" s="15">
        <v>4.5000000000000005E-3</v>
      </c>
      <c r="N15" s="15">
        <v>5.9200000000000003E-2</v>
      </c>
      <c r="O15" s="15">
        <v>9.0000000000000011E-3</v>
      </c>
      <c r="P15" s="15">
        <v>5.0900000000000001E-2</v>
      </c>
      <c r="Q15" s="15">
        <v>2.7000000000000001E-3</v>
      </c>
      <c r="R15" s="7"/>
    </row>
    <row r="16" spans="1:19" x14ac:dyDescent="0.25">
      <c r="A16">
        <v>197503</v>
      </c>
      <c r="B16" s="15">
        <v>5.5599999999999997E-2</v>
      </c>
      <c r="C16" s="15">
        <v>9.06E-2</v>
      </c>
      <c r="D16" s="15">
        <v>-2.1400000000000002E-2</v>
      </c>
      <c r="E16" s="15">
        <v>0.156</v>
      </c>
      <c r="F16" s="15">
        <v>4.87E-2</v>
      </c>
      <c r="G16" s="15">
        <v>0.06</v>
      </c>
      <c r="H16" s="15">
        <v>2.1700000000000001E-2</v>
      </c>
      <c r="I16" s="15">
        <v>8.4499999999999992E-2</v>
      </c>
      <c r="J16" s="15">
        <v>0.11630000000000001</v>
      </c>
      <c r="K16" s="15">
        <v>3.2500000000000001E-2</v>
      </c>
      <c r="L16" s="15">
        <v>2.0400000000000001E-2</v>
      </c>
      <c r="M16" s="15">
        <v>7.0199999999999999E-2</v>
      </c>
      <c r="N16" s="15">
        <v>5.4199999999999998E-2</v>
      </c>
      <c r="O16" s="15">
        <v>-1.32E-2</v>
      </c>
      <c r="P16" s="15">
        <v>0.1124</v>
      </c>
      <c r="Q16" s="15">
        <v>2.5099999999999997E-2</v>
      </c>
      <c r="R16" s="7"/>
    </row>
    <row r="17" spans="1:18" x14ac:dyDescent="0.25">
      <c r="A17">
        <v>197504</v>
      </c>
      <c r="B17" s="15">
        <v>0.01</v>
      </c>
      <c r="C17" s="15">
        <v>0.10189999999999999</v>
      </c>
      <c r="D17" s="15">
        <v>7.4099999999999999E-2</v>
      </c>
      <c r="E17" s="15">
        <v>7.2900000000000006E-2</v>
      </c>
      <c r="F17" s="15">
        <v>8.4900000000000003E-2</v>
      </c>
      <c r="G17" s="15">
        <v>0.16269999999999998</v>
      </c>
      <c r="H17" s="15">
        <v>1.4199999999999999E-2</v>
      </c>
      <c r="I17" s="15">
        <v>3.3500000000000002E-2</v>
      </c>
      <c r="J17" s="15">
        <v>9.5100000000000004E-2</v>
      </c>
      <c r="K17" s="15">
        <v>1.4499999999999999E-2</v>
      </c>
      <c r="L17" s="15">
        <v>5.7099999999999998E-2</v>
      </c>
      <c r="M17" s="15">
        <v>3.4500000000000003E-2</v>
      </c>
      <c r="N17" s="15">
        <v>6.1399999999999996E-2</v>
      </c>
      <c r="O17" s="15">
        <v>-1.61E-2</v>
      </c>
      <c r="P17" s="15">
        <v>2.4900000000000002E-2</v>
      </c>
      <c r="Q17" s="15">
        <v>1.3500000000000002E-2</v>
      </c>
      <c r="R17" s="7"/>
    </row>
    <row r="18" spans="1:18" x14ac:dyDescent="0.25">
      <c r="A18">
        <v>197505</v>
      </c>
      <c r="B18" s="15">
        <v>6.480000000000001E-2</v>
      </c>
      <c r="C18" s="15">
        <v>7.8399999999999997E-2</v>
      </c>
      <c r="D18" s="15">
        <v>0.1255</v>
      </c>
      <c r="E18" s="15">
        <v>3.0200000000000001E-2</v>
      </c>
      <c r="F18" s="15">
        <v>7.4000000000000003E-3</v>
      </c>
      <c r="G18" s="15">
        <v>2.5999999999999999E-3</v>
      </c>
      <c r="H18" s="15">
        <v>6.1600000000000002E-2</v>
      </c>
      <c r="I18" s="15">
        <v>5.3600000000000002E-2</v>
      </c>
      <c r="J18" s="15">
        <v>-5.1100000000000007E-2</v>
      </c>
      <c r="K18" s="15">
        <v>3.2199999999999999E-2</v>
      </c>
      <c r="L18" s="15">
        <v>5.1200000000000002E-2</v>
      </c>
      <c r="M18" s="15">
        <v>4.9699999999999994E-2</v>
      </c>
      <c r="N18" s="15">
        <v>3.2099999999999997E-2</v>
      </c>
      <c r="O18" s="15">
        <v>8.5199999999999998E-2</v>
      </c>
      <c r="P18" s="15">
        <v>4.0999999999999995E-2</v>
      </c>
      <c r="Q18" s="15">
        <v>6.4100000000000004E-2</v>
      </c>
      <c r="R18" s="7"/>
    </row>
    <row r="19" spans="1:18" x14ac:dyDescent="0.25">
      <c r="A19">
        <v>197506</v>
      </c>
      <c r="B19" s="15">
        <v>4.87E-2</v>
      </c>
      <c r="C19" s="15">
        <v>4.3099999999999999E-2</v>
      </c>
      <c r="D19" s="15">
        <v>6.7199999999999996E-2</v>
      </c>
      <c r="E19" s="15">
        <v>8.5999999999999993E-2</v>
      </c>
      <c r="F19" s="15">
        <v>3.8300000000000001E-2</v>
      </c>
      <c r="G19" s="15">
        <v>4.3200000000000002E-2</v>
      </c>
      <c r="H19" s="15">
        <v>1.3999999999999999E-2</v>
      </c>
      <c r="I19" s="15">
        <v>5.5599999999999997E-2</v>
      </c>
      <c r="J19" s="15">
        <v>6.3700000000000007E-2</v>
      </c>
      <c r="K19" s="15">
        <v>8.4600000000000009E-2</v>
      </c>
      <c r="L19" s="15">
        <v>2.6800000000000001E-2</v>
      </c>
      <c r="M19" s="15">
        <v>9.1499999999999998E-2</v>
      </c>
      <c r="N19" s="15">
        <v>5.7599999999999998E-2</v>
      </c>
      <c r="O19" s="15">
        <v>0.10710000000000001</v>
      </c>
      <c r="P19" s="15">
        <v>7.4800000000000005E-2</v>
      </c>
      <c r="Q19" s="15">
        <v>6.3500000000000001E-2</v>
      </c>
      <c r="R19" s="7"/>
    </row>
    <row r="20" spans="1:18" x14ac:dyDescent="0.25">
      <c r="A20">
        <v>197507</v>
      </c>
      <c r="B20" s="15">
        <v>-5.33E-2</v>
      </c>
      <c r="C20" s="15">
        <v>-3.85E-2</v>
      </c>
      <c r="D20" s="15">
        <v>-4.3700000000000003E-2</v>
      </c>
      <c r="E20" s="15">
        <v>-3.5400000000000001E-2</v>
      </c>
      <c r="F20" s="15">
        <v>-7.8299999999999995E-2</v>
      </c>
      <c r="G20" s="15">
        <v>-4.5199999999999997E-2</v>
      </c>
      <c r="H20" s="15">
        <v>-0.1075</v>
      </c>
      <c r="I20" s="15">
        <v>-5.74E-2</v>
      </c>
      <c r="J20" s="15">
        <v>-6.6000000000000003E-2</v>
      </c>
      <c r="K20" s="15">
        <v>-3.61E-2</v>
      </c>
      <c r="L20" s="15">
        <v>-8.2400000000000001E-2</v>
      </c>
      <c r="M20" s="15">
        <v>2.7000000000000003E-2</v>
      </c>
      <c r="N20" s="15">
        <v>-4.1700000000000001E-2</v>
      </c>
      <c r="O20" s="15">
        <v>-4.7800000000000002E-2</v>
      </c>
      <c r="P20" s="15">
        <v>-8.2200000000000009E-2</v>
      </c>
      <c r="Q20" s="15">
        <v>-7.3200000000000001E-2</v>
      </c>
      <c r="R20" s="7"/>
    </row>
    <row r="21" spans="1:18" x14ac:dyDescent="0.25">
      <c r="A21">
        <v>197508</v>
      </c>
      <c r="B21" s="15">
        <v>-2.3799999999999998E-2</v>
      </c>
      <c r="C21" s="15">
        <v>-7.2700000000000001E-2</v>
      </c>
      <c r="D21" s="15">
        <v>-5.6999999999999993E-3</v>
      </c>
      <c r="E21" s="15">
        <v>-4.2599999999999999E-2</v>
      </c>
      <c r="F21" s="15">
        <v>-3.5499999999999997E-2</v>
      </c>
      <c r="G21" s="15">
        <v>1.9799999999999998E-2</v>
      </c>
      <c r="H21" s="15">
        <v>-4.1799999999999997E-2</v>
      </c>
      <c r="I21" s="15">
        <v>-1.3899999999999999E-2</v>
      </c>
      <c r="J21" s="15">
        <v>3.7400000000000003E-2</v>
      </c>
      <c r="K21" s="15">
        <v>-1.84E-2</v>
      </c>
      <c r="L21" s="15">
        <v>-2.5399999999999999E-2</v>
      </c>
      <c r="M21" s="15">
        <v>-3.0699999999999998E-2</v>
      </c>
      <c r="N21" s="15">
        <v>-2.7200000000000002E-2</v>
      </c>
      <c r="O21" s="15">
        <v>-1.24E-2</v>
      </c>
      <c r="P21" s="15">
        <v>1.4000000000000002E-3</v>
      </c>
      <c r="Q21" s="15">
        <v>-6.1399999999999996E-2</v>
      </c>
      <c r="R21" s="7"/>
    </row>
    <row r="22" spans="1:18" x14ac:dyDescent="0.25">
      <c r="A22">
        <v>197509</v>
      </c>
      <c r="B22" s="15">
        <v>-3.1800000000000002E-2</v>
      </c>
      <c r="C22" s="15">
        <v>-2.6800000000000001E-2</v>
      </c>
      <c r="D22" s="15">
        <v>-1.0700000000000001E-2</v>
      </c>
      <c r="E22" s="15">
        <v>6.8000000000000005E-3</v>
      </c>
      <c r="F22" s="15">
        <v>-4.1599999999999998E-2</v>
      </c>
      <c r="G22" s="15">
        <v>-8.4900000000000003E-2</v>
      </c>
      <c r="H22" s="15">
        <v>-4.7899999999999998E-2</v>
      </c>
      <c r="I22" s="15">
        <v>-6.54E-2</v>
      </c>
      <c r="J22" s="15">
        <v>-5.2499999999999998E-2</v>
      </c>
      <c r="K22" s="15">
        <v>-4.5400000000000003E-2</v>
      </c>
      <c r="L22" s="15">
        <v>-2.0400000000000001E-2</v>
      </c>
      <c r="M22" s="15">
        <v>-1.1000000000000001E-2</v>
      </c>
      <c r="N22" s="15">
        <v>-3.9699999999999999E-2</v>
      </c>
      <c r="O22" s="15">
        <v>-9.8999999999999991E-3</v>
      </c>
      <c r="P22" s="15">
        <v>-3.4200000000000001E-2</v>
      </c>
      <c r="Q22" s="15">
        <v>-7.51E-2</v>
      </c>
      <c r="R22" s="7"/>
    </row>
    <row r="23" spans="1:18" x14ac:dyDescent="0.25">
      <c r="A23">
        <v>197510</v>
      </c>
      <c r="B23" s="15">
        <v>0.1177</v>
      </c>
      <c r="C23" s="15">
        <v>-5.0099999999999999E-2</v>
      </c>
      <c r="D23" s="15">
        <v>-1.47E-2</v>
      </c>
      <c r="E23" s="15">
        <v>0.10619999999999999</v>
      </c>
      <c r="F23" s="15">
        <v>8.7799999999999989E-2</v>
      </c>
      <c r="G23" s="15">
        <v>6.83E-2</v>
      </c>
      <c r="H23" s="15">
        <v>9.7200000000000009E-2</v>
      </c>
      <c r="I23" s="15">
        <v>4.1599999999999998E-2</v>
      </c>
      <c r="J23" s="15">
        <v>-2.8199999999999999E-2</v>
      </c>
      <c r="K23" s="15">
        <v>1.5800000000000002E-2</v>
      </c>
      <c r="L23" s="15">
        <v>6.8099999999999994E-2</v>
      </c>
      <c r="M23" s="15">
        <v>9.5000000000000001E-2</v>
      </c>
      <c r="N23" s="15">
        <v>3.8300000000000001E-2</v>
      </c>
      <c r="O23" s="15">
        <v>6.5799999999999997E-2</v>
      </c>
      <c r="P23" s="15">
        <v>0.10769999999999999</v>
      </c>
      <c r="Q23" s="15">
        <v>5.0300000000000004E-2</v>
      </c>
      <c r="R23" s="7"/>
    </row>
    <row r="24" spans="1:18" x14ac:dyDescent="0.25">
      <c r="A24">
        <v>197511</v>
      </c>
      <c r="B24" s="15">
        <v>3.2099999999999997E-2</v>
      </c>
      <c r="C24" s="15">
        <v>-1.4499999999999999E-2</v>
      </c>
      <c r="D24" s="15">
        <v>-1.9799999999999998E-2</v>
      </c>
      <c r="E24" s="15">
        <v>6.6799999999999998E-2</v>
      </c>
      <c r="F24" s="15">
        <v>3.2099999999999997E-2</v>
      </c>
      <c r="G24" s="15">
        <v>2.0299999999999999E-2</v>
      </c>
      <c r="H24" s="15">
        <v>5.1299999999999998E-2</v>
      </c>
      <c r="I24" s="15">
        <v>3.2500000000000001E-2</v>
      </c>
      <c r="J24" s="15">
        <v>1.6299999999999999E-2</v>
      </c>
      <c r="K24" s="15">
        <v>4.5000000000000005E-3</v>
      </c>
      <c r="L24" s="15">
        <v>3.7000000000000005E-2</v>
      </c>
      <c r="M24" s="15">
        <v>3.7200000000000004E-2</v>
      </c>
      <c r="N24" s="15">
        <v>3.3599999999999998E-2</v>
      </c>
      <c r="O24" s="15">
        <v>3.15E-2</v>
      </c>
      <c r="P24" s="15">
        <v>5.1200000000000002E-2</v>
      </c>
      <c r="Q24" s="15">
        <v>4.8300000000000003E-2</v>
      </c>
      <c r="R24" s="7"/>
    </row>
    <row r="25" spans="1:18" x14ac:dyDescent="0.25">
      <c r="A25">
        <v>197512</v>
      </c>
      <c r="B25" s="15">
        <v>-1.9699999999999999E-2</v>
      </c>
      <c r="C25" s="15">
        <v>2.3599999999999999E-2</v>
      </c>
      <c r="D25" s="15">
        <v>2.8000000000000004E-3</v>
      </c>
      <c r="E25" s="15">
        <v>-1.0500000000000001E-2</v>
      </c>
      <c r="F25" s="15">
        <v>-2.2000000000000002E-2</v>
      </c>
      <c r="G25" s="15">
        <v>2.0000000000000001E-4</v>
      </c>
      <c r="H25" s="15">
        <v>-5.67E-2</v>
      </c>
      <c r="I25" s="15">
        <v>7.1999999999999998E-3</v>
      </c>
      <c r="J25" s="15">
        <v>2.1299999999999999E-2</v>
      </c>
      <c r="K25" s="15">
        <v>-3.61E-2</v>
      </c>
      <c r="L25" s="15">
        <v>-1.1699999999999999E-2</v>
      </c>
      <c r="M25" s="15">
        <v>1.7100000000000001E-2</v>
      </c>
      <c r="N25" s="15">
        <v>3.0000000000000001E-3</v>
      </c>
      <c r="O25" s="15">
        <v>1.34E-2</v>
      </c>
      <c r="P25" s="15">
        <v>-3.4700000000000002E-2</v>
      </c>
      <c r="Q25" s="15">
        <v>-4.5999999999999999E-3</v>
      </c>
      <c r="R25" s="7"/>
    </row>
    <row r="26" spans="1:18" x14ac:dyDescent="0.25">
      <c r="A26">
        <v>197601</v>
      </c>
      <c r="B26" s="15">
        <v>8.900000000000001E-2</v>
      </c>
      <c r="C26" s="15">
        <v>0.1472</v>
      </c>
      <c r="D26" s="15">
        <v>7.7100000000000002E-2</v>
      </c>
      <c r="E26" s="15">
        <v>0.21429999999999999</v>
      </c>
      <c r="F26" s="15">
        <v>0.14910000000000001</v>
      </c>
      <c r="G26" s="15">
        <v>0.19949999999999998</v>
      </c>
      <c r="H26" s="15">
        <v>7.2000000000000008E-2</v>
      </c>
      <c r="I26" s="15">
        <v>0.17859999999999998</v>
      </c>
      <c r="J26" s="15">
        <v>0.2122</v>
      </c>
      <c r="K26" s="15">
        <v>0.1832</v>
      </c>
      <c r="L26" s="15">
        <v>0.1797</v>
      </c>
      <c r="M26" s="15">
        <v>0.13089999999999999</v>
      </c>
      <c r="N26" s="15">
        <v>0.156</v>
      </c>
      <c r="O26" s="15">
        <v>8.3000000000000004E-2</v>
      </c>
      <c r="P26" s="15">
        <v>7.9299999999999995E-2</v>
      </c>
      <c r="Q26" s="15">
        <v>0.1222</v>
      </c>
      <c r="R26" s="7"/>
    </row>
    <row r="27" spans="1:18" x14ac:dyDescent="0.25">
      <c r="A27">
        <v>197602</v>
      </c>
      <c r="B27" s="15">
        <v>-3.0299999999999997E-2</v>
      </c>
      <c r="C27" s="15">
        <v>2.1499999999999998E-2</v>
      </c>
      <c r="D27" s="15">
        <v>-3.2099999999999997E-2</v>
      </c>
      <c r="E27" s="15">
        <v>4.8399999999999999E-2</v>
      </c>
      <c r="F27" s="15">
        <v>-3.8E-3</v>
      </c>
      <c r="G27" s="15">
        <v>2.5099999999999997E-2</v>
      </c>
      <c r="H27" s="15">
        <v>-5.8700000000000002E-2</v>
      </c>
      <c r="I27" s="15">
        <v>6.0400000000000002E-2</v>
      </c>
      <c r="J27" s="15">
        <v>5.2000000000000005E-2</v>
      </c>
      <c r="K27" s="15">
        <v>3.61E-2</v>
      </c>
      <c r="L27" s="15">
        <v>0.02</v>
      </c>
      <c r="M27" s="15">
        <v>5.5300000000000002E-2</v>
      </c>
      <c r="N27" s="15">
        <v>5.9800000000000006E-2</v>
      </c>
      <c r="O27" s="15">
        <v>-3.5200000000000002E-2</v>
      </c>
      <c r="P27" s="15">
        <v>4.2800000000000005E-2</v>
      </c>
      <c r="Q27" s="15">
        <v>1.9E-2</v>
      </c>
      <c r="R27" s="7"/>
    </row>
    <row r="28" spans="1:18" x14ac:dyDescent="0.25">
      <c r="A28">
        <v>197603</v>
      </c>
      <c r="B28" s="15">
        <v>6.5000000000000006E-3</v>
      </c>
      <c r="C28" s="15">
        <v>4.3899999999999995E-2</v>
      </c>
      <c r="D28" s="15">
        <v>7.5499999999999998E-2</v>
      </c>
      <c r="E28" s="15">
        <v>3.0800000000000001E-2</v>
      </c>
      <c r="F28" s="15">
        <v>1.8600000000000002E-2</v>
      </c>
      <c r="G28" s="15">
        <v>-3.6000000000000004E-2</v>
      </c>
      <c r="H28" s="15">
        <v>5.8299999999999998E-2</v>
      </c>
      <c r="I28" s="15">
        <v>2.81E-2</v>
      </c>
      <c r="J28" s="15">
        <v>-4.0000000000000002E-4</v>
      </c>
      <c r="K28" s="15">
        <v>4.0000000000000001E-3</v>
      </c>
      <c r="L28" s="15">
        <v>2.1600000000000001E-2</v>
      </c>
      <c r="M28" s="15">
        <v>5.4800000000000001E-2</v>
      </c>
      <c r="N28" s="15">
        <v>9.1999999999999998E-3</v>
      </c>
      <c r="O28" s="15">
        <v>1.44E-2</v>
      </c>
      <c r="P28" s="15">
        <v>3.9199999999999999E-2</v>
      </c>
      <c r="Q28" s="15">
        <v>3.2300000000000002E-2</v>
      </c>
      <c r="R28" s="7"/>
    </row>
    <row r="29" spans="1:18" x14ac:dyDescent="0.25">
      <c r="A29">
        <v>197604</v>
      </c>
      <c r="B29" s="15">
        <v>-1.29E-2</v>
      </c>
      <c r="C29" s="15">
        <v>2.7999999999999997E-2</v>
      </c>
      <c r="D29" s="15">
        <v>1.8000000000000002E-2</v>
      </c>
      <c r="E29" s="15">
        <v>-3.0099999999999998E-2</v>
      </c>
      <c r="F29" s="15">
        <v>-4.9200000000000001E-2</v>
      </c>
      <c r="G29" s="15">
        <v>1E-3</v>
      </c>
      <c r="H29" s="15">
        <v>-3.5900000000000001E-2</v>
      </c>
      <c r="I29" s="15">
        <v>0</v>
      </c>
      <c r="J29" s="15">
        <v>1.3600000000000001E-2</v>
      </c>
      <c r="K29" s="15">
        <v>-1.09E-2</v>
      </c>
      <c r="L29" s="15">
        <v>-2.29E-2</v>
      </c>
      <c r="M29" s="15">
        <v>1.83E-2</v>
      </c>
      <c r="N29" s="15">
        <v>1.26E-2</v>
      </c>
      <c r="O29" s="15">
        <v>6.3E-3</v>
      </c>
      <c r="P29" s="15">
        <v>-5.1200000000000002E-2</v>
      </c>
      <c r="Q29" s="15">
        <v>-2.6200000000000001E-2</v>
      </c>
      <c r="R29" s="7"/>
    </row>
    <row r="30" spans="1:18" x14ac:dyDescent="0.25">
      <c r="A30">
        <v>197605</v>
      </c>
      <c r="B30" s="15">
        <v>-9.5999999999999992E-3</v>
      </c>
      <c r="C30" s="15">
        <v>2.5699999999999997E-2</v>
      </c>
      <c r="D30" s="15">
        <v>6.2300000000000001E-2</v>
      </c>
      <c r="E30" s="15">
        <v>-7.1500000000000008E-2</v>
      </c>
      <c r="F30" s="15">
        <v>-3.1600000000000003E-2</v>
      </c>
      <c r="G30" s="15">
        <v>-2.7000000000000003E-2</v>
      </c>
      <c r="H30" s="15">
        <v>-2.3700000000000002E-2</v>
      </c>
      <c r="I30" s="15">
        <v>-3.9800000000000002E-2</v>
      </c>
      <c r="J30" s="15">
        <v>4.0999999999999995E-3</v>
      </c>
      <c r="K30" s="15">
        <v>1.2199999999999999E-2</v>
      </c>
      <c r="L30" s="15">
        <v>8.0000000000000002E-3</v>
      </c>
      <c r="M30" s="15">
        <v>-2.6800000000000001E-2</v>
      </c>
      <c r="N30" s="15">
        <v>1.83E-2</v>
      </c>
      <c r="O30" s="15">
        <v>-1.46E-2</v>
      </c>
      <c r="P30" s="15">
        <v>-6.6500000000000004E-2</v>
      </c>
      <c r="Q30" s="15">
        <v>-2.1400000000000002E-2</v>
      </c>
      <c r="R30" s="7"/>
    </row>
    <row r="31" spans="1:18" x14ac:dyDescent="0.25">
      <c r="A31">
        <v>197606</v>
      </c>
      <c r="B31" s="15">
        <v>5.4600000000000003E-2</v>
      </c>
      <c r="C31" s="15">
        <v>4.6399999999999997E-2</v>
      </c>
      <c r="D31" s="15">
        <v>4.9500000000000002E-2</v>
      </c>
      <c r="E31" s="15">
        <v>9.3999999999999986E-3</v>
      </c>
      <c r="F31" s="15">
        <v>5.2199999999999996E-2</v>
      </c>
      <c r="G31" s="15">
        <v>-5.3E-3</v>
      </c>
      <c r="H31" s="15">
        <v>4.6100000000000002E-2</v>
      </c>
      <c r="I31" s="15">
        <v>3.8199999999999998E-2</v>
      </c>
      <c r="J31" s="15">
        <v>4.7100000000000003E-2</v>
      </c>
      <c r="K31" s="15">
        <v>8.8900000000000007E-2</v>
      </c>
      <c r="L31" s="15">
        <v>7.6600000000000001E-2</v>
      </c>
      <c r="M31" s="15">
        <v>2.2599999999999999E-2</v>
      </c>
      <c r="N31" s="15">
        <v>7.0199999999999999E-2</v>
      </c>
      <c r="O31" s="15">
        <v>4.2500000000000003E-2</v>
      </c>
      <c r="P31" s="15">
        <v>1.52E-2</v>
      </c>
      <c r="Q31" s="15">
        <v>6.4399999999999999E-2</v>
      </c>
      <c r="R31" s="7"/>
    </row>
    <row r="32" spans="1:18" x14ac:dyDescent="0.25">
      <c r="A32">
        <v>197607</v>
      </c>
      <c r="B32" s="15">
        <v>1.77E-2</v>
      </c>
      <c r="C32" s="15">
        <v>-3.7999999999999999E-2</v>
      </c>
      <c r="D32" s="15">
        <v>-3.0999999999999999E-3</v>
      </c>
      <c r="E32" s="15">
        <v>-1.6299999999999999E-2</v>
      </c>
      <c r="F32" s="15">
        <v>-3.1699999999999999E-2</v>
      </c>
      <c r="G32" s="15">
        <v>-2.2499999999999999E-2</v>
      </c>
      <c r="H32" s="15">
        <v>-1.1000000000000001E-3</v>
      </c>
      <c r="I32" s="15">
        <v>-2.0499999999999997E-2</v>
      </c>
      <c r="J32" s="15">
        <v>-2.46E-2</v>
      </c>
      <c r="K32" s="15">
        <v>-2.1000000000000001E-2</v>
      </c>
      <c r="L32" s="15">
        <v>-2.3900000000000001E-2</v>
      </c>
      <c r="M32" s="15">
        <v>-3.4000000000000002E-3</v>
      </c>
      <c r="N32" s="15">
        <v>-1.26E-2</v>
      </c>
      <c r="O32" s="15">
        <v>2.8199999999999999E-2</v>
      </c>
      <c r="P32" s="15">
        <v>-2.46E-2</v>
      </c>
      <c r="Q32" s="15">
        <v>1.1599999999999999E-2</v>
      </c>
      <c r="R32" s="7"/>
    </row>
    <row r="33" spans="1:18" x14ac:dyDescent="0.25">
      <c r="A33">
        <v>197608</v>
      </c>
      <c r="B33" s="15">
        <v>-4.5000000000000005E-3</v>
      </c>
      <c r="C33" s="15">
        <v>-3.7900000000000003E-2</v>
      </c>
      <c r="D33" s="15">
        <v>-6.0999999999999995E-3</v>
      </c>
      <c r="E33" s="15">
        <v>-2.8799999999999999E-2</v>
      </c>
      <c r="F33" s="15">
        <v>-1.1699999999999999E-2</v>
      </c>
      <c r="G33" s="15">
        <v>-3.3500000000000002E-2</v>
      </c>
      <c r="H33" s="15">
        <v>1.8200000000000001E-2</v>
      </c>
      <c r="I33" s="15">
        <v>-1.1200000000000002E-2</v>
      </c>
      <c r="J33" s="15">
        <v>-3.61E-2</v>
      </c>
      <c r="K33" s="15">
        <v>-1.6299999999999999E-2</v>
      </c>
      <c r="L33" s="15">
        <v>-1.5600000000000001E-2</v>
      </c>
      <c r="M33" s="15">
        <v>-5.4000000000000003E-3</v>
      </c>
      <c r="N33" s="15">
        <v>-2.4E-2</v>
      </c>
      <c r="O33" s="15">
        <v>2.9600000000000001E-2</v>
      </c>
      <c r="P33" s="15">
        <v>3.7499999999999999E-2</v>
      </c>
      <c r="Q33" s="15">
        <v>-1.5E-3</v>
      </c>
      <c r="R33" s="7"/>
    </row>
    <row r="34" spans="1:18" x14ac:dyDescent="0.25">
      <c r="A34">
        <v>197609</v>
      </c>
      <c r="B34" s="15">
        <v>1.6000000000000001E-3</v>
      </c>
      <c r="C34" s="15">
        <v>2.5699999999999997E-2</v>
      </c>
      <c r="D34" s="15">
        <v>6.0299999999999999E-2</v>
      </c>
      <c r="E34" s="15">
        <v>8.8000000000000005E-3</v>
      </c>
      <c r="F34" s="15">
        <v>-7.4000000000000003E-3</v>
      </c>
      <c r="G34" s="15">
        <v>3.2000000000000002E-3</v>
      </c>
      <c r="H34" s="15">
        <v>3.2300000000000002E-2</v>
      </c>
      <c r="I34" s="15">
        <v>2.8799999999999999E-2</v>
      </c>
      <c r="J34" s="15">
        <v>1.66E-2</v>
      </c>
      <c r="K34" s="15">
        <v>3.1200000000000002E-2</v>
      </c>
      <c r="L34" s="15">
        <v>2.3099999999999999E-2</v>
      </c>
      <c r="M34" s="15">
        <v>5.9200000000000003E-2</v>
      </c>
      <c r="N34" s="15">
        <v>1.1399999999999999E-2</v>
      </c>
      <c r="O34" s="15">
        <v>4.0800000000000003E-2</v>
      </c>
      <c r="P34" s="15">
        <v>3.7000000000000002E-3</v>
      </c>
      <c r="Q34" s="15">
        <v>5.1999999999999998E-3</v>
      </c>
      <c r="R34" s="7"/>
    </row>
    <row r="35" spans="1:18" x14ac:dyDescent="0.25">
      <c r="A35">
        <v>197610</v>
      </c>
      <c r="B35" s="15">
        <v>-2.2799999999999997E-2</v>
      </c>
      <c r="C35" s="15">
        <v>-2.3900000000000001E-2</v>
      </c>
      <c r="D35" s="15">
        <v>-2.35E-2</v>
      </c>
      <c r="E35" s="15">
        <v>-1.04E-2</v>
      </c>
      <c r="F35" s="15">
        <v>-2.87E-2</v>
      </c>
      <c r="G35" s="15">
        <v>-2.41E-2</v>
      </c>
      <c r="H35" s="15">
        <v>-2.6600000000000002E-2</v>
      </c>
      <c r="I35" s="15">
        <v>1.9E-3</v>
      </c>
      <c r="J35" s="15">
        <v>-5.9400000000000001E-2</v>
      </c>
      <c r="K35" s="15">
        <v>-4.2199999999999994E-2</v>
      </c>
      <c r="L35" s="15">
        <v>-4.1299999999999996E-2</v>
      </c>
      <c r="M35" s="15">
        <v>-7.4000000000000003E-3</v>
      </c>
      <c r="N35" s="15">
        <v>-4.4299999999999999E-2</v>
      </c>
      <c r="O35" s="15">
        <v>-8.1000000000000013E-3</v>
      </c>
      <c r="P35" s="15">
        <v>-5.1999999999999998E-3</v>
      </c>
      <c r="Q35" s="15">
        <v>6.4000000000000003E-3</v>
      </c>
      <c r="R35" s="7"/>
    </row>
    <row r="36" spans="1:18" x14ac:dyDescent="0.25">
      <c r="A36">
        <v>197611</v>
      </c>
      <c r="B36" s="15">
        <v>3.7000000000000002E-3</v>
      </c>
      <c r="C36" s="15">
        <v>9.5999999999999992E-3</v>
      </c>
      <c r="D36" s="15">
        <v>1.1200000000000002E-2</v>
      </c>
      <c r="E36" s="15">
        <v>6.9099999999999995E-2</v>
      </c>
      <c r="F36" s="15">
        <v>-1.4499999999999999E-2</v>
      </c>
      <c r="G36" s="15">
        <v>-5.1299999999999998E-2</v>
      </c>
      <c r="H36" s="15">
        <v>-6.2300000000000001E-2</v>
      </c>
      <c r="I36" s="15">
        <v>3.56E-2</v>
      </c>
      <c r="J36" s="15">
        <v>-1.4000000000000002E-3</v>
      </c>
      <c r="K36" s="15">
        <v>4.8999999999999998E-3</v>
      </c>
      <c r="L36" s="15">
        <v>1.3600000000000001E-2</v>
      </c>
      <c r="M36" s="15">
        <v>-2.0999999999999999E-3</v>
      </c>
      <c r="N36" s="15">
        <v>4.1900000000000007E-2</v>
      </c>
      <c r="O36" s="15">
        <v>3.1400000000000004E-2</v>
      </c>
      <c r="P36" s="15">
        <v>5.0599999999999999E-2</v>
      </c>
      <c r="Q36" s="15">
        <v>1.7100000000000001E-2</v>
      </c>
      <c r="R36" s="7"/>
    </row>
    <row r="37" spans="1:18" x14ac:dyDescent="0.25">
      <c r="A37">
        <v>197612</v>
      </c>
      <c r="B37" s="15">
        <v>4.6100000000000002E-2</v>
      </c>
      <c r="C37" s="15">
        <v>5.96E-2</v>
      </c>
      <c r="D37" s="15">
        <v>6.25E-2</v>
      </c>
      <c r="E37" s="15">
        <v>6.3899999999999998E-2</v>
      </c>
      <c r="F37" s="15">
        <v>4.7300000000000002E-2</v>
      </c>
      <c r="G37" s="15">
        <v>0.1018</v>
      </c>
      <c r="H37" s="15">
        <v>5.28E-2</v>
      </c>
      <c r="I37" s="15">
        <v>8.1199999999999994E-2</v>
      </c>
      <c r="J37" s="15">
        <v>7.5999999999999998E-2</v>
      </c>
      <c r="K37" s="15">
        <v>7.4700000000000003E-2</v>
      </c>
      <c r="L37" s="15">
        <v>4.1200000000000001E-2</v>
      </c>
      <c r="M37" s="15">
        <v>0.1065</v>
      </c>
      <c r="N37" s="15">
        <v>5.3899999999999997E-2</v>
      </c>
      <c r="O37" s="15">
        <v>6.4899999999999999E-2</v>
      </c>
      <c r="P37" s="15">
        <v>1.54E-2</v>
      </c>
      <c r="Q37" s="15">
        <v>8.929999999999999E-2</v>
      </c>
      <c r="R37" s="7"/>
    </row>
    <row r="38" spans="1:18" x14ac:dyDescent="0.25">
      <c r="A38">
        <v>197701</v>
      </c>
      <c r="B38" s="15">
        <v>-5.0199999999999995E-2</v>
      </c>
      <c r="C38" s="15">
        <v>-1.5700000000000002E-2</v>
      </c>
      <c r="D38" s="15">
        <v>-1.1000000000000001E-3</v>
      </c>
      <c r="E38" s="15">
        <v>-6.5000000000000006E-3</v>
      </c>
      <c r="F38" s="15">
        <v>-7.980000000000001E-2</v>
      </c>
      <c r="G38" s="15">
        <v>-5.7300000000000004E-2</v>
      </c>
      <c r="H38" s="15">
        <v>-8.0700000000000008E-2</v>
      </c>
      <c r="I38" s="15">
        <v>-4.8300000000000003E-2</v>
      </c>
      <c r="J38" s="15">
        <v>-3.7999999999999999E-2</v>
      </c>
      <c r="K38" s="15">
        <v>6.7000000000000002E-3</v>
      </c>
      <c r="L38" s="15">
        <v>-4.1599999999999998E-2</v>
      </c>
      <c r="M38" s="15">
        <v>-3.4500000000000003E-2</v>
      </c>
      <c r="N38" s="15">
        <v>-2.6099999999999998E-2</v>
      </c>
      <c r="O38" s="15">
        <v>8.3999999999999995E-3</v>
      </c>
      <c r="P38" s="15">
        <v>-8.1099999999999992E-2</v>
      </c>
      <c r="Q38" s="15">
        <v>-4.5999999999999999E-2</v>
      </c>
      <c r="R38" s="7"/>
    </row>
    <row r="39" spans="1:18" x14ac:dyDescent="0.25">
      <c r="A39">
        <v>197702</v>
      </c>
      <c r="B39" s="15">
        <v>-6.5000000000000006E-3</v>
      </c>
      <c r="C39" s="15">
        <v>-3.3E-3</v>
      </c>
      <c r="D39" s="15">
        <v>-3.0499999999999999E-2</v>
      </c>
      <c r="E39" s="15">
        <v>-4.5700000000000005E-2</v>
      </c>
      <c r="F39" s="15">
        <v>-2.58E-2</v>
      </c>
      <c r="G39" s="15">
        <v>-7.6E-3</v>
      </c>
      <c r="H39" s="15">
        <v>-3.5999999999999999E-3</v>
      </c>
      <c r="I39" s="15">
        <v>-1.6500000000000001E-2</v>
      </c>
      <c r="J39" s="15">
        <v>-5.6000000000000008E-3</v>
      </c>
      <c r="K39" s="15">
        <v>-2.8000000000000004E-3</v>
      </c>
      <c r="L39" s="15">
        <v>-2.5000000000000001E-3</v>
      </c>
      <c r="M39" s="15">
        <v>-3.6499999999999998E-2</v>
      </c>
      <c r="N39" s="15">
        <v>-2.2200000000000001E-2</v>
      </c>
      <c r="O39" s="15">
        <v>-3.4000000000000002E-2</v>
      </c>
      <c r="P39" s="15">
        <v>-1.6500000000000001E-2</v>
      </c>
      <c r="Q39" s="15">
        <v>-1.6299999999999999E-2</v>
      </c>
      <c r="R39" s="7"/>
    </row>
    <row r="40" spans="1:18" x14ac:dyDescent="0.25">
      <c r="A40">
        <v>197703</v>
      </c>
      <c r="B40" s="15">
        <v>-1.1899999999999999E-2</v>
      </c>
      <c r="C40" s="15">
        <v>2.4199999999999999E-2</v>
      </c>
      <c r="D40" s="15">
        <v>-1.9599999999999999E-2</v>
      </c>
      <c r="E40" s="15">
        <v>-9.7999999999999997E-3</v>
      </c>
      <c r="F40" s="15">
        <v>-3.8699999999999998E-2</v>
      </c>
      <c r="G40" s="15">
        <v>-4.0999999999999995E-3</v>
      </c>
      <c r="H40" s="15">
        <v>-2.2400000000000003E-2</v>
      </c>
      <c r="I40" s="15">
        <v>5.9999999999999995E-4</v>
      </c>
      <c r="J40" s="15">
        <v>6.0000000000000001E-3</v>
      </c>
      <c r="K40" s="15">
        <v>1.8700000000000001E-2</v>
      </c>
      <c r="L40" s="15">
        <v>1.03E-2</v>
      </c>
      <c r="M40" s="15">
        <v>-0.05</v>
      </c>
      <c r="N40" s="15">
        <v>-1.1999999999999999E-3</v>
      </c>
      <c r="O40" s="15">
        <v>1.9E-3</v>
      </c>
      <c r="P40" s="15">
        <v>-3.4300000000000004E-2</v>
      </c>
      <c r="Q40" s="15">
        <v>-5.3E-3</v>
      </c>
      <c r="R40" s="7"/>
    </row>
    <row r="41" spans="1:18" x14ac:dyDescent="0.25">
      <c r="A41">
        <v>197704</v>
      </c>
      <c r="B41" s="15">
        <v>-2E-3</v>
      </c>
      <c r="C41" s="15">
        <v>-1.9E-2</v>
      </c>
      <c r="D41" s="15">
        <v>2.76E-2</v>
      </c>
      <c r="E41" s="15">
        <v>2.3099999999999999E-2</v>
      </c>
      <c r="F41" s="15">
        <v>-1.0500000000000001E-2</v>
      </c>
      <c r="G41" s="15">
        <v>-5.4000000000000003E-3</v>
      </c>
      <c r="H41" s="15">
        <v>-2.9399999999999999E-2</v>
      </c>
      <c r="I41" s="15">
        <v>2.3099999999999999E-2</v>
      </c>
      <c r="J41" s="15">
        <v>9.300000000000001E-3</v>
      </c>
      <c r="K41" s="15">
        <v>5.1100000000000007E-2</v>
      </c>
      <c r="L41" s="15">
        <v>-1.9400000000000001E-2</v>
      </c>
      <c r="M41" s="15">
        <v>2.3900000000000001E-2</v>
      </c>
      <c r="N41" s="15">
        <v>4.3099999999999999E-2</v>
      </c>
      <c r="O41" s="15">
        <v>1.9400000000000001E-2</v>
      </c>
      <c r="P41" s="15">
        <v>-3.6900000000000002E-2</v>
      </c>
      <c r="Q41" s="15">
        <v>2.3300000000000001E-2</v>
      </c>
      <c r="R41" s="7"/>
    </row>
    <row r="42" spans="1:18" x14ac:dyDescent="0.25">
      <c r="A42">
        <v>197705</v>
      </c>
      <c r="B42" s="15">
        <v>-8.8000000000000005E-3</v>
      </c>
      <c r="C42" s="15">
        <v>-7.3899999999999993E-2</v>
      </c>
      <c r="D42" s="15">
        <v>-2.2000000000000001E-3</v>
      </c>
      <c r="E42" s="15">
        <v>-4.5599999999999995E-2</v>
      </c>
      <c r="F42" s="15">
        <v>-3.7200000000000004E-2</v>
      </c>
      <c r="G42" s="15">
        <v>-3.6799999999999999E-2</v>
      </c>
      <c r="H42" s="15">
        <v>-1.7600000000000001E-2</v>
      </c>
      <c r="I42" s="15">
        <v>-2.9300000000000003E-2</v>
      </c>
      <c r="J42" s="15">
        <v>-5.7999999999999996E-2</v>
      </c>
      <c r="K42" s="15">
        <v>3.9000000000000003E-3</v>
      </c>
      <c r="L42" s="15">
        <v>-1.5100000000000001E-2</v>
      </c>
      <c r="M42" s="15">
        <v>1E-4</v>
      </c>
      <c r="N42" s="15">
        <v>1.41E-2</v>
      </c>
      <c r="O42" s="15">
        <v>1.6799999999999999E-2</v>
      </c>
      <c r="P42" s="15">
        <v>-3.32E-2</v>
      </c>
      <c r="Q42" s="15">
        <v>-5.8999999999999999E-3</v>
      </c>
      <c r="R42" s="7"/>
    </row>
    <row r="43" spans="1:18" x14ac:dyDescent="0.25">
      <c r="A43">
        <v>197706</v>
      </c>
      <c r="B43" s="15">
        <v>4.07E-2</v>
      </c>
      <c r="C43" s="15">
        <v>1.06E-2</v>
      </c>
      <c r="D43" s="15">
        <v>5.6799999999999996E-2</v>
      </c>
      <c r="E43" s="15">
        <v>6.0700000000000004E-2</v>
      </c>
      <c r="F43" s="15">
        <v>5.0499999999999996E-2</v>
      </c>
      <c r="G43" s="15">
        <v>0</v>
      </c>
      <c r="H43" s="15">
        <v>7.6100000000000001E-2</v>
      </c>
      <c r="I43" s="15">
        <v>4.2800000000000005E-2</v>
      </c>
      <c r="J43" s="15">
        <v>-2.9999999999999997E-4</v>
      </c>
      <c r="K43" s="15">
        <v>4.1500000000000002E-2</v>
      </c>
      <c r="L43" s="15">
        <v>6.3899999999999998E-2</v>
      </c>
      <c r="M43" s="15">
        <v>4.2599999999999999E-2</v>
      </c>
      <c r="N43" s="15">
        <v>4.7899999999999998E-2</v>
      </c>
      <c r="O43" s="15">
        <v>5.7000000000000002E-2</v>
      </c>
      <c r="P43" s="15">
        <v>6.54E-2</v>
      </c>
      <c r="Q43" s="15">
        <v>6.0100000000000001E-2</v>
      </c>
      <c r="R43" s="7"/>
    </row>
    <row r="44" spans="1:18" x14ac:dyDescent="0.25">
      <c r="A44">
        <v>197707</v>
      </c>
      <c r="B44" s="15">
        <v>1.8700000000000001E-2</v>
      </c>
      <c r="C44" s="15">
        <v>-5.9299999999999999E-2</v>
      </c>
      <c r="D44" s="15">
        <v>-0.02</v>
      </c>
      <c r="E44" s="15">
        <v>-8.8999999999999999E-3</v>
      </c>
      <c r="F44" s="15">
        <v>-2.2200000000000001E-2</v>
      </c>
      <c r="G44" s="15">
        <v>-3.2599999999999997E-2</v>
      </c>
      <c r="H44" s="15">
        <v>-7.6E-3</v>
      </c>
      <c r="I44" s="15">
        <v>-3.32E-2</v>
      </c>
      <c r="J44" s="15">
        <v>-7.4099999999999999E-2</v>
      </c>
      <c r="K44" s="15">
        <v>-2.4199999999999999E-2</v>
      </c>
      <c r="L44" s="15">
        <v>-1.6200000000000003E-2</v>
      </c>
      <c r="M44" s="15">
        <v>-2.53E-2</v>
      </c>
      <c r="N44" s="15">
        <v>-2.12E-2</v>
      </c>
      <c r="O44" s="15">
        <v>8.6999999999999994E-3</v>
      </c>
      <c r="P44" s="15">
        <v>2.2000000000000001E-3</v>
      </c>
      <c r="Q44" s="15">
        <v>4.4000000000000003E-3</v>
      </c>
      <c r="R44" s="7"/>
    </row>
    <row r="45" spans="1:18" x14ac:dyDescent="0.25">
      <c r="A45">
        <v>197708</v>
      </c>
      <c r="B45" s="15">
        <v>-5.0000000000000001E-4</v>
      </c>
      <c r="C45" s="15">
        <v>-1.4499999999999999E-2</v>
      </c>
      <c r="D45" s="15">
        <v>-5.8099999999999999E-2</v>
      </c>
      <c r="E45" s="15">
        <v>-3.3E-3</v>
      </c>
      <c r="F45" s="15">
        <v>1.3300000000000001E-2</v>
      </c>
      <c r="G45" s="15">
        <v>-3.04E-2</v>
      </c>
      <c r="H45" s="15">
        <v>3.5799999999999998E-2</v>
      </c>
      <c r="I45" s="15">
        <v>-1.9299999999999998E-2</v>
      </c>
      <c r="J45" s="15">
        <v>-5.2199999999999996E-2</v>
      </c>
      <c r="K45" s="15">
        <v>9.3999999999999986E-3</v>
      </c>
      <c r="L45" s="15">
        <v>2.0000000000000001E-4</v>
      </c>
      <c r="M45" s="15">
        <v>-4.3E-3</v>
      </c>
      <c r="N45" s="15">
        <v>-3.5099999999999999E-2</v>
      </c>
      <c r="O45" s="15">
        <v>-3.2300000000000002E-2</v>
      </c>
      <c r="P45" s="15">
        <v>5.3499999999999999E-2</v>
      </c>
      <c r="Q45" s="15">
        <v>-1.2199999999999999E-2</v>
      </c>
      <c r="R45" s="7"/>
    </row>
    <row r="46" spans="1:18" x14ac:dyDescent="0.25">
      <c r="A46">
        <v>197709</v>
      </c>
      <c r="B46" s="15">
        <v>6.4000000000000003E-3</v>
      </c>
      <c r="C46" s="15">
        <v>-1.3600000000000001E-2</v>
      </c>
      <c r="D46" s="15">
        <v>6.5000000000000006E-3</v>
      </c>
      <c r="E46" s="15">
        <v>1.6399999999999998E-2</v>
      </c>
      <c r="F46" s="15">
        <v>-9.3999999999999986E-3</v>
      </c>
      <c r="G46" s="15">
        <v>-2.5000000000000001E-3</v>
      </c>
      <c r="H46" s="15">
        <v>-1.21E-2</v>
      </c>
      <c r="I46" s="15">
        <v>-1.21E-2</v>
      </c>
      <c r="J46" s="15">
        <v>-5.7500000000000002E-2</v>
      </c>
      <c r="K46" s="15">
        <v>1.4000000000000002E-3</v>
      </c>
      <c r="L46" s="15">
        <v>-1.1699999999999999E-2</v>
      </c>
      <c r="M46" s="15">
        <v>3.7599999999999995E-2</v>
      </c>
      <c r="N46" s="15">
        <v>-2.1299999999999999E-2</v>
      </c>
      <c r="O46" s="15">
        <v>2.0099999999999996E-2</v>
      </c>
      <c r="P46" s="15">
        <v>-7.8000000000000005E-3</v>
      </c>
      <c r="Q46" s="15">
        <v>-1E-4</v>
      </c>
      <c r="R46" s="7"/>
    </row>
    <row r="47" spans="1:18" x14ac:dyDescent="0.25">
      <c r="A47">
        <v>197710</v>
      </c>
      <c r="B47" s="15">
        <v>-4.4999999999999998E-2</v>
      </c>
      <c r="C47" s="15">
        <v>-5.62E-2</v>
      </c>
      <c r="D47" s="15">
        <v>-3.6600000000000001E-2</v>
      </c>
      <c r="E47" s="15">
        <v>-2.58E-2</v>
      </c>
      <c r="F47" s="15">
        <v>-7.5399999999999995E-2</v>
      </c>
      <c r="G47" s="15">
        <v>-3.1099999999999999E-2</v>
      </c>
      <c r="H47" s="15">
        <v>-3.1899999999999998E-2</v>
      </c>
      <c r="I47" s="15">
        <v>-2.1400000000000002E-2</v>
      </c>
      <c r="J47" s="15">
        <v>-2.9999999999999997E-4</v>
      </c>
      <c r="K47" s="15">
        <v>-3.3700000000000001E-2</v>
      </c>
      <c r="L47" s="15">
        <v>-3.6000000000000004E-2</v>
      </c>
      <c r="M47" s="15">
        <v>-4.6100000000000002E-2</v>
      </c>
      <c r="N47" s="15">
        <v>-3.85E-2</v>
      </c>
      <c r="O47" s="15">
        <v>-3.1400000000000004E-2</v>
      </c>
      <c r="P47" s="15">
        <v>-3.1600000000000003E-2</v>
      </c>
      <c r="Q47" s="15">
        <v>-4.8499999999999995E-2</v>
      </c>
      <c r="R47" s="7"/>
    </row>
    <row r="48" spans="1:18" x14ac:dyDescent="0.25">
      <c r="A48">
        <v>197711</v>
      </c>
      <c r="B48" s="15">
        <v>3.6200000000000003E-2</v>
      </c>
      <c r="C48" s="15">
        <v>3.78E-2</v>
      </c>
      <c r="D48" s="15">
        <v>3.49E-2</v>
      </c>
      <c r="E48" s="15">
        <v>8.1099999999999992E-2</v>
      </c>
      <c r="F48" s="15">
        <v>1.7100000000000001E-2</v>
      </c>
      <c r="G48" s="15">
        <v>2.8399999999999998E-2</v>
      </c>
      <c r="H48" s="15">
        <v>5.4000000000000006E-2</v>
      </c>
      <c r="I48" s="15">
        <v>7.690000000000001E-2</v>
      </c>
      <c r="J48" s="15">
        <v>1.49E-2</v>
      </c>
      <c r="K48" s="15">
        <v>4.36E-2</v>
      </c>
      <c r="L48" s="15">
        <v>5.5E-2</v>
      </c>
      <c r="M48" s="15">
        <v>1.8700000000000001E-2</v>
      </c>
      <c r="N48" s="15">
        <v>7.3399999999999993E-2</v>
      </c>
      <c r="O48" s="15">
        <v>4.2800000000000005E-2</v>
      </c>
      <c r="P48" s="15">
        <v>5.4100000000000002E-2</v>
      </c>
      <c r="Q48" s="15">
        <v>5.8600000000000006E-2</v>
      </c>
      <c r="R48" s="7"/>
    </row>
    <row r="49" spans="1:18" x14ac:dyDescent="0.25">
      <c r="A49">
        <v>197712</v>
      </c>
      <c r="B49" s="15">
        <v>-2.0999999999999999E-3</v>
      </c>
      <c r="C49" s="15">
        <v>9.8999999999999991E-3</v>
      </c>
      <c r="D49" s="15">
        <v>1.9099999999999999E-2</v>
      </c>
      <c r="E49" s="15">
        <v>1E-4</v>
      </c>
      <c r="F49" s="15">
        <v>-4.8999999999999998E-3</v>
      </c>
      <c r="G49" s="15">
        <v>1.37E-2</v>
      </c>
      <c r="H49" s="15">
        <v>-3.9000000000000003E-3</v>
      </c>
      <c r="I49" s="15">
        <v>4.0000000000000001E-3</v>
      </c>
      <c r="J49" s="15">
        <v>4.41E-2</v>
      </c>
      <c r="K49" s="15">
        <v>4.0999999999999995E-3</v>
      </c>
      <c r="L49" s="15">
        <v>2.3300000000000001E-2</v>
      </c>
      <c r="M49" s="15">
        <v>-9.1000000000000004E-3</v>
      </c>
      <c r="N49" s="15">
        <v>1.2E-2</v>
      </c>
      <c r="O49" s="15">
        <v>-3.3E-3</v>
      </c>
      <c r="P49" s="15">
        <v>-2.0400000000000001E-2</v>
      </c>
      <c r="Q49" s="15">
        <v>-1E-3</v>
      </c>
      <c r="R49" s="7"/>
    </row>
    <row r="50" spans="1:18" x14ac:dyDescent="0.25">
      <c r="A50">
        <v>197801</v>
      </c>
      <c r="B50" s="15">
        <v>-4.7699999999999992E-2</v>
      </c>
      <c r="C50" s="15">
        <v>-5.0900000000000001E-2</v>
      </c>
      <c r="D50" s="15">
        <v>-6.9900000000000004E-2</v>
      </c>
      <c r="E50" s="15">
        <v>-3.95E-2</v>
      </c>
      <c r="F50" s="15">
        <v>-7.1399999999999991E-2</v>
      </c>
      <c r="G50" s="15">
        <v>-6.3899999999999998E-2</v>
      </c>
      <c r="H50" s="15">
        <v>-3.49E-2</v>
      </c>
      <c r="I50" s="15">
        <v>-6.2699999999999992E-2</v>
      </c>
      <c r="J50" s="15">
        <v>-4.5599999999999995E-2</v>
      </c>
      <c r="K50" s="15">
        <v>-3.7200000000000004E-2</v>
      </c>
      <c r="L50" s="15">
        <v>-4.9100000000000005E-2</v>
      </c>
      <c r="M50" s="15">
        <v>-6.7500000000000004E-2</v>
      </c>
      <c r="N50" s="15">
        <v>-3.3399999999999999E-2</v>
      </c>
      <c r="O50" s="15">
        <v>-4.53E-2</v>
      </c>
      <c r="P50" s="15">
        <v>-7.17E-2</v>
      </c>
      <c r="Q50" s="15">
        <v>-6.0199999999999997E-2</v>
      </c>
      <c r="R50" s="7"/>
    </row>
    <row r="51" spans="1:18" x14ac:dyDescent="0.25">
      <c r="A51">
        <v>197802</v>
      </c>
      <c r="B51" s="15">
        <v>8.9999999999999998E-4</v>
      </c>
      <c r="C51" s="15">
        <v>-1.1399999999999999E-2</v>
      </c>
      <c r="D51" s="15">
        <v>-1.1699999999999999E-2</v>
      </c>
      <c r="E51" s="15">
        <v>1.2699999999999999E-2</v>
      </c>
      <c r="F51" s="15">
        <v>-3.1899999999999998E-2</v>
      </c>
      <c r="G51" s="15">
        <v>-4.8300000000000003E-2</v>
      </c>
      <c r="H51" s="15">
        <v>-2.3E-2</v>
      </c>
      <c r="I51" s="15">
        <v>4.0000000000000002E-4</v>
      </c>
      <c r="J51" s="15">
        <v>-3.7900000000000003E-2</v>
      </c>
      <c r="K51" s="15">
        <v>-3.4999999999999996E-3</v>
      </c>
      <c r="L51" s="15">
        <v>-3.04E-2</v>
      </c>
      <c r="M51" s="15">
        <v>1.7500000000000002E-2</v>
      </c>
      <c r="N51" s="15">
        <v>2.3E-3</v>
      </c>
      <c r="O51" s="15">
        <v>-4.0999999999999995E-3</v>
      </c>
      <c r="P51" s="15">
        <v>-7.1999999999999998E-3</v>
      </c>
      <c r="Q51" s="15">
        <v>5.9999999999999995E-4</v>
      </c>
      <c r="R51" s="7"/>
    </row>
    <row r="52" spans="1:18" x14ac:dyDescent="0.25">
      <c r="A52">
        <v>197803</v>
      </c>
      <c r="B52" s="15">
        <v>2.7400000000000001E-2</v>
      </c>
      <c r="C52" s="15">
        <v>3.0099999999999998E-2</v>
      </c>
      <c r="D52" s="15">
        <v>2.2700000000000001E-2</v>
      </c>
      <c r="E52" s="15">
        <v>5.7099999999999998E-2</v>
      </c>
      <c r="F52" s="15">
        <v>4.2000000000000003E-2</v>
      </c>
      <c r="G52" s="15">
        <v>4.0300000000000002E-2</v>
      </c>
      <c r="H52" s="15">
        <v>3.0899999999999997E-2</v>
      </c>
      <c r="I52" s="15">
        <v>5.5099999999999996E-2</v>
      </c>
      <c r="J52" s="15">
        <v>6.13E-2</v>
      </c>
      <c r="K52" s="15">
        <v>5.8499999999999996E-2</v>
      </c>
      <c r="L52" s="15">
        <v>-2.3999999999999998E-3</v>
      </c>
      <c r="M52" s="15">
        <v>6.6100000000000006E-2</v>
      </c>
      <c r="N52" s="15">
        <v>6.9099999999999995E-2</v>
      </c>
      <c r="O52" s="15">
        <v>2.4700000000000003E-2</v>
      </c>
      <c r="P52" s="15">
        <v>2.12E-2</v>
      </c>
      <c r="Q52" s="15">
        <v>5.16E-2</v>
      </c>
      <c r="R52" s="7"/>
    </row>
    <row r="53" spans="1:18" x14ac:dyDescent="0.25">
      <c r="A53">
        <v>197804</v>
      </c>
      <c r="B53" s="15">
        <v>6.2699999999999992E-2</v>
      </c>
      <c r="C53" s="15">
        <v>5.8899999999999994E-2</v>
      </c>
      <c r="D53" s="15">
        <v>7.17E-2</v>
      </c>
      <c r="E53" s="15">
        <v>6.3600000000000004E-2</v>
      </c>
      <c r="F53" s="15">
        <v>0.13819999999999999</v>
      </c>
      <c r="G53" s="15">
        <v>0.10949999999999999</v>
      </c>
      <c r="H53" s="15">
        <v>9.6000000000000002E-2</v>
      </c>
      <c r="I53" s="15">
        <v>9.7899999999999987E-2</v>
      </c>
      <c r="J53" s="15">
        <v>8.8900000000000007E-2</v>
      </c>
      <c r="K53" s="15">
        <v>7.4299999999999991E-2</v>
      </c>
      <c r="L53" s="15">
        <v>0.13200000000000001</v>
      </c>
      <c r="M53" s="15">
        <v>8.2500000000000004E-2</v>
      </c>
      <c r="N53" s="15">
        <v>0.1057</v>
      </c>
      <c r="O53" s="15">
        <v>1.8E-3</v>
      </c>
      <c r="P53" s="15">
        <v>0.1153</v>
      </c>
      <c r="Q53" s="15">
        <v>0.10009999999999999</v>
      </c>
      <c r="R53" s="7"/>
    </row>
    <row r="54" spans="1:18" x14ac:dyDescent="0.25">
      <c r="A54">
        <v>197805</v>
      </c>
      <c r="B54" s="15">
        <v>4.4500000000000005E-2</v>
      </c>
      <c r="C54" s="15">
        <v>2.4799999999999999E-2</v>
      </c>
      <c r="D54" s="15">
        <v>1.2699999999999999E-2</v>
      </c>
      <c r="E54" s="15">
        <v>3.4700000000000002E-2</v>
      </c>
      <c r="F54" s="15">
        <v>5.1900000000000002E-2</v>
      </c>
      <c r="G54" s="15">
        <v>1.1999999999999999E-3</v>
      </c>
      <c r="H54" s="15">
        <v>4.5999999999999999E-2</v>
      </c>
      <c r="I54" s="15">
        <v>3.9399999999999998E-2</v>
      </c>
      <c r="J54" s="15">
        <v>3.4099999999999998E-2</v>
      </c>
      <c r="K54" s="15">
        <v>2.3199999999999998E-2</v>
      </c>
      <c r="L54" s="15">
        <v>2.9300000000000003E-2</v>
      </c>
      <c r="M54" s="15">
        <v>-1.4800000000000001E-2</v>
      </c>
      <c r="N54" s="15">
        <v>5.8799999999999998E-2</v>
      </c>
      <c r="O54" s="15">
        <v>7.0999999999999995E-3</v>
      </c>
      <c r="P54" s="15">
        <v>5.6000000000000008E-3</v>
      </c>
      <c r="Q54" s="15">
        <v>1.3100000000000001E-2</v>
      </c>
      <c r="R54" s="7"/>
    </row>
    <row r="55" spans="1:18" x14ac:dyDescent="0.25">
      <c r="A55">
        <v>197806</v>
      </c>
      <c r="B55" s="15">
        <v>4.8999999999999998E-3</v>
      </c>
      <c r="C55" s="15">
        <v>-4.1599999999999998E-2</v>
      </c>
      <c r="D55" s="15">
        <v>-3.9399999999999998E-2</v>
      </c>
      <c r="E55" s="15">
        <v>-2.35E-2</v>
      </c>
      <c r="F55" s="15">
        <v>-2.6600000000000002E-2</v>
      </c>
      <c r="G55" s="15">
        <v>-2.5600000000000001E-2</v>
      </c>
      <c r="H55" s="15">
        <v>3.0999999999999999E-3</v>
      </c>
      <c r="I55" s="15">
        <v>-1.54E-2</v>
      </c>
      <c r="J55" s="15">
        <v>-6.1799999999999994E-2</v>
      </c>
      <c r="K55" s="15">
        <v>7.4000000000000003E-3</v>
      </c>
      <c r="L55" s="15">
        <v>-4.5000000000000005E-3</v>
      </c>
      <c r="M55" s="15">
        <v>-2.87E-2</v>
      </c>
      <c r="N55" s="15">
        <v>1.15E-2</v>
      </c>
      <c r="O55" s="15">
        <v>8.3999999999999995E-3</v>
      </c>
      <c r="P55" s="15">
        <v>-2.1700000000000001E-2</v>
      </c>
      <c r="Q55" s="15">
        <v>-5.3E-3</v>
      </c>
      <c r="R55" s="7"/>
    </row>
    <row r="56" spans="1:18" x14ac:dyDescent="0.25">
      <c r="A56">
        <v>197807</v>
      </c>
      <c r="B56" s="15">
        <v>2.5899999999999999E-2</v>
      </c>
      <c r="C56" s="15">
        <v>8.2799999999999999E-2</v>
      </c>
      <c r="D56" s="15">
        <v>3.2400000000000005E-2</v>
      </c>
      <c r="E56" s="15">
        <v>2.5699999999999997E-2</v>
      </c>
      <c r="F56" s="15">
        <v>8.6699999999999999E-2</v>
      </c>
      <c r="G56" s="15">
        <v>5.4900000000000004E-2</v>
      </c>
      <c r="H56" s="15">
        <v>7.2300000000000003E-2</v>
      </c>
      <c r="I56" s="15">
        <v>8.0700000000000008E-2</v>
      </c>
      <c r="J56" s="15">
        <v>8.14E-2</v>
      </c>
      <c r="K56" s="15">
        <v>5.8600000000000006E-2</v>
      </c>
      <c r="L56" s="15">
        <v>8.2200000000000009E-2</v>
      </c>
      <c r="M56" s="15">
        <v>3.8300000000000001E-2</v>
      </c>
      <c r="N56" s="15">
        <v>0.12720000000000001</v>
      </c>
      <c r="O56" s="15">
        <v>2.8300000000000002E-2</v>
      </c>
      <c r="P56" s="15">
        <v>5.1100000000000007E-2</v>
      </c>
      <c r="Q56" s="15">
        <v>5.2199999999999996E-2</v>
      </c>
      <c r="R56" s="7"/>
    </row>
    <row r="57" spans="1:18" x14ac:dyDescent="0.25">
      <c r="A57">
        <v>197808</v>
      </c>
      <c r="B57" s="15">
        <v>3.3500000000000002E-2</v>
      </c>
      <c r="C57" s="15">
        <v>3.7999999999999999E-2</v>
      </c>
      <c r="D57" s="15">
        <v>5.6399999999999999E-2</v>
      </c>
      <c r="E57" s="15">
        <v>7.8700000000000006E-2</v>
      </c>
      <c r="F57" s="15">
        <v>3.2500000000000001E-2</v>
      </c>
      <c r="G57" s="15">
        <v>4.7800000000000002E-2</v>
      </c>
      <c r="H57" s="15">
        <v>7.1999999999999998E-3</v>
      </c>
      <c r="I57" s="15">
        <v>9.3699999999999992E-2</v>
      </c>
      <c r="J57" s="15">
        <v>4.8999999999999998E-3</v>
      </c>
      <c r="K57" s="15">
        <v>5.2499999999999998E-2</v>
      </c>
      <c r="L57" s="15">
        <v>5.1299999999999998E-2</v>
      </c>
      <c r="M57" s="15">
        <v>2.92E-2</v>
      </c>
      <c r="N57" s="15">
        <v>4.4999999999999998E-2</v>
      </c>
      <c r="O57" s="15">
        <v>4.5999999999999999E-3</v>
      </c>
      <c r="P57" s="15">
        <v>5.1500000000000004E-2</v>
      </c>
      <c r="Q57" s="15">
        <v>5.5800000000000002E-2</v>
      </c>
      <c r="R57" s="7"/>
    </row>
    <row r="58" spans="1:18" x14ac:dyDescent="0.25">
      <c r="A58">
        <v>197809</v>
      </c>
      <c r="B58" s="15">
        <v>-6.3E-3</v>
      </c>
      <c r="C58" s="15">
        <v>2.2799999999999997E-2</v>
      </c>
      <c r="D58" s="15">
        <v>4.9699999999999994E-2</v>
      </c>
      <c r="E58" s="15">
        <v>4.5000000000000005E-3</v>
      </c>
      <c r="F58" s="15">
        <v>-2.9700000000000001E-2</v>
      </c>
      <c r="G58" s="15">
        <v>-1.7000000000000001E-3</v>
      </c>
      <c r="H58" s="15">
        <v>-2.2799999999999997E-2</v>
      </c>
      <c r="I58" s="15">
        <v>-2.2700000000000001E-2</v>
      </c>
      <c r="J58" s="15">
        <v>1.26E-2</v>
      </c>
      <c r="K58" s="15">
        <v>-3.6799999999999999E-2</v>
      </c>
      <c r="L58" s="15">
        <v>-3.4000000000000002E-2</v>
      </c>
      <c r="M58" s="15">
        <v>5.6000000000000008E-3</v>
      </c>
      <c r="N58" s="15">
        <v>-5.0099999999999999E-2</v>
      </c>
      <c r="O58" s="15">
        <v>-2.3999999999999998E-3</v>
      </c>
      <c r="P58" s="15">
        <v>-2.7000000000000003E-2</v>
      </c>
      <c r="Q58" s="15">
        <v>-8.8000000000000005E-3</v>
      </c>
      <c r="R58" s="7"/>
    </row>
    <row r="59" spans="1:18" x14ac:dyDescent="0.25">
      <c r="A59">
        <v>197810</v>
      </c>
      <c r="B59" s="15">
        <v>-0.10710000000000001</v>
      </c>
      <c r="C59" s="15">
        <v>-0.11509999999999999</v>
      </c>
      <c r="D59" s="15">
        <v>-0.10630000000000001</v>
      </c>
      <c r="E59" s="15">
        <v>-0.16940000000000002</v>
      </c>
      <c r="F59" s="15">
        <v>-0.1081</v>
      </c>
      <c r="G59" s="15">
        <v>-9.4299999999999995E-2</v>
      </c>
      <c r="H59" s="15">
        <v>-0.1011</v>
      </c>
      <c r="I59" s="15">
        <v>-0.16620000000000001</v>
      </c>
      <c r="J59" s="15">
        <v>-0.1195</v>
      </c>
      <c r="K59" s="15">
        <v>-0.13089999999999999</v>
      </c>
      <c r="L59" s="15">
        <v>-0.1134</v>
      </c>
      <c r="M59" s="15">
        <v>-0.10550000000000001</v>
      </c>
      <c r="N59" s="15">
        <v>-0.16899999999999998</v>
      </c>
      <c r="O59" s="15">
        <v>-7.0699999999999999E-2</v>
      </c>
      <c r="P59" s="15">
        <v>-0.13470000000000001</v>
      </c>
      <c r="Q59" s="15">
        <v>-0.1142</v>
      </c>
      <c r="R59" s="7"/>
    </row>
    <row r="60" spans="1:18" x14ac:dyDescent="0.25">
      <c r="A60">
        <v>197811</v>
      </c>
      <c r="B60" s="15">
        <v>1.6899999999999998E-2</v>
      </c>
      <c r="C60" s="15">
        <v>8.0000000000000002E-3</v>
      </c>
      <c r="D60" s="15">
        <v>5.8099999999999999E-2</v>
      </c>
      <c r="E60" s="15">
        <v>3.7699999999999997E-2</v>
      </c>
      <c r="F60" s="15">
        <v>3.2000000000000001E-2</v>
      </c>
      <c r="G60" s="15">
        <v>1.0200000000000001E-2</v>
      </c>
      <c r="H60" s="15">
        <v>3.9E-2</v>
      </c>
      <c r="I60" s="15">
        <v>1.3300000000000001E-2</v>
      </c>
      <c r="J60" s="15">
        <v>1.2800000000000001E-2</v>
      </c>
      <c r="K60" s="15">
        <v>2.87E-2</v>
      </c>
      <c r="L60" s="15">
        <v>4.2800000000000005E-2</v>
      </c>
      <c r="M60" s="15">
        <v>8.199999999999999E-3</v>
      </c>
      <c r="N60" s="15">
        <v>5.8600000000000006E-2</v>
      </c>
      <c r="O60" s="15">
        <v>0.03</v>
      </c>
      <c r="P60" s="15">
        <v>0.02</v>
      </c>
      <c r="Q60" s="15">
        <v>1.7399999999999999E-2</v>
      </c>
      <c r="R60" s="7"/>
    </row>
    <row r="61" spans="1:18" x14ac:dyDescent="0.25">
      <c r="A61">
        <v>197812</v>
      </c>
      <c r="B61" s="15">
        <v>1.5100000000000001E-2</v>
      </c>
      <c r="C61" s="15">
        <v>3.3599999999999998E-2</v>
      </c>
      <c r="D61" s="15">
        <v>3.0800000000000001E-2</v>
      </c>
      <c r="E61" s="15">
        <v>3.4000000000000002E-3</v>
      </c>
      <c r="F61" s="15">
        <v>2.7000000000000001E-3</v>
      </c>
      <c r="G61" s="15">
        <v>-8.0000000000000004E-4</v>
      </c>
      <c r="H61" s="15">
        <v>3.3300000000000003E-2</v>
      </c>
      <c r="I61" s="15">
        <v>1.0500000000000001E-2</v>
      </c>
      <c r="J61" s="15">
        <v>1.9E-3</v>
      </c>
      <c r="K61" s="15">
        <v>2.1899999999999999E-2</v>
      </c>
      <c r="L61" s="15">
        <v>6.1100000000000002E-2</v>
      </c>
      <c r="M61" s="15">
        <v>-2.8000000000000004E-3</v>
      </c>
      <c r="N61" s="15">
        <v>9.1000000000000004E-3</v>
      </c>
      <c r="O61" s="15">
        <v>-1.23E-2</v>
      </c>
      <c r="P61" s="15">
        <v>-1.24E-2</v>
      </c>
      <c r="Q61" s="15">
        <v>1.3999999999999999E-2</v>
      </c>
      <c r="R61" s="7"/>
    </row>
    <row r="62" spans="1:18" x14ac:dyDescent="0.25">
      <c r="A62">
        <v>197901</v>
      </c>
      <c r="B62" s="15">
        <v>3.4599999999999999E-2</v>
      </c>
      <c r="C62" s="15">
        <v>0.1047</v>
      </c>
      <c r="D62" s="15">
        <v>2.9600000000000001E-2</v>
      </c>
      <c r="E62" s="15">
        <v>9.7200000000000009E-2</v>
      </c>
      <c r="F62" s="15">
        <v>4.5899999999999996E-2</v>
      </c>
      <c r="G62" s="15">
        <v>6.4899999999999999E-2</v>
      </c>
      <c r="H62" s="15">
        <v>9.3999999999999986E-3</v>
      </c>
      <c r="I62" s="15">
        <v>8.7300000000000003E-2</v>
      </c>
      <c r="J62" s="15">
        <v>0.1351</v>
      </c>
      <c r="K62" s="15">
        <v>6.0700000000000004E-2</v>
      </c>
      <c r="L62" s="15">
        <v>4.3400000000000001E-2</v>
      </c>
      <c r="M62" s="15">
        <v>5.0099999999999999E-2</v>
      </c>
      <c r="N62" s="15">
        <v>4.4999999999999998E-2</v>
      </c>
      <c r="O62" s="15">
        <v>6.3600000000000004E-2</v>
      </c>
      <c r="P62" s="15">
        <v>5.6900000000000006E-2</v>
      </c>
      <c r="Q62" s="15">
        <v>5.2999999999999999E-2</v>
      </c>
      <c r="R62" s="7"/>
    </row>
    <row r="63" spans="1:18" x14ac:dyDescent="0.25">
      <c r="A63">
        <v>197902</v>
      </c>
      <c r="B63" s="15">
        <v>-3.9E-2</v>
      </c>
      <c r="C63" s="15">
        <v>1.8200000000000001E-2</v>
      </c>
      <c r="D63" s="15">
        <v>7.4000000000000003E-3</v>
      </c>
      <c r="E63" s="15">
        <v>-1.8100000000000002E-2</v>
      </c>
      <c r="F63" s="15">
        <v>-4.5400000000000003E-2</v>
      </c>
      <c r="G63" s="15">
        <v>-2.2799999999999997E-2</v>
      </c>
      <c r="H63" s="15">
        <v>-4.3700000000000003E-2</v>
      </c>
      <c r="I63" s="15">
        <v>-2.87E-2</v>
      </c>
      <c r="J63" s="15">
        <v>-3.6900000000000002E-2</v>
      </c>
      <c r="K63" s="15">
        <v>-5.3200000000000004E-2</v>
      </c>
      <c r="L63" s="15">
        <v>-3.1899999999999998E-2</v>
      </c>
      <c r="M63" s="15">
        <v>-3.5799999999999998E-2</v>
      </c>
      <c r="N63" s="15">
        <v>-8.2400000000000001E-2</v>
      </c>
      <c r="O63" s="15">
        <v>-1.6299999999999999E-2</v>
      </c>
      <c r="P63" s="15">
        <v>-4.9599999999999998E-2</v>
      </c>
      <c r="Q63" s="15">
        <v>-3.3700000000000001E-2</v>
      </c>
      <c r="R63" s="7"/>
    </row>
    <row r="64" spans="1:18" x14ac:dyDescent="0.25">
      <c r="A64">
        <v>197903</v>
      </c>
      <c r="B64" s="15">
        <v>2.8799999999999999E-2</v>
      </c>
      <c r="C64" s="15">
        <v>0.10679999999999999</v>
      </c>
      <c r="D64" s="15">
        <v>9.4E-2</v>
      </c>
      <c r="E64" s="15">
        <v>8.7899999999999992E-2</v>
      </c>
      <c r="F64" s="15">
        <v>6.4899999999999999E-2</v>
      </c>
      <c r="G64" s="15">
        <v>9.7200000000000009E-2</v>
      </c>
      <c r="H64" s="15">
        <v>3.9699999999999999E-2</v>
      </c>
      <c r="I64" s="15">
        <v>8.5500000000000007E-2</v>
      </c>
      <c r="J64" s="15">
        <v>9.1400000000000009E-2</v>
      </c>
      <c r="K64" s="15">
        <v>6.3500000000000001E-2</v>
      </c>
      <c r="L64" s="15">
        <v>7.4900000000000008E-2</v>
      </c>
      <c r="M64" s="15">
        <v>6.7699999999999996E-2</v>
      </c>
      <c r="N64" s="15">
        <v>8.5999999999999993E-2</v>
      </c>
      <c r="O64" s="15">
        <v>2.3300000000000001E-2</v>
      </c>
      <c r="P64" s="15">
        <v>5.8200000000000002E-2</v>
      </c>
      <c r="Q64" s="15">
        <v>7.4200000000000002E-2</v>
      </c>
      <c r="R64" s="7"/>
    </row>
    <row r="65" spans="1:18" x14ac:dyDescent="0.25">
      <c r="A65">
        <v>197904</v>
      </c>
      <c r="B65" s="15">
        <v>-5.9999999999999995E-4</v>
      </c>
      <c r="C65" s="15">
        <v>-3.0499999999999999E-2</v>
      </c>
      <c r="D65" s="15">
        <v>4.4299999999999999E-2</v>
      </c>
      <c r="E65" s="15">
        <v>3.0999999999999999E-3</v>
      </c>
      <c r="F65" s="15">
        <v>1.4199999999999999E-2</v>
      </c>
      <c r="G65" s="15">
        <v>-2.0299999999999999E-2</v>
      </c>
      <c r="H65" s="15">
        <v>5.6999999999999993E-3</v>
      </c>
      <c r="I65" s="15">
        <v>2.6600000000000002E-2</v>
      </c>
      <c r="J65" s="15">
        <v>-6.9999999999999993E-3</v>
      </c>
      <c r="K65" s="15">
        <v>1.34E-2</v>
      </c>
      <c r="L65" s="15">
        <v>1.6000000000000001E-3</v>
      </c>
      <c r="M65" s="15">
        <v>2.2200000000000001E-2</v>
      </c>
      <c r="N65" s="15">
        <v>8.9999999999999998E-4</v>
      </c>
      <c r="O65" s="15">
        <v>-2.7400000000000001E-2</v>
      </c>
      <c r="P65" s="15">
        <v>1.2E-2</v>
      </c>
      <c r="Q65" s="15">
        <v>1.49E-2</v>
      </c>
      <c r="R65" s="7"/>
    </row>
    <row r="66" spans="1:18" x14ac:dyDescent="0.25">
      <c r="A66">
        <v>197905</v>
      </c>
      <c r="B66" s="15">
        <v>-1.7399999999999999E-2</v>
      </c>
      <c r="C66" s="15">
        <v>2.1700000000000001E-2</v>
      </c>
      <c r="D66" s="15">
        <v>-2.4700000000000003E-2</v>
      </c>
      <c r="E66" s="15">
        <v>-4.3E-3</v>
      </c>
      <c r="F66" s="15">
        <v>-2.3099999999999999E-2</v>
      </c>
      <c r="G66" s="15">
        <v>-2.9399999999999999E-2</v>
      </c>
      <c r="H66" s="15">
        <v>-3.1E-2</v>
      </c>
      <c r="I66" s="15">
        <v>-1.8200000000000001E-2</v>
      </c>
      <c r="J66" s="15">
        <v>-2.5899999999999999E-2</v>
      </c>
      <c r="K66" s="15">
        <v>7.0999999999999995E-3</v>
      </c>
      <c r="L66" s="15">
        <v>-1.61E-2</v>
      </c>
      <c r="M66" s="15">
        <v>-1.01E-2</v>
      </c>
      <c r="N66" s="15">
        <v>-1.89E-2</v>
      </c>
      <c r="O66" s="15">
        <v>1.43E-2</v>
      </c>
      <c r="P66" s="15">
        <v>-2.6099999999999998E-2</v>
      </c>
      <c r="Q66" s="15">
        <v>1.5E-3</v>
      </c>
      <c r="R66" s="7"/>
    </row>
    <row r="67" spans="1:18" x14ac:dyDescent="0.25">
      <c r="A67">
        <v>197906</v>
      </c>
      <c r="B67" s="15">
        <v>3.4300000000000004E-2</v>
      </c>
      <c r="C67" s="15">
        <v>0.1017</v>
      </c>
      <c r="D67" s="15">
        <v>9.2300000000000007E-2</v>
      </c>
      <c r="E67" s="15">
        <v>1.9400000000000001E-2</v>
      </c>
      <c r="F67" s="15">
        <v>2.1099999999999997E-2</v>
      </c>
      <c r="G67" s="15">
        <v>3.7999999999999999E-2</v>
      </c>
      <c r="H67" s="15">
        <v>3.39E-2</v>
      </c>
      <c r="I67" s="15">
        <v>4.4299999999999999E-2</v>
      </c>
      <c r="J67" s="15">
        <v>2.1600000000000001E-2</v>
      </c>
      <c r="K67" s="15">
        <v>5.4100000000000002E-2</v>
      </c>
      <c r="L67" s="15">
        <v>1.9299999999999998E-2</v>
      </c>
      <c r="M67" s="15">
        <v>2.5499999999999998E-2</v>
      </c>
      <c r="N67" s="15">
        <v>3.9800000000000002E-2</v>
      </c>
      <c r="O67" s="15">
        <v>4.9699999999999994E-2</v>
      </c>
      <c r="P67" s="15">
        <v>2.4900000000000002E-2</v>
      </c>
      <c r="Q67" s="15">
        <v>8.7499999999999994E-2</v>
      </c>
      <c r="R67" s="7"/>
    </row>
    <row r="68" spans="1:18" x14ac:dyDescent="0.25">
      <c r="A68">
        <v>197907</v>
      </c>
      <c r="B68" s="15">
        <v>9.4999999999999998E-3</v>
      </c>
      <c r="C68" s="15">
        <v>1.2E-2</v>
      </c>
      <c r="D68" s="15">
        <v>1.5700000000000002E-2</v>
      </c>
      <c r="E68" s="15">
        <v>1.6799999999999999E-2</v>
      </c>
      <c r="F68" s="15">
        <v>6.7000000000000002E-3</v>
      </c>
      <c r="G68" s="15">
        <v>3.9100000000000003E-2</v>
      </c>
      <c r="H68" s="15">
        <v>4.7999999999999996E-3</v>
      </c>
      <c r="I68" s="15">
        <v>2.81E-2</v>
      </c>
      <c r="J68" s="15">
        <v>4.4600000000000001E-2</v>
      </c>
      <c r="K68" s="15">
        <v>4.9500000000000002E-2</v>
      </c>
      <c r="L68" s="15">
        <v>-6.6E-3</v>
      </c>
      <c r="M68" s="15">
        <v>1.1899999999999999E-2</v>
      </c>
      <c r="N68" s="15">
        <v>5.8499999999999996E-2</v>
      </c>
      <c r="O68" s="15">
        <v>2.0799999999999999E-2</v>
      </c>
      <c r="P68" s="15">
        <v>1.0700000000000001E-2</v>
      </c>
      <c r="Q68" s="15">
        <v>3.27E-2</v>
      </c>
      <c r="R68" s="7"/>
    </row>
    <row r="69" spans="1:18" x14ac:dyDescent="0.25">
      <c r="A69">
        <v>197908</v>
      </c>
      <c r="B69" s="15">
        <v>7.2800000000000004E-2</v>
      </c>
      <c r="C69" s="15">
        <v>7.690000000000001E-2</v>
      </c>
      <c r="D69" s="15">
        <v>8.1799999999999998E-2</v>
      </c>
      <c r="E69" s="15">
        <v>6.9599999999999995E-2</v>
      </c>
      <c r="F69" s="15">
        <v>5.5300000000000002E-2</v>
      </c>
      <c r="G69" s="15">
        <v>6.7400000000000002E-2</v>
      </c>
      <c r="H69" s="15">
        <v>8.8399999999999992E-2</v>
      </c>
      <c r="I69" s="15">
        <v>9.8599999999999993E-2</v>
      </c>
      <c r="J69" s="15">
        <v>7.17E-2</v>
      </c>
      <c r="K69" s="15">
        <v>8.0500000000000002E-2</v>
      </c>
      <c r="L69" s="15">
        <v>5.7800000000000004E-2</v>
      </c>
      <c r="M69" s="15">
        <v>5.5899999999999998E-2</v>
      </c>
      <c r="N69" s="15">
        <v>9.0800000000000006E-2</v>
      </c>
      <c r="O69" s="15">
        <v>2.0400000000000001E-2</v>
      </c>
      <c r="P69" s="15">
        <v>9.1899999999999996E-2</v>
      </c>
      <c r="Q69" s="15">
        <v>5.04E-2</v>
      </c>
      <c r="R69" s="7"/>
    </row>
    <row r="70" spans="1:18" x14ac:dyDescent="0.25">
      <c r="A70">
        <v>197909</v>
      </c>
      <c r="B70" s="15">
        <v>-1.7000000000000001E-2</v>
      </c>
      <c r="C70" s="15">
        <v>7.6200000000000004E-2</v>
      </c>
      <c r="D70" s="15">
        <v>6.13E-2</v>
      </c>
      <c r="E70" s="15">
        <v>-1.6E-2</v>
      </c>
      <c r="F70" s="15">
        <v>-3.5699999999999996E-2</v>
      </c>
      <c r="G70" s="15">
        <v>2.7300000000000001E-2</v>
      </c>
      <c r="H70" s="15">
        <v>-1.54E-2</v>
      </c>
      <c r="I70" s="15">
        <v>-5.9999999999999995E-4</v>
      </c>
      <c r="J70" s="15">
        <v>2.5099999999999997E-2</v>
      </c>
      <c r="K70" s="15">
        <v>-1.15E-2</v>
      </c>
      <c r="L70" s="15">
        <v>-1.5600000000000001E-2</v>
      </c>
      <c r="M70" s="15">
        <v>2.5600000000000001E-2</v>
      </c>
      <c r="N70" s="15">
        <v>-2.0499999999999997E-2</v>
      </c>
      <c r="O70" s="15">
        <v>-2.1700000000000001E-2</v>
      </c>
      <c r="P70" s="15">
        <v>-1.6899999999999998E-2</v>
      </c>
      <c r="Q70" s="15">
        <v>-1.1299999999999999E-2</v>
      </c>
      <c r="R70" s="7"/>
    </row>
    <row r="71" spans="1:18" x14ac:dyDescent="0.25">
      <c r="A71">
        <v>197910</v>
      </c>
      <c r="B71" s="15">
        <v>-8.5500000000000007E-2</v>
      </c>
      <c r="C71" s="15">
        <v>-0.1159</v>
      </c>
      <c r="D71" s="15">
        <v>-2.2200000000000001E-2</v>
      </c>
      <c r="E71" s="15">
        <v>-9.1499999999999998E-2</v>
      </c>
      <c r="F71" s="15">
        <v>-7.3599999999999999E-2</v>
      </c>
      <c r="G71" s="15">
        <v>-7.9699999999999993E-2</v>
      </c>
      <c r="H71" s="15">
        <v>-4.8000000000000001E-2</v>
      </c>
      <c r="I71" s="15">
        <v>-0.10310000000000001</v>
      </c>
      <c r="J71" s="15">
        <v>-0.11609999999999999</v>
      </c>
      <c r="K71" s="15">
        <v>-6.9699999999999998E-2</v>
      </c>
      <c r="L71" s="15">
        <v>-7.9899999999999999E-2</v>
      </c>
      <c r="M71" s="15">
        <v>-0.10949999999999999</v>
      </c>
      <c r="N71" s="15">
        <v>-9.9000000000000005E-2</v>
      </c>
      <c r="O71" s="15">
        <v>-5.7999999999999996E-2</v>
      </c>
      <c r="P71" s="15">
        <v>-8.8900000000000007E-2</v>
      </c>
      <c r="Q71" s="15">
        <v>-0.1009</v>
      </c>
      <c r="R71" s="7"/>
    </row>
    <row r="72" spans="1:18" x14ac:dyDescent="0.25">
      <c r="A72">
        <v>197911</v>
      </c>
      <c r="B72" s="15">
        <v>5.2999999999999999E-2</v>
      </c>
      <c r="C72" s="15">
        <v>0.11749999999999999</v>
      </c>
      <c r="D72" s="15">
        <v>8.8900000000000007E-2</v>
      </c>
      <c r="E72" s="15">
        <v>6.1600000000000002E-2</v>
      </c>
      <c r="F72" s="15">
        <v>8.5000000000000006E-3</v>
      </c>
      <c r="G72" s="15">
        <v>6.0999999999999999E-2</v>
      </c>
      <c r="H72" s="15">
        <v>6.4600000000000005E-2</v>
      </c>
      <c r="I72" s="15">
        <v>6.3600000000000004E-2</v>
      </c>
      <c r="J72" s="15">
        <v>7.4000000000000003E-3</v>
      </c>
      <c r="K72" s="15">
        <v>6.2199999999999998E-2</v>
      </c>
      <c r="L72" s="15">
        <v>7.6999999999999999E-2</v>
      </c>
      <c r="M72" s="15">
        <v>-3.3300000000000003E-2</v>
      </c>
      <c r="N72" s="15">
        <v>9.3900000000000011E-2</v>
      </c>
      <c r="O72" s="15">
        <v>7.7399999999999997E-2</v>
      </c>
      <c r="P72" s="15">
        <v>2.53E-2</v>
      </c>
      <c r="Q72" s="15">
        <v>6.3500000000000001E-2</v>
      </c>
      <c r="R72" s="7"/>
    </row>
    <row r="73" spans="1:18" x14ac:dyDescent="0.25">
      <c r="A73">
        <v>197912</v>
      </c>
      <c r="B73" s="15">
        <v>2.4799999999999999E-2</v>
      </c>
      <c r="C73" s="15">
        <v>0.17449999999999999</v>
      </c>
      <c r="D73" s="15">
        <v>2.7300000000000001E-2</v>
      </c>
      <c r="E73" s="15">
        <v>6.1500000000000006E-2</v>
      </c>
      <c r="F73" s="15">
        <v>4.0899999999999999E-2</v>
      </c>
      <c r="G73" s="15">
        <v>5.5800000000000002E-2</v>
      </c>
      <c r="H73" s="15">
        <v>1.3000000000000001E-2</v>
      </c>
      <c r="I73" s="15">
        <v>4.4699999999999997E-2</v>
      </c>
      <c r="J73" s="15">
        <v>8.2400000000000001E-2</v>
      </c>
      <c r="K73" s="15">
        <v>5.3099999999999994E-2</v>
      </c>
      <c r="L73" s="15">
        <v>2.3900000000000001E-2</v>
      </c>
      <c r="M73" s="15">
        <v>8.8000000000000005E-3</v>
      </c>
      <c r="N73" s="15">
        <v>6.25E-2</v>
      </c>
      <c r="O73" s="15">
        <v>-9.8999999999999991E-3</v>
      </c>
      <c r="P73" s="15">
        <v>1.4800000000000001E-2</v>
      </c>
      <c r="Q73" s="15">
        <v>1.7600000000000001E-2</v>
      </c>
      <c r="R73" s="7"/>
    </row>
    <row r="74" spans="1:18" x14ac:dyDescent="0.25">
      <c r="A74">
        <v>198001</v>
      </c>
      <c r="B74" s="15">
        <v>3.8599999999999995E-2</v>
      </c>
      <c r="C74" s="15">
        <v>0.13769999999999999</v>
      </c>
      <c r="D74" s="15">
        <v>0.13880000000000001</v>
      </c>
      <c r="E74" s="15">
        <v>2.8300000000000002E-2</v>
      </c>
      <c r="F74" s="15">
        <v>4.7199999999999999E-2</v>
      </c>
      <c r="G74" s="15">
        <v>3.9900000000000005E-2</v>
      </c>
      <c r="H74" s="15">
        <v>-2.3E-2</v>
      </c>
      <c r="I74" s="15">
        <v>8.7899999999999992E-2</v>
      </c>
      <c r="J74" s="15">
        <v>0.1757</v>
      </c>
      <c r="K74" s="15">
        <v>7.2400000000000006E-2</v>
      </c>
      <c r="L74" s="15">
        <v>7.7499999999999999E-2</v>
      </c>
      <c r="M74" s="15">
        <v>0.1076</v>
      </c>
      <c r="N74" s="15">
        <v>0.16070000000000001</v>
      </c>
      <c r="O74" s="15">
        <v>1.5600000000000001E-2</v>
      </c>
      <c r="P74" s="15">
        <v>1.7000000000000001E-3</v>
      </c>
      <c r="Q74" s="15">
        <v>2.12E-2</v>
      </c>
      <c r="R74" s="7"/>
    </row>
    <row r="75" spans="1:18" x14ac:dyDescent="0.25">
      <c r="A75">
        <v>198002</v>
      </c>
      <c r="B75" s="15">
        <v>-5.28E-2</v>
      </c>
      <c r="C75" s="15">
        <v>3.7699999999999997E-2</v>
      </c>
      <c r="D75" s="15">
        <v>0.13</v>
      </c>
      <c r="E75" s="15">
        <v>-8.8999999999999999E-3</v>
      </c>
      <c r="F75" s="15">
        <v>-5.2999999999999999E-2</v>
      </c>
      <c r="G75" s="15">
        <v>-1.6E-2</v>
      </c>
      <c r="H75" s="15">
        <v>-4.0099999999999997E-2</v>
      </c>
      <c r="I75" s="15">
        <v>-2.1000000000000001E-2</v>
      </c>
      <c r="J75" s="15">
        <v>1.2999999999999999E-3</v>
      </c>
      <c r="K75" s="15">
        <v>-1.0200000000000001E-2</v>
      </c>
      <c r="L75" s="15">
        <v>-3.8199999999999998E-2</v>
      </c>
      <c r="M75" s="15">
        <v>-6.4500000000000002E-2</v>
      </c>
      <c r="N75" s="15">
        <v>-6.5599999999999992E-2</v>
      </c>
      <c r="O75" s="15">
        <v>-3.39E-2</v>
      </c>
      <c r="P75" s="15">
        <v>-5.3499999999999999E-2</v>
      </c>
      <c r="Q75" s="15">
        <v>-5.0700000000000002E-2</v>
      </c>
      <c r="R75" s="7"/>
    </row>
    <row r="76" spans="1:18" x14ac:dyDescent="0.25">
      <c r="A76">
        <v>198003</v>
      </c>
      <c r="B76" s="15">
        <v>-8.9600000000000013E-2</v>
      </c>
      <c r="C76" s="15">
        <v>-0.18729999999999999</v>
      </c>
      <c r="D76" s="15">
        <v>-0.1787</v>
      </c>
      <c r="E76" s="15">
        <v>-9.06E-2</v>
      </c>
      <c r="F76" s="15">
        <v>-5.5500000000000001E-2</v>
      </c>
      <c r="G76" s="15">
        <v>-0.1207</v>
      </c>
      <c r="H76" s="15">
        <v>-2.7999999999999997E-2</v>
      </c>
      <c r="I76" s="15">
        <v>-0.1484</v>
      </c>
      <c r="J76" s="15">
        <v>-0.18640000000000001</v>
      </c>
      <c r="K76" s="15">
        <v>-0.16699999999999998</v>
      </c>
      <c r="L76" s="15">
        <v>-0.12759999999999999</v>
      </c>
      <c r="M76" s="15">
        <v>-9.5500000000000002E-2</v>
      </c>
      <c r="N76" s="15">
        <v>-0.12909999999999999</v>
      </c>
      <c r="O76" s="15">
        <v>-6.59E-2</v>
      </c>
      <c r="P76" s="15">
        <v>-8.0600000000000005E-2</v>
      </c>
      <c r="Q76" s="15">
        <v>-8.8900000000000007E-2</v>
      </c>
      <c r="R76" s="7"/>
    </row>
    <row r="77" spans="1:18" x14ac:dyDescent="0.25">
      <c r="A77">
        <v>198004</v>
      </c>
      <c r="B77" s="15">
        <v>7.1500000000000008E-2</v>
      </c>
      <c r="C77" s="15">
        <v>-5.3E-3</v>
      </c>
      <c r="D77" s="15">
        <v>6.8400000000000002E-2</v>
      </c>
      <c r="E77" s="15">
        <v>3.7100000000000001E-2</v>
      </c>
      <c r="F77" s="15">
        <v>2.2000000000000002E-2</v>
      </c>
      <c r="G77" s="15">
        <v>4.8399999999999999E-2</v>
      </c>
      <c r="H77" s="15">
        <v>5.0599999999999999E-2</v>
      </c>
      <c r="I77" s="15">
        <v>4.0399999999999998E-2</v>
      </c>
      <c r="J77" s="15">
        <v>2.3099999999999999E-2</v>
      </c>
      <c r="K77" s="15">
        <v>4.0099999999999997E-2</v>
      </c>
      <c r="L77" s="15">
        <v>1E-3</v>
      </c>
      <c r="M77" s="15">
        <v>-2.8999999999999998E-2</v>
      </c>
      <c r="N77" s="15">
        <v>-6.3E-3</v>
      </c>
      <c r="O77" s="15">
        <v>0.12</v>
      </c>
      <c r="P77" s="15">
        <v>4.7500000000000001E-2</v>
      </c>
      <c r="Q77" s="15">
        <v>6.8099999999999994E-2</v>
      </c>
      <c r="R77" s="7"/>
    </row>
    <row r="78" spans="1:18" x14ac:dyDescent="0.25">
      <c r="A78">
        <v>198005</v>
      </c>
      <c r="B78" s="15">
        <v>7.9399999999999998E-2</v>
      </c>
      <c r="C78" s="15">
        <v>9.7799999999999998E-2</v>
      </c>
      <c r="D78" s="15">
        <v>4.1399999999999999E-2</v>
      </c>
      <c r="E78" s="15">
        <v>3.8300000000000001E-2</v>
      </c>
      <c r="F78" s="15">
        <v>5.79E-2</v>
      </c>
      <c r="G78" s="15">
        <v>7.4900000000000008E-2</v>
      </c>
      <c r="H78" s="15">
        <v>8.0399999999999985E-2</v>
      </c>
      <c r="I78" s="15">
        <v>8.8699999999999987E-2</v>
      </c>
      <c r="J78" s="15">
        <v>5.1699999999999996E-2</v>
      </c>
      <c r="K78" s="15">
        <v>5.6799999999999996E-2</v>
      </c>
      <c r="L78" s="15">
        <v>4.8799999999999996E-2</v>
      </c>
      <c r="M78" s="15">
        <v>3.0499999999999999E-2</v>
      </c>
      <c r="N78" s="15">
        <v>5.8499999999999996E-2</v>
      </c>
      <c r="O78" s="15">
        <v>4.5899999999999996E-2</v>
      </c>
      <c r="P78" s="15">
        <v>0.1032</v>
      </c>
      <c r="Q78" s="15">
        <v>7.8899999999999998E-2</v>
      </c>
      <c r="R78" s="7"/>
    </row>
    <row r="79" spans="1:18" x14ac:dyDescent="0.25">
      <c r="A79">
        <v>198006</v>
      </c>
      <c r="B79" s="15">
        <v>2.3300000000000001E-2</v>
      </c>
      <c r="C79" s="15">
        <v>0.10710000000000001</v>
      </c>
      <c r="D79" s="15">
        <v>5.9699999999999996E-2</v>
      </c>
      <c r="E79" s="15">
        <v>3.3399999999999999E-2</v>
      </c>
      <c r="F79" s="15">
        <v>2.7099999999999999E-2</v>
      </c>
      <c r="G79" s="15">
        <v>2.0799999999999999E-2</v>
      </c>
      <c r="H79" s="15">
        <v>3.4000000000000002E-3</v>
      </c>
      <c r="I79" s="15">
        <v>4.9800000000000004E-2</v>
      </c>
      <c r="J79" s="15">
        <v>2.4E-2</v>
      </c>
      <c r="K79" s="15">
        <v>5.2000000000000005E-2</v>
      </c>
      <c r="L79" s="15">
        <v>3.8599999999999995E-2</v>
      </c>
      <c r="M79" s="15">
        <v>2.0799999999999999E-2</v>
      </c>
      <c r="N79" s="15">
        <v>1.1399999999999999E-2</v>
      </c>
      <c r="O79" s="15">
        <v>4.5400000000000003E-2</v>
      </c>
      <c r="P79" s="15">
        <v>2.3399999999999997E-2</v>
      </c>
      <c r="Q79" s="15">
        <v>4.8399999999999999E-2</v>
      </c>
      <c r="R79" s="7"/>
    </row>
    <row r="80" spans="1:18" x14ac:dyDescent="0.25">
      <c r="A80">
        <v>198007</v>
      </c>
      <c r="B80" s="15">
        <v>5.8499999999999996E-2</v>
      </c>
      <c r="C80" s="15">
        <v>9.2600000000000002E-2</v>
      </c>
      <c r="D80" s="15">
        <v>2.0400000000000001E-2</v>
      </c>
      <c r="E80" s="15">
        <v>0.1353</v>
      </c>
      <c r="F80" s="15">
        <v>9.7899999999999987E-2</v>
      </c>
      <c r="G80" s="15">
        <v>8.7400000000000005E-2</v>
      </c>
      <c r="H80" s="15">
        <v>8.4600000000000009E-2</v>
      </c>
      <c r="I80" s="15">
        <v>0.12789999999999999</v>
      </c>
      <c r="J80" s="15">
        <v>0.12759999999999999</v>
      </c>
      <c r="K80" s="15">
        <v>0.10150000000000001</v>
      </c>
      <c r="L80" s="15">
        <v>0.14580000000000001</v>
      </c>
      <c r="M80" s="15">
        <v>0.12659999999999999</v>
      </c>
      <c r="N80" s="15">
        <v>0.14029999999999998</v>
      </c>
      <c r="O80" s="15">
        <v>-1E-3</v>
      </c>
      <c r="P80" s="15">
        <v>0.10630000000000001</v>
      </c>
      <c r="Q80" s="15">
        <v>3.2599999999999997E-2</v>
      </c>
      <c r="R80" s="7"/>
    </row>
    <row r="81" spans="1:18" x14ac:dyDescent="0.25">
      <c r="A81">
        <v>198008</v>
      </c>
      <c r="B81" s="15">
        <v>5.6999999999999993E-3</v>
      </c>
      <c r="C81" s="15">
        <v>6.6000000000000003E-2</v>
      </c>
      <c r="D81" s="15">
        <v>3.7200000000000004E-2</v>
      </c>
      <c r="E81" s="15">
        <v>2.9600000000000001E-2</v>
      </c>
      <c r="F81" s="15">
        <v>2.2200000000000001E-2</v>
      </c>
      <c r="G81" s="15">
        <v>2.8900000000000002E-2</v>
      </c>
      <c r="H81" s="15">
        <v>-7.0999999999999995E-3</v>
      </c>
      <c r="I81" s="15">
        <v>1.43E-2</v>
      </c>
      <c r="J81" s="15">
        <v>1.11E-2</v>
      </c>
      <c r="K81" s="15">
        <v>2.2499999999999999E-2</v>
      </c>
      <c r="L81" s="15">
        <v>2.4300000000000002E-2</v>
      </c>
      <c r="M81" s="15">
        <v>3.0699999999999998E-2</v>
      </c>
      <c r="N81" s="15">
        <v>1.15E-2</v>
      </c>
      <c r="O81" s="15">
        <v>-1.1699999999999999E-2</v>
      </c>
      <c r="P81" s="15">
        <v>4.5999999999999999E-3</v>
      </c>
      <c r="Q81" s="15">
        <v>1.8500000000000003E-2</v>
      </c>
      <c r="R81" s="7"/>
    </row>
    <row r="82" spans="1:18" x14ac:dyDescent="0.25">
      <c r="A82">
        <v>198009</v>
      </c>
      <c r="B82" s="15">
        <v>-1.1999999999999999E-3</v>
      </c>
      <c r="C82" s="15">
        <v>0.12300000000000001</v>
      </c>
      <c r="D82" s="15">
        <v>6.9800000000000001E-2</v>
      </c>
      <c r="E82" s="15">
        <v>1.7500000000000002E-2</v>
      </c>
      <c r="F82" s="15">
        <v>2.0400000000000001E-2</v>
      </c>
      <c r="G82" s="15">
        <v>1.7100000000000001E-2</v>
      </c>
      <c r="H82" s="15">
        <v>8.8999999999999999E-3</v>
      </c>
      <c r="I82" s="15">
        <v>1.6799999999999999E-2</v>
      </c>
      <c r="J82" s="15">
        <v>4.58E-2</v>
      </c>
      <c r="K82" s="15">
        <v>3.7699999999999997E-2</v>
      </c>
      <c r="L82" s="15">
        <v>2.6099999999999998E-2</v>
      </c>
      <c r="M82" s="15">
        <v>1.5700000000000002E-2</v>
      </c>
      <c r="N82" s="15">
        <v>3.0699999999999998E-2</v>
      </c>
      <c r="O82" s="15">
        <v>1.5E-3</v>
      </c>
      <c r="P82" s="15">
        <v>-4.4000000000000003E-3</v>
      </c>
      <c r="Q82" s="15">
        <v>2.58E-2</v>
      </c>
      <c r="R82" s="7"/>
    </row>
    <row r="83" spans="1:18" x14ac:dyDescent="0.25">
      <c r="A83">
        <v>198010</v>
      </c>
      <c r="B83" s="15">
        <v>-9.3999999999999986E-3</v>
      </c>
      <c r="C83" s="15">
        <v>-3.0000000000000001E-3</v>
      </c>
      <c r="D83" s="15">
        <v>7.7800000000000008E-2</v>
      </c>
      <c r="E83" s="15">
        <v>1.24E-2</v>
      </c>
      <c r="F83" s="15">
        <v>2.1600000000000001E-2</v>
      </c>
      <c r="G83" s="15">
        <v>-1.2699999999999999E-2</v>
      </c>
      <c r="H83" s="15">
        <v>-1.6E-2</v>
      </c>
      <c r="I83" s="15">
        <v>3.1E-2</v>
      </c>
      <c r="J83" s="15">
        <v>-1.03E-2</v>
      </c>
      <c r="K83" s="15">
        <v>5.3499999999999999E-2</v>
      </c>
      <c r="L83" s="15">
        <v>2.1000000000000001E-2</v>
      </c>
      <c r="M83" s="15">
        <v>-5.5500000000000001E-2</v>
      </c>
      <c r="N83" s="15">
        <v>2.1400000000000002E-2</v>
      </c>
      <c r="O83" s="15">
        <v>1.9400000000000001E-2</v>
      </c>
      <c r="P83" s="15">
        <v>-1.4800000000000001E-2</v>
      </c>
      <c r="Q83" s="15">
        <v>1.1999999999999999E-3</v>
      </c>
      <c r="R83" s="7"/>
    </row>
    <row r="84" spans="1:18" x14ac:dyDescent="0.25">
      <c r="A84">
        <v>198011</v>
      </c>
      <c r="B84" s="15">
        <v>7.000000000000001E-4</v>
      </c>
      <c r="C84" s="15">
        <v>8.8200000000000001E-2</v>
      </c>
      <c r="D84" s="15">
        <v>0.23760000000000001</v>
      </c>
      <c r="E84" s="15">
        <v>1.03E-2</v>
      </c>
      <c r="F84" s="15">
        <v>7.9199999999999993E-2</v>
      </c>
      <c r="G84" s="15">
        <v>8.6199999999999999E-2</v>
      </c>
      <c r="H84" s="15">
        <v>5.7599999999999998E-2</v>
      </c>
      <c r="I84" s="15">
        <v>7.1199999999999999E-2</v>
      </c>
      <c r="J84" s="15">
        <v>5.5500000000000001E-2</v>
      </c>
      <c r="K84" s="15">
        <v>0.1076</v>
      </c>
      <c r="L84" s="15">
        <v>0.1066</v>
      </c>
      <c r="M84" s="15">
        <v>-1.1200000000000002E-2</v>
      </c>
      <c r="N84" s="15">
        <v>0.15079999999999999</v>
      </c>
      <c r="O84" s="15">
        <v>7.3800000000000004E-2</v>
      </c>
      <c r="P84" s="15">
        <v>6.8999999999999999E-3</v>
      </c>
      <c r="Q84" s="15">
        <v>5.6299999999999996E-2</v>
      </c>
      <c r="R84" s="7"/>
    </row>
    <row r="85" spans="1:18" x14ac:dyDescent="0.25">
      <c r="A85">
        <v>198012</v>
      </c>
      <c r="B85" s="15">
        <v>1.8500000000000003E-2</v>
      </c>
      <c r="C85" s="15">
        <v>-8.1600000000000006E-2</v>
      </c>
      <c r="D85" s="15">
        <v>-0.1061</v>
      </c>
      <c r="E85" s="15">
        <v>-1.9E-2</v>
      </c>
      <c r="F85" s="15">
        <v>-2.3900000000000001E-2</v>
      </c>
      <c r="G85" s="15">
        <v>-1.9099999999999999E-2</v>
      </c>
      <c r="H85" s="15">
        <v>3.8699999999999998E-2</v>
      </c>
      <c r="I85" s="15">
        <v>-3.9300000000000002E-2</v>
      </c>
      <c r="J85" s="15">
        <v>-4.3200000000000002E-2</v>
      </c>
      <c r="K85" s="15">
        <v>-2.5699999999999997E-2</v>
      </c>
      <c r="L85" s="15">
        <v>-2.23E-2</v>
      </c>
      <c r="M85" s="15">
        <v>-2.8000000000000004E-3</v>
      </c>
      <c r="N85" s="15">
        <v>-6.5000000000000006E-3</v>
      </c>
      <c r="O85" s="15">
        <v>-1.95E-2</v>
      </c>
      <c r="P85" s="15">
        <v>5.6999999999999993E-3</v>
      </c>
      <c r="Q85" s="15">
        <v>3.1099999999999999E-2</v>
      </c>
      <c r="R85" s="7"/>
    </row>
    <row r="86" spans="1:18" x14ac:dyDescent="0.25">
      <c r="A86">
        <v>198101</v>
      </c>
      <c r="B86" s="15">
        <v>2.6600000000000002E-2</v>
      </c>
      <c r="C86" s="15">
        <v>-8.7799999999999989E-2</v>
      </c>
      <c r="D86" s="15">
        <v>-9.98E-2</v>
      </c>
      <c r="E86" s="15">
        <v>7.5999999999999998E-2</v>
      </c>
      <c r="F86" s="15">
        <v>-1.61E-2</v>
      </c>
      <c r="G86" s="15">
        <v>1.4999999999999999E-2</v>
      </c>
      <c r="H86" s="15">
        <v>-1.1699999999999999E-2</v>
      </c>
      <c r="I86" s="15">
        <v>-2.4300000000000002E-2</v>
      </c>
      <c r="J86" s="15">
        <v>7.0999999999999995E-3</v>
      </c>
      <c r="K86" s="15">
        <v>-4.3200000000000002E-2</v>
      </c>
      <c r="L86" s="15">
        <v>-7.400000000000001E-2</v>
      </c>
      <c r="M86" s="15">
        <v>-1.83E-2</v>
      </c>
      <c r="N86" s="15">
        <v>-2.9399999999999999E-2</v>
      </c>
      <c r="O86" s="15">
        <v>-2.5699999999999997E-2</v>
      </c>
      <c r="P86" s="15">
        <v>1.55E-2</v>
      </c>
      <c r="Q86" s="15">
        <v>-2.52E-2</v>
      </c>
      <c r="R86" s="7"/>
    </row>
    <row r="87" spans="1:18" x14ac:dyDescent="0.25">
      <c r="A87">
        <v>198102</v>
      </c>
      <c r="B87" s="15">
        <v>2.29E-2</v>
      </c>
      <c r="C87" s="15">
        <v>-3.5900000000000001E-2</v>
      </c>
      <c r="D87" s="15">
        <v>-4.0999999999999995E-3</v>
      </c>
      <c r="E87" s="15">
        <v>1.95E-2</v>
      </c>
      <c r="F87" s="15">
        <v>8.2100000000000006E-2</v>
      </c>
      <c r="G87" s="15">
        <v>3.9599999999999996E-2</v>
      </c>
      <c r="H87" s="15">
        <v>3.1899999999999998E-2</v>
      </c>
      <c r="I87" s="15">
        <v>3.9399999999999998E-2</v>
      </c>
      <c r="J87" s="15">
        <v>2.5699999999999997E-2</v>
      </c>
      <c r="K87" s="15">
        <v>1.6299999999999999E-2</v>
      </c>
      <c r="L87" s="15">
        <v>1.49E-2</v>
      </c>
      <c r="M87" s="15">
        <v>6.5000000000000002E-2</v>
      </c>
      <c r="N87" s="15">
        <v>-6.8000000000000005E-3</v>
      </c>
      <c r="O87" s="15">
        <v>-1.2699999999999999E-2</v>
      </c>
      <c r="P87" s="15">
        <v>3.9E-2</v>
      </c>
      <c r="Q87" s="15">
        <v>1.9699999999999999E-2</v>
      </c>
      <c r="R87" s="7"/>
    </row>
    <row r="88" spans="1:18" x14ac:dyDescent="0.25">
      <c r="A88">
        <v>198103</v>
      </c>
      <c r="B88" s="15">
        <v>6.8900000000000003E-2</v>
      </c>
      <c r="C88" s="15">
        <v>0.15990000000000001</v>
      </c>
      <c r="D88" s="15">
        <v>-2.1600000000000001E-2</v>
      </c>
      <c r="E88" s="15">
        <v>7.2700000000000001E-2</v>
      </c>
      <c r="F88" s="15">
        <v>4.4000000000000004E-2</v>
      </c>
      <c r="G88" s="15">
        <v>2.35E-2</v>
      </c>
      <c r="H88" s="15">
        <v>4.58E-2</v>
      </c>
      <c r="I88" s="15">
        <v>7.6999999999999999E-2</v>
      </c>
      <c r="J88" s="15">
        <v>0.1993</v>
      </c>
      <c r="K88" s="15">
        <v>6.6400000000000001E-2</v>
      </c>
      <c r="L88" s="15">
        <v>4.4999999999999998E-2</v>
      </c>
      <c r="M88" s="15">
        <v>8.1300000000000011E-2</v>
      </c>
      <c r="N88" s="15">
        <v>7.8200000000000006E-2</v>
      </c>
      <c r="O88" s="15">
        <v>2.98E-2</v>
      </c>
      <c r="P88" s="15">
        <v>0.13039999999999999</v>
      </c>
      <c r="Q88" s="15">
        <v>6.9000000000000006E-2</v>
      </c>
      <c r="R88" s="7"/>
    </row>
    <row r="89" spans="1:18" x14ac:dyDescent="0.25">
      <c r="A89">
        <v>198104</v>
      </c>
      <c r="B89" s="15">
        <v>-7.000000000000001E-4</v>
      </c>
      <c r="C89" s="15">
        <v>-2.86E-2</v>
      </c>
      <c r="D89" s="15">
        <v>-7.8600000000000003E-2</v>
      </c>
      <c r="E89" s="15">
        <v>1.5300000000000001E-2</v>
      </c>
      <c r="F89" s="15">
        <v>-7.6E-3</v>
      </c>
      <c r="G89" s="15">
        <v>-2.3300000000000001E-2</v>
      </c>
      <c r="H89" s="15">
        <v>2.5600000000000001E-2</v>
      </c>
      <c r="I89" s="15">
        <v>-1.6899999999999998E-2</v>
      </c>
      <c r="J89" s="15">
        <v>-1.5900000000000001E-2</v>
      </c>
      <c r="K89" s="15">
        <v>-2.2000000000000001E-3</v>
      </c>
      <c r="L89" s="15">
        <v>-1.9E-3</v>
      </c>
      <c r="M89" s="15">
        <v>2.1899999999999999E-2</v>
      </c>
      <c r="N89" s="15">
        <v>1.89E-2</v>
      </c>
      <c r="O89" s="15">
        <v>-2.6800000000000001E-2</v>
      </c>
      <c r="P89" s="15">
        <v>4.1700000000000001E-2</v>
      </c>
      <c r="Q89" s="15">
        <v>6.4000000000000003E-3</v>
      </c>
      <c r="R89" s="7"/>
    </row>
    <row r="90" spans="1:18" x14ac:dyDescent="0.25">
      <c r="A90">
        <v>198105</v>
      </c>
      <c r="B90" s="15">
        <v>2.4500000000000001E-2</v>
      </c>
      <c r="C90" s="15">
        <v>4.0000000000000002E-4</v>
      </c>
      <c r="D90" s="15">
        <v>-3.85E-2</v>
      </c>
      <c r="E90" s="15">
        <v>1.3600000000000001E-2</v>
      </c>
      <c r="F90" s="15">
        <v>4.8999999999999998E-3</v>
      </c>
      <c r="G90" s="15">
        <v>-1.8200000000000001E-2</v>
      </c>
      <c r="H90" s="15">
        <v>1.43E-2</v>
      </c>
      <c r="I90" s="15">
        <v>5.1000000000000004E-3</v>
      </c>
      <c r="J90" s="15">
        <v>-8.9999999999999998E-4</v>
      </c>
      <c r="K90" s="15">
        <v>8.6E-3</v>
      </c>
      <c r="L90" s="15">
        <v>2.63E-2</v>
      </c>
      <c r="M90" s="15">
        <v>3.39E-2</v>
      </c>
      <c r="N90" s="15">
        <v>2.6099999999999998E-2</v>
      </c>
      <c r="O90" s="15">
        <v>1.8200000000000001E-2</v>
      </c>
      <c r="P90" s="15">
        <v>3.1E-2</v>
      </c>
      <c r="Q90" s="15">
        <v>2.7699999999999999E-2</v>
      </c>
      <c r="R90" s="7"/>
    </row>
    <row r="91" spans="1:18" x14ac:dyDescent="0.25">
      <c r="A91">
        <v>198106</v>
      </c>
      <c r="B91" s="15">
        <v>-5.7999999999999996E-3</v>
      </c>
      <c r="C91" s="15">
        <v>-3.2000000000000001E-2</v>
      </c>
      <c r="D91" s="15">
        <v>4.8399999999999999E-2</v>
      </c>
      <c r="E91" s="15">
        <v>8.8000000000000005E-3</v>
      </c>
      <c r="F91" s="15">
        <v>-3.0200000000000001E-2</v>
      </c>
      <c r="G91" s="15">
        <v>2.7000000000000003E-2</v>
      </c>
      <c r="H91" s="15">
        <v>-2.4900000000000002E-2</v>
      </c>
      <c r="I91" s="15">
        <v>-1.78E-2</v>
      </c>
      <c r="J91" s="15">
        <v>-6.3500000000000001E-2</v>
      </c>
      <c r="K91" s="15">
        <v>-3.49E-2</v>
      </c>
      <c r="L91" s="15">
        <v>-5.6399999999999999E-2</v>
      </c>
      <c r="M91" s="15">
        <v>-3.2000000000000001E-2</v>
      </c>
      <c r="N91" s="15">
        <v>-5.2699999999999997E-2</v>
      </c>
      <c r="O91" s="15">
        <v>3.44E-2</v>
      </c>
      <c r="P91" s="15">
        <v>-1.21E-2</v>
      </c>
      <c r="Q91" s="15">
        <v>1.6799999999999999E-2</v>
      </c>
      <c r="R91" s="7"/>
    </row>
    <row r="92" spans="1:18" x14ac:dyDescent="0.25">
      <c r="A92">
        <v>198107</v>
      </c>
      <c r="B92" s="15">
        <v>-1.3300000000000001E-2</v>
      </c>
      <c r="C92" s="15">
        <v>4.1500000000000002E-2</v>
      </c>
      <c r="D92" s="15">
        <v>8.0600000000000005E-2</v>
      </c>
      <c r="E92" s="15">
        <v>-8.0000000000000002E-3</v>
      </c>
      <c r="F92" s="15">
        <v>-2.8399999999999998E-2</v>
      </c>
      <c r="G92" s="15">
        <v>-5.0900000000000001E-2</v>
      </c>
      <c r="H92" s="15">
        <v>-2.8399999999999998E-2</v>
      </c>
      <c r="I92" s="15">
        <v>-4.1399999999999999E-2</v>
      </c>
      <c r="J92" s="15">
        <v>1.5E-3</v>
      </c>
      <c r="K92" s="15">
        <v>-2.9999999999999997E-4</v>
      </c>
      <c r="L92" s="15">
        <v>-2.7799999999999998E-2</v>
      </c>
      <c r="M92" s="15">
        <v>-2.98E-2</v>
      </c>
      <c r="N92" s="15">
        <v>-5.6500000000000002E-2</v>
      </c>
      <c r="O92" s="15">
        <v>2.7999999999999997E-2</v>
      </c>
      <c r="P92" s="15">
        <v>-3.27E-2</v>
      </c>
      <c r="Q92" s="15">
        <v>-3.1E-2</v>
      </c>
      <c r="R92" s="7"/>
    </row>
    <row r="93" spans="1:18" x14ac:dyDescent="0.25">
      <c r="A93">
        <v>198108</v>
      </c>
      <c r="B93" s="15">
        <v>-4.9200000000000001E-2</v>
      </c>
      <c r="C93" s="15">
        <v>-2.9999999999999997E-4</v>
      </c>
      <c r="D93" s="15">
        <v>-6.4600000000000005E-2</v>
      </c>
      <c r="E93" s="15">
        <v>-5.8200000000000002E-2</v>
      </c>
      <c r="F93" s="15">
        <v>-7.0599999999999996E-2</v>
      </c>
      <c r="G93" s="15">
        <v>-7.1199999999999999E-2</v>
      </c>
      <c r="H93" s="15">
        <v>-5.16E-2</v>
      </c>
      <c r="I93" s="15">
        <v>-5.2000000000000005E-2</v>
      </c>
      <c r="J93" s="15">
        <v>-7.3700000000000002E-2</v>
      </c>
      <c r="K93" s="15">
        <v>-5.57E-2</v>
      </c>
      <c r="L93" s="15">
        <v>-6.7599999999999993E-2</v>
      </c>
      <c r="M93" s="15">
        <v>-9.0899999999999995E-2</v>
      </c>
      <c r="N93" s="15">
        <v>-9.4800000000000009E-2</v>
      </c>
      <c r="O93" s="15">
        <v>-8.3000000000000001E-3</v>
      </c>
      <c r="P93" s="15">
        <v>-6.2899999999999998E-2</v>
      </c>
      <c r="Q93" s="15">
        <v>-5.1799999999999999E-2</v>
      </c>
      <c r="R93" s="7"/>
    </row>
    <row r="94" spans="1:18" x14ac:dyDescent="0.25">
      <c r="A94">
        <v>198109</v>
      </c>
      <c r="B94" s="15">
        <v>-1.89E-2</v>
      </c>
      <c r="C94" s="15">
        <v>-0.14899999999999999</v>
      </c>
      <c r="D94" s="15">
        <v>-0.1245</v>
      </c>
      <c r="E94" s="15">
        <v>-2.92E-2</v>
      </c>
      <c r="F94" s="15">
        <v>-3.2599999999999997E-2</v>
      </c>
      <c r="G94" s="15">
        <v>-8.5199999999999998E-2</v>
      </c>
      <c r="H94" s="15">
        <v>-1.3100000000000001E-2</v>
      </c>
      <c r="I94" s="15">
        <v>-0.1011</v>
      </c>
      <c r="J94" s="15">
        <v>-9.4299999999999995E-2</v>
      </c>
      <c r="K94" s="15">
        <v>-7.5399999999999995E-2</v>
      </c>
      <c r="L94" s="15">
        <v>-5.96E-2</v>
      </c>
      <c r="M94" s="15">
        <v>-3.7100000000000001E-2</v>
      </c>
      <c r="N94" s="15">
        <v>-5.5199999999999999E-2</v>
      </c>
      <c r="O94" s="15">
        <v>-5.5300000000000002E-2</v>
      </c>
      <c r="P94" s="15">
        <v>-2.1899999999999999E-2</v>
      </c>
      <c r="Q94" s="15">
        <v>-2.5000000000000001E-2</v>
      </c>
      <c r="R94" s="7"/>
    </row>
    <row r="95" spans="1:18" x14ac:dyDescent="0.25">
      <c r="A95">
        <v>198110</v>
      </c>
      <c r="B95" s="15">
        <v>8.5999999999999993E-2</v>
      </c>
      <c r="C95" s="15">
        <v>3.7499999999999999E-2</v>
      </c>
      <c r="D95" s="15">
        <v>0.10289999999999999</v>
      </c>
      <c r="E95" s="15">
        <v>2.92E-2</v>
      </c>
      <c r="F95" s="15">
        <v>1.1399999999999999E-2</v>
      </c>
      <c r="G95" s="15">
        <v>5.4199999999999998E-2</v>
      </c>
      <c r="H95" s="15">
        <v>6.1600000000000002E-2</v>
      </c>
      <c r="I95" s="15">
        <v>1.49E-2</v>
      </c>
      <c r="J95" s="15">
        <v>1.37E-2</v>
      </c>
      <c r="K95" s="15">
        <v>7.5600000000000001E-2</v>
      </c>
      <c r="L95" s="15">
        <v>3.7499999999999999E-2</v>
      </c>
      <c r="M95" s="15">
        <v>-9.0500000000000011E-2</v>
      </c>
      <c r="N95" s="15">
        <v>8.6699999999999999E-2</v>
      </c>
      <c r="O95" s="15">
        <v>4.8799999999999996E-2</v>
      </c>
      <c r="P95" s="15">
        <v>6.2199999999999998E-2</v>
      </c>
      <c r="Q95" s="15">
        <v>7.4700000000000003E-2</v>
      </c>
      <c r="R95" s="7"/>
    </row>
    <row r="96" spans="1:18" x14ac:dyDescent="0.25">
      <c r="A96">
        <v>198111</v>
      </c>
      <c r="B96" s="15">
        <v>2.0299999999999999E-2</v>
      </c>
      <c r="C96" s="15">
        <v>2.2499999999999999E-2</v>
      </c>
      <c r="D96" s="15">
        <v>6.93E-2</v>
      </c>
      <c r="E96" s="15">
        <v>2.3999999999999998E-3</v>
      </c>
      <c r="F96" s="15">
        <v>6.0700000000000004E-2</v>
      </c>
      <c r="G96" s="15">
        <v>3.7599999999999995E-2</v>
      </c>
      <c r="H96" s="15">
        <v>3.73E-2</v>
      </c>
      <c r="I96" s="15">
        <v>6.3299999999999995E-2</v>
      </c>
      <c r="J96" s="15">
        <v>4.4000000000000004E-2</v>
      </c>
      <c r="K96" s="15">
        <v>-7.4000000000000003E-3</v>
      </c>
      <c r="L96" s="15">
        <v>3.1600000000000003E-2</v>
      </c>
      <c r="M96" s="15">
        <v>2.9900000000000003E-2</v>
      </c>
      <c r="N96" s="15">
        <v>1.6399999999999998E-2</v>
      </c>
      <c r="O96" s="15">
        <v>5.9200000000000003E-2</v>
      </c>
      <c r="P96" s="15">
        <v>9.4999999999999998E-3</v>
      </c>
      <c r="Q96" s="15">
        <v>5.6600000000000004E-2</v>
      </c>
      <c r="R96" s="7"/>
    </row>
    <row r="97" spans="1:18" x14ac:dyDescent="0.25">
      <c r="A97">
        <v>198112</v>
      </c>
      <c r="B97" s="15">
        <v>1E-3</v>
      </c>
      <c r="C97" s="15">
        <v>-6.1100000000000002E-2</v>
      </c>
      <c r="D97" s="15">
        <v>-6.6100000000000006E-2</v>
      </c>
      <c r="E97" s="15">
        <v>-1.41E-2</v>
      </c>
      <c r="F97" s="15">
        <v>-7.6E-3</v>
      </c>
      <c r="G97" s="15">
        <v>-1.7500000000000002E-2</v>
      </c>
      <c r="H97" s="15">
        <v>-1.6799999999999999E-2</v>
      </c>
      <c r="I97" s="15">
        <v>-2.6099999999999998E-2</v>
      </c>
      <c r="J97" s="15">
        <v>-2.69E-2</v>
      </c>
      <c r="K97" s="15">
        <v>-7.7000000000000002E-3</v>
      </c>
      <c r="L97" s="15">
        <v>-5.5000000000000005E-3</v>
      </c>
      <c r="M97" s="15">
        <v>3.04E-2</v>
      </c>
      <c r="N97" s="15">
        <v>-1.9299999999999998E-2</v>
      </c>
      <c r="O97" s="15">
        <v>-2.3300000000000001E-2</v>
      </c>
      <c r="P97" s="15">
        <v>-1.9199999999999998E-2</v>
      </c>
      <c r="Q97" s="15">
        <v>-3.8599999999999995E-2</v>
      </c>
      <c r="R97" s="7"/>
    </row>
    <row r="98" spans="1:18" x14ac:dyDescent="0.25">
      <c r="A98">
        <v>198201</v>
      </c>
      <c r="B98" s="15">
        <v>-5.1999999999999998E-3</v>
      </c>
      <c r="C98" s="15">
        <v>-0.1133</v>
      </c>
      <c r="D98" s="15">
        <v>-8.6400000000000005E-2</v>
      </c>
      <c r="E98" s="15">
        <v>-3.0000000000000001E-3</v>
      </c>
      <c r="F98" s="15">
        <v>3.7499999999999999E-2</v>
      </c>
      <c r="G98" s="15">
        <v>-4.2900000000000001E-2</v>
      </c>
      <c r="H98" s="15">
        <v>2.4300000000000002E-2</v>
      </c>
      <c r="I98" s="15">
        <v>-7.2300000000000003E-2</v>
      </c>
      <c r="J98" s="15">
        <v>-8.8599999999999998E-2</v>
      </c>
      <c r="K98" s="15">
        <v>-2.7799999999999998E-2</v>
      </c>
      <c r="L98" s="15">
        <v>1.26E-2</v>
      </c>
      <c r="M98" s="15">
        <v>-6.1999999999999998E-3</v>
      </c>
      <c r="N98" s="15">
        <v>-3.7100000000000001E-2</v>
      </c>
      <c r="O98" s="15">
        <v>-6.7000000000000002E-3</v>
      </c>
      <c r="P98" s="15">
        <v>9.7999999999999997E-3</v>
      </c>
      <c r="Q98" s="15">
        <v>-2.1700000000000001E-2</v>
      </c>
      <c r="R98" s="7"/>
    </row>
    <row r="99" spans="1:18" x14ac:dyDescent="0.25">
      <c r="A99">
        <v>198202</v>
      </c>
      <c r="B99" s="15">
        <v>-7.4000000000000003E-3</v>
      </c>
      <c r="C99" s="15">
        <v>-8.4199999999999997E-2</v>
      </c>
      <c r="D99" s="15">
        <v>-0.11550000000000001</v>
      </c>
      <c r="E99" s="15">
        <v>-4.3099999999999999E-2</v>
      </c>
      <c r="F99" s="15">
        <v>-3.7999999999999999E-2</v>
      </c>
      <c r="G99" s="15">
        <v>-6.3500000000000001E-2</v>
      </c>
      <c r="H99" s="15">
        <v>-2.2400000000000003E-2</v>
      </c>
      <c r="I99" s="15">
        <v>-7.1900000000000006E-2</v>
      </c>
      <c r="J99" s="15">
        <v>-4.7E-2</v>
      </c>
      <c r="K99" s="15">
        <v>-5.4000000000000006E-2</v>
      </c>
      <c r="L99" s="15">
        <v>-5.8200000000000002E-2</v>
      </c>
      <c r="M99" s="15">
        <v>-2.6099999999999998E-2</v>
      </c>
      <c r="N99" s="15">
        <v>-5.2499999999999998E-2</v>
      </c>
      <c r="O99" s="15">
        <v>-3.5999999999999999E-3</v>
      </c>
      <c r="P99" s="15">
        <v>-8.1000000000000013E-3</v>
      </c>
      <c r="Q99" s="15">
        <v>-2.92E-2</v>
      </c>
      <c r="R99" s="7"/>
    </row>
    <row r="100" spans="1:18" x14ac:dyDescent="0.25">
      <c r="A100">
        <v>198203</v>
      </c>
      <c r="B100" s="15">
        <v>3.4200000000000001E-2</v>
      </c>
      <c r="C100" s="15">
        <v>-0.10279999999999999</v>
      </c>
      <c r="D100" s="15">
        <v>-3.6600000000000001E-2</v>
      </c>
      <c r="E100" s="15">
        <v>5.6000000000000008E-3</v>
      </c>
      <c r="F100" s="15">
        <v>2.3700000000000002E-2</v>
      </c>
      <c r="G100" s="15">
        <v>-1.2E-2</v>
      </c>
      <c r="H100" s="15">
        <v>-1.2199999999999999E-2</v>
      </c>
      <c r="I100" s="15">
        <v>-2.69E-2</v>
      </c>
      <c r="J100" s="15">
        <v>-5.1500000000000004E-2</v>
      </c>
      <c r="K100" s="15">
        <v>-6.2400000000000004E-2</v>
      </c>
      <c r="L100" s="15">
        <v>-3.5699999999999996E-2</v>
      </c>
      <c r="M100" s="15">
        <v>4.1299999999999996E-2</v>
      </c>
      <c r="N100" s="15">
        <v>3.8E-3</v>
      </c>
      <c r="O100" s="15">
        <v>1.66E-2</v>
      </c>
      <c r="P100" s="15">
        <v>5.7999999999999996E-2</v>
      </c>
      <c r="Q100" s="15">
        <v>-1.06E-2</v>
      </c>
      <c r="R100" s="7"/>
    </row>
    <row r="101" spans="1:18" x14ac:dyDescent="0.25">
      <c r="A101">
        <v>198204</v>
      </c>
      <c r="B101" s="15">
        <v>6.7799999999999999E-2</v>
      </c>
      <c r="C101" s="15">
        <v>4.1999999999999997E-3</v>
      </c>
      <c r="D101" s="15">
        <v>4.6199999999999998E-2</v>
      </c>
      <c r="E101" s="15">
        <v>7.9100000000000004E-2</v>
      </c>
      <c r="F101" s="15">
        <v>1.18E-2</v>
      </c>
      <c r="G101" s="15">
        <v>5.2000000000000005E-2</v>
      </c>
      <c r="H101" s="15">
        <v>6.4100000000000004E-2</v>
      </c>
      <c r="I101" s="15">
        <v>2.4399999999999998E-2</v>
      </c>
      <c r="J101" s="15">
        <v>1.6E-2</v>
      </c>
      <c r="K101" s="15">
        <v>3.0099999999999998E-2</v>
      </c>
      <c r="L101" s="15">
        <v>5.7699999999999994E-2</v>
      </c>
      <c r="M101" s="15">
        <v>5.0099999999999999E-2</v>
      </c>
      <c r="N101" s="15">
        <v>4.9200000000000001E-2</v>
      </c>
      <c r="O101" s="15">
        <v>3.8399999999999997E-2</v>
      </c>
      <c r="P101" s="15">
        <v>5.8099999999999999E-2</v>
      </c>
      <c r="Q101" s="15">
        <v>3.2799999999999996E-2</v>
      </c>
      <c r="R101" s="7"/>
    </row>
    <row r="102" spans="1:18" x14ac:dyDescent="0.25">
      <c r="A102">
        <v>198205</v>
      </c>
      <c r="B102" s="15">
        <v>-2.4E-2</v>
      </c>
      <c r="C102" s="15">
        <v>-6.0199999999999997E-2</v>
      </c>
      <c r="D102" s="15">
        <v>2.4E-2</v>
      </c>
      <c r="E102" s="15">
        <v>-1.1699999999999999E-2</v>
      </c>
      <c r="F102" s="15">
        <v>-2.2700000000000001E-2</v>
      </c>
      <c r="G102" s="15">
        <v>-4.3200000000000002E-2</v>
      </c>
      <c r="H102" s="15">
        <v>-3.1800000000000002E-2</v>
      </c>
      <c r="I102" s="15">
        <v>-5.4600000000000003E-2</v>
      </c>
      <c r="J102" s="15">
        <v>-6.93E-2</v>
      </c>
      <c r="K102" s="15">
        <v>-2.1600000000000001E-2</v>
      </c>
      <c r="L102" s="15">
        <v>-5.67E-2</v>
      </c>
      <c r="M102" s="15">
        <v>-3.4999999999999996E-3</v>
      </c>
      <c r="N102" s="15">
        <v>-5.8700000000000002E-2</v>
      </c>
      <c r="O102" s="15">
        <v>-5.1999999999999998E-3</v>
      </c>
      <c r="P102" s="15">
        <v>-2.7900000000000001E-2</v>
      </c>
      <c r="Q102" s="15">
        <v>-5.5500000000000001E-2</v>
      </c>
      <c r="R102" s="7"/>
    </row>
    <row r="103" spans="1:18" x14ac:dyDescent="0.25">
      <c r="A103">
        <v>198206</v>
      </c>
      <c r="B103" s="15">
        <v>0.02</v>
      </c>
      <c r="C103" s="15">
        <v>-6.2100000000000002E-2</v>
      </c>
      <c r="D103" s="15">
        <v>-6.480000000000001E-2</v>
      </c>
      <c r="E103" s="15">
        <v>8.5000000000000006E-3</v>
      </c>
      <c r="F103" s="15">
        <v>2.4900000000000002E-2</v>
      </c>
      <c r="G103" s="15">
        <v>-4.7500000000000001E-2</v>
      </c>
      <c r="H103" s="15">
        <v>-6.0999999999999995E-3</v>
      </c>
      <c r="I103" s="15">
        <v>-2.7000000000000003E-2</v>
      </c>
      <c r="J103" s="15">
        <v>-6.8499999999999991E-2</v>
      </c>
      <c r="K103" s="15">
        <v>-5.9200000000000003E-2</v>
      </c>
      <c r="L103" s="15">
        <v>-2.5399999999999999E-2</v>
      </c>
      <c r="M103" s="15">
        <v>2.63E-2</v>
      </c>
      <c r="N103" s="15">
        <v>-1.6000000000000001E-3</v>
      </c>
      <c r="O103" s="15">
        <v>-2.2099999999999998E-2</v>
      </c>
      <c r="P103" s="15">
        <v>3.6299999999999999E-2</v>
      </c>
      <c r="Q103" s="15">
        <v>-2.4799999999999999E-2</v>
      </c>
      <c r="R103" s="7"/>
    </row>
    <row r="104" spans="1:18" x14ac:dyDescent="0.25">
      <c r="A104">
        <v>198207</v>
      </c>
      <c r="B104" s="15">
        <v>1.9400000000000001E-2</v>
      </c>
      <c r="C104" s="15">
        <v>-5.6500000000000002E-2</v>
      </c>
      <c r="D104" s="15">
        <v>-7.980000000000001E-2</v>
      </c>
      <c r="E104" s="15">
        <v>-4.7999999999999996E-3</v>
      </c>
      <c r="F104" s="15">
        <v>1.9299999999999998E-2</v>
      </c>
      <c r="G104" s="15">
        <v>-3.9800000000000002E-2</v>
      </c>
      <c r="H104" s="15">
        <v>-6.5000000000000006E-3</v>
      </c>
      <c r="I104" s="15">
        <v>-3.1099999999999999E-2</v>
      </c>
      <c r="J104" s="15">
        <v>-4.5700000000000005E-2</v>
      </c>
      <c r="K104" s="15">
        <v>-2.3700000000000002E-2</v>
      </c>
      <c r="L104" s="15">
        <v>1.9E-3</v>
      </c>
      <c r="M104" s="15">
        <v>-3.85E-2</v>
      </c>
      <c r="N104" s="15">
        <v>-1.7600000000000001E-2</v>
      </c>
      <c r="O104" s="15">
        <v>-2.5699999999999997E-2</v>
      </c>
      <c r="P104" s="15">
        <v>6.8000000000000005E-3</v>
      </c>
      <c r="Q104" s="15">
        <v>-0.03</v>
      </c>
      <c r="R104" s="7"/>
    </row>
    <row r="105" spans="1:18" x14ac:dyDescent="0.25">
      <c r="A105">
        <v>198208</v>
      </c>
      <c r="B105" s="15">
        <v>6.9599999999999995E-2</v>
      </c>
      <c r="C105" s="15">
        <v>0.2087</v>
      </c>
      <c r="D105" s="15">
        <v>9.8800000000000013E-2</v>
      </c>
      <c r="E105" s="15">
        <v>0.10679999999999999</v>
      </c>
      <c r="F105" s="15">
        <v>0.1164</v>
      </c>
      <c r="G105" s="15">
        <v>0.15240000000000001</v>
      </c>
      <c r="H105" s="15">
        <v>0.11789999999999999</v>
      </c>
      <c r="I105" s="15">
        <v>0.1769</v>
      </c>
      <c r="J105" s="15">
        <v>0.1333</v>
      </c>
      <c r="K105" s="15">
        <v>9.7599999999999992E-2</v>
      </c>
      <c r="L105" s="15">
        <v>0.12920000000000001</v>
      </c>
      <c r="M105" s="15">
        <v>0.16020000000000001</v>
      </c>
      <c r="N105" s="15">
        <v>0.16879999999999998</v>
      </c>
      <c r="O105" s="15">
        <v>0.12</v>
      </c>
      <c r="P105" s="15">
        <v>0.11630000000000001</v>
      </c>
      <c r="Q105" s="15">
        <v>0.11470000000000001</v>
      </c>
      <c r="R105" s="7"/>
    </row>
    <row r="106" spans="1:18" x14ac:dyDescent="0.25">
      <c r="A106">
        <v>198209</v>
      </c>
      <c r="B106" s="15">
        <v>4.0199999999999993E-2</v>
      </c>
      <c r="C106" s="15">
        <v>4.4000000000000003E-3</v>
      </c>
      <c r="D106" s="15">
        <v>1.7600000000000001E-2</v>
      </c>
      <c r="E106" s="15">
        <v>8.3599999999999994E-2</v>
      </c>
      <c r="F106" s="15">
        <v>1.1000000000000001E-3</v>
      </c>
      <c r="G106" s="15">
        <v>-2.8000000000000004E-3</v>
      </c>
      <c r="H106" s="15">
        <v>2.3E-2</v>
      </c>
      <c r="I106" s="15">
        <v>-5.4000000000000003E-3</v>
      </c>
      <c r="J106" s="15">
        <v>-5.1799999999999999E-2</v>
      </c>
      <c r="K106" s="15">
        <v>-6.9999999999999993E-3</v>
      </c>
      <c r="L106" s="15">
        <v>-4.3E-3</v>
      </c>
      <c r="M106" s="15">
        <v>-1.34E-2</v>
      </c>
      <c r="N106" s="15">
        <v>-1.54E-2</v>
      </c>
      <c r="O106" s="15">
        <v>1.06E-2</v>
      </c>
      <c r="P106" s="15">
        <v>4.8799999999999996E-2</v>
      </c>
      <c r="Q106" s="15">
        <v>6.0100000000000001E-2</v>
      </c>
      <c r="R106" s="7"/>
    </row>
    <row r="107" spans="1:18" x14ac:dyDescent="0.25">
      <c r="A107">
        <v>198210</v>
      </c>
      <c r="B107" s="15">
        <v>7.3800000000000004E-2</v>
      </c>
      <c r="C107" s="15">
        <v>0.17629999999999998</v>
      </c>
      <c r="D107" s="15">
        <v>5.5399999999999998E-2</v>
      </c>
      <c r="E107" s="15">
        <v>0.1409</v>
      </c>
      <c r="F107" s="15">
        <v>0.1278</v>
      </c>
      <c r="G107" s="15">
        <v>0.1278</v>
      </c>
      <c r="H107" s="15">
        <v>9.06E-2</v>
      </c>
      <c r="I107" s="15">
        <v>0.18429999999999999</v>
      </c>
      <c r="J107" s="15">
        <v>9.2499999999999999E-2</v>
      </c>
      <c r="K107" s="15">
        <v>0.1464</v>
      </c>
      <c r="L107" s="15">
        <v>0.1464</v>
      </c>
      <c r="M107" s="15">
        <v>0.16920000000000002</v>
      </c>
      <c r="N107" s="15">
        <v>0.1593</v>
      </c>
      <c r="O107" s="15">
        <v>4.7300000000000002E-2</v>
      </c>
      <c r="P107" s="15">
        <v>0.1663</v>
      </c>
      <c r="Q107" s="15">
        <v>0.152</v>
      </c>
      <c r="R107" s="7"/>
    </row>
    <row r="108" spans="1:18" x14ac:dyDescent="0.25">
      <c r="A108">
        <v>198211</v>
      </c>
      <c r="B108" s="15">
        <v>5.28E-2</v>
      </c>
      <c r="C108" s="15">
        <v>6.2E-2</v>
      </c>
      <c r="D108" s="15">
        <v>-4.7500000000000001E-2</v>
      </c>
      <c r="E108" s="15">
        <v>8.3299999999999999E-2</v>
      </c>
      <c r="F108" s="15">
        <v>9.2300000000000007E-2</v>
      </c>
      <c r="G108" s="15">
        <v>2.9500000000000002E-2</v>
      </c>
      <c r="H108" s="15">
        <v>3.3399999999999999E-2</v>
      </c>
      <c r="I108" s="15">
        <v>0.11699999999999999</v>
      </c>
      <c r="J108" s="15">
        <v>3.6499999999999998E-2</v>
      </c>
      <c r="K108" s="15">
        <v>5.5099999999999996E-2</v>
      </c>
      <c r="L108" s="15">
        <v>9.6300000000000011E-2</v>
      </c>
      <c r="M108" s="15">
        <v>7.8700000000000006E-2</v>
      </c>
      <c r="N108" s="15">
        <v>7.3200000000000001E-2</v>
      </c>
      <c r="O108" s="15">
        <v>1.6000000000000001E-3</v>
      </c>
      <c r="P108" s="15">
        <v>0.111</v>
      </c>
      <c r="Q108" s="15">
        <v>6.5500000000000003E-2</v>
      </c>
      <c r="R108" s="7"/>
    </row>
    <row r="109" spans="1:18" x14ac:dyDescent="0.25">
      <c r="A109">
        <v>198212</v>
      </c>
      <c r="B109" s="15">
        <v>6.8000000000000005E-3</v>
      </c>
      <c r="C109" s="15">
        <v>5.9500000000000004E-2</v>
      </c>
      <c r="D109" s="15">
        <v>5.74E-2</v>
      </c>
      <c r="E109" s="15">
        <v>1.72E-2</v>
      </c>
      <c r="F109" s="15">
        <v>-2.2200000000000001E-2</v>
      </c>
      <c r="G109" s="15">
        <v>-2.3399999999999997E-2</v>
      </c>
      <c r="H109" s="15">
        <v>-7.3000000000000001E-3</v>
      </c>
      <c r="I109" s="15">
        <v>2.9900000000000003E-2</v>
      </c>
      <c r="J109" s="15">
        <v>5.7200000000000001E-2</v>
      </c>
      <c r="K109" s="15">
        <v>-2.5699999999999997E-2</v>
      </c>
      <c r="L109" s="15">
        <v>3.9100000000000003E-2</v>
      </c>
      <c r="M109" s="15">
        <v>5.2900000000000003E-2</v>
      </c>
      <c r="N109" s="15">
        <v>1.1399999999999999E-2</v>
      </c>
      <c r="O109" s="15">
        <v>4.3200000000000002E-2</v>
      </c>
      <c r="P109" s="15">
        <v>-2.87E-2</v>
      </c>
      <c r="Q109" s="15">
        <v>-2.3300000000000001E-2</v>
      </c>
      <c r="R109" s="7"/>
    </row>
    <row r="110" spans="1:18" x14ac:dyDescent="0.25">
      <c r="A110">
        <v>198301</v>
      </c>
      <c r="B110" s="15">
        <v>-1.2999999999999999E-3</v>
      </c>
      <c r="C110" s="15">
        <v>0.14219999999999999</v>
      </c>
      <c r="D110" s="15">
        <v>3.5900000000000001E-2</v>
      </c>
      <c r="E110" s="15">
        <v>2.9999999999999997E-4</v>
      </c>
      <c r="F110" s="15">
        <v>5.21E-2</v>
      </c>
      <c r="G110" s="15">
        <v>9.9900000000000003E-2</v>
      </c>
      <c r="H110" s="15">
        <v>1.78E-2</v>
      </c>
      <c r="I110" s="15">
        <v>2.0799999999999999E-2</v>
      </c>
      <c r="J110" s="15">
        <v>8.1099999999999992E-2</v>
      </c>
      <c r="K110" s="15">
        <v>6.5299999999999997E-2</v>
      </c>
      <c r="L110" s="15">
        <v>7.9000000000000001E-2</v>
      </c>
      <c r="M110" s="15">
        <v>2.3599999999999999E-2</v>
      </c>
      <c r="N110" s="15">
        <v>6.9599999999999995E-2</v>
      </c>
      <c r="O110" s="15">
        <v>3.6699999999999997E-2</v>
      </c>
      <c r="P110" s="15">
        <v>4.1999999999999997E-3</v>
      </c>
      <c r="Q110" s="15">
        <v>4.7999999999999996E-3</v>
      </c>
      <c r="R110" s="7"/>
    </row>
    <row r="111" spans="1:18" x14ac:dyDescent="0.25">
      <c r="A111">
        <v>198302</v>
      </c>
      <c r="B111" s="15">
        <v>1.6899999999999998E-2</v>
      </c>
      <c r="C111" s="15">
        <v>-7.3200000000000001E-2</v>
      </c>
      <c r="D111" s="15">
        <v>-5.7999999999999996E-3</v>
      </c>
      <c r="E111" s="15">
        <v>8.5699999999999998E-2</v>
      </c>
      <c r="F111" s="15">
        <v>6.8199999999999997E-2</v>
      </c>
      <c r="G111" s="15">
        <v>4.4800000000000006E-2</v>
      </c>
      <c r="H111" s="15">
        <v>1.8799999999999997E-2</v>
      </c>
      <c r="I111" s="15">
        <v>4.3400000000000001E-2</v>
      </c>
      <c r="J111" s="15">
        <v>3.8900000000000004E-2</v>
      </c>
      <c r="K111" s="15">
        <v>4.8399999999999999E-2</v>
      </c>
      <c r="L111" s="15">
        <v>2.9500000000000002E-2</v>
      </c>
      <c r="M111" s="15">
        <v>1.7100000000000001E-2</v>
      </c>
      <c r="N111" s="15">
        <v>5.74E-2</v>
      </c>
      <c r="O111" s="15">
        <v>1.5900000000000001E-2</v>
      </c>
      <c r="P111" s="15">
        <v>7.9500000000000001E-2</v>
      </c>
      <c r="Q111" s="15">
        <v>5.4299999999999994E-2</v>
      </c>
      <c r="R111" s="7"/>
    </row>
    <row r="112" spans="1:18" x14ac:dyDescent="0.25">
      <c r="A112">
        <v>198303</v>
      </c>
      <c r="B112" s="15">
        <v>5.9800000000000006E-2</v>
      </c>
      <c r="C112" s="15">
        <v>3.7900000000000003E-2</v>
      </c>
      <c r="D112" s="15">
        <v>6.13E-2</v>
      </c>
      <c r="E112" s="15">
        <v>0.11460000000000001</v>
      </c>
      <c r="F112" s="15">
        <v>-2.4399999999999998E-2</v>
      </c>
      <c r="G112" s="15">
        <v>6.8000000000000005E-3</v>
      </c>
      <c r="H112" s="15">
        <v>4.2500000000000003E-2</v>
      </c>
      <c r="I112" s="15">
        <v>5.8400000000000001E-2</v>
      </c>
      <c r="J112" s="15">
        <v>2.9399999999999999E-2</v>
      </c>
      <c r="K112" s="15">
        <v>2.07E-2</v>
      </c>
      <c r="L112" s="15">
        <v>4.3E-3</v>
      </c>
      <c r="M112" s="15">
        <v>-5.6000000000000008E-3</v>
      </c>
      <c r="N112" s="15">
        <v>4.0099999999999997E-2</v>
      </c>
      <c r="O112" s="15">
        <v>2.7000000000000001E-3</v>
      </c>
      <c r="P112" s="15">
        <v>9.8699999999999996E-2</v>
      </c>
      <c r="Q112" s="15">
        <v>6.83E-2</v>
      </c>
      <c r="R112" s="7"/>
    </row>
    <row r="113" spans="1:18" x14ac:dyDescent="0.25">
      <c r="A113">
        <v>198304</v>
      </c>
      <c r="B113" s="15">
        <v>5.0199999999999995E-2</v>
      </c>
      <c r="C113" s="15">
        <v>9.0899999999999995E-2</v>
      </c>
      <c r="D113" s="15">
        <v>9.4200000000000006E-2</v>
      </c>
      <c r="E113" s="15">
        <v>8.3499999999999991E-2</v>
      </c>
      <c r="F113" s="15">
        <v>6.0199999999999997E-2</v>
      </c>
      <c r="G113" s="15">
        <v>8.9099999999999999E-2</v>
      </c>
      <c r="H113" s="15">
        <v>5.1799999999999999E-2</v>
      </c>
      <c r="I113" s="15">
        <v>5.5500000000000001E-2</v>
      </c>
      <c r="J113" s="15">
        <v>3.0499999999999999E-2</v>
      </c>
      <c r="K113" s="15">
        <v>5.0099999999999999E-2</v>
      </c>
      <c r="L113" s="15">
        <v>6.9500000000000006E-2</v>
      </c>
      <c r="M113" s="15">
        <v>0.15439999999999998</v>
      </c>
      <c r="N113" s="15">
        <v>4.9800000000000004E-2</v>
      </c>
      <c r="O113" s="15">
        <v>4.7599999999999996E-2</v>
      </c>
      <c r="P113" s="15">
        <v>9.1400000000000009E-2</v>
      </c>
      <c r="Q113" s="15">
        <v>9.0999999999999998E-2</v>
      </c>
      <c r="R113" s="7"/>
    </row>
    <row r="114" spans="1:18" x14ac:dyDescent="0.25">
      <c r="A114">
        <v>198305</v>
      </c>
      <c r="B114" s="15">
        <v>-9.1000000000000004E-3</v>
      </c>
      <c r="C114" s="15">
        <v>6.54E-2</v>
      </c>
      <c r="D114" s="15">
        <v>1.4999999999999999E-2</v>
      </c>
      <c r="E114" s="15">
        <v>9.1000000000000004E-3</v>
      </c>
      <c r="F114" s="15">
        <v>-4.3799999999999999E-2</v>
      </c>
      <c r="G114" s="15">
        <v>4.4400000000000002E-2</v>
      </c>
      <c r="H114" s="15">
        <v>-4.0899999999999999E-2</v>
      </c>
      <c r="I114" s="15">
        <v>2.8500000000000001E-2</v>
      </c>
      <c r="J114" s="15">
        <v>9.5700000000000007E-2</v>
      </c>
      <c r="K114" s="15">
        <v>4.87E-2</v>
      </c>
      <c r="L114" s="15">
        <v>3.0499999999999999E-2</v>
      </c>
      <c r="M114" s="15">
        <v>-1.8600000000000002E-2</v>
      </c>
      <c r="N114" s="15">
        <v>3.27E-2</v>
      </c>
      <c r="O114" s="15">
        <v>2.6000000000000002E-2</v>
      </c>
      <c r="P114" s="15">
        <v>2.9999999999999997E-4</v>
      </c>
      <c r="Q114" s="15">
        <v>6.5000000000000006E-3</v>
      </c>
      <c r="R114" s="7"/>
    </row>
    <row r="115" spans="1:18" x14ac:dyDescent="0.25">
      <c r="A115">
        <v>198306</v>
      </c>
      <c r="B115" s="15">
        <v>1.54E-2</v>
      </c>
      <c r="C115" s="15">
        <v>0.01</v>
      </c>
      <c r="D115" s="15">
        <v>6.6299999999999998E-2</v>
      </c>
      <c r="E115" s="15">
        <v>8.5900000000000004E-2</v>
      </c>
      <c r="F115" s="15">
        <v>5.3399999999999996E-2</v>
      </c>
      <c r="G115" s="15">
        <v>1.0500000000000001E-2</v>
      </c>
      <c r="H115" s="15">
        <v>5.0599999999999999E-2</v>
      </c>
      <c r="I115" s="15">
        <v>-1.7000000000000001E-3</v>
      </c>
      <c r="J115" s="15">
        <v>-2.0199999999999999E-2</v>
      </c>
      <c r="K115" s="15">
        <v>1.34E-2</v>
      </c>
      <c r="L115" s="15">
        <v>5.7500000000000002E-2</v>
      </c>
      <c r="M115" s="15">
        <v>0.12520000000000001</v>
      </c>
      <c r="N115" s="15">
        <v>7.6600000000000001E-2</v>
      </c>
      <c r="O115" s="15">
        <v>-5.4000000000000003E-3</v>
      </c>
      <c r="P115" s="15">
        <v>5.8400000000000001E-2</v>
      </c>
      <c r="Q115" s="15">
        <v>3.5999999999999999E-3</v>
      </c>
      <c r="R115" s="7"/>
    </row>
    <row r="116" spans="1:18" x14ac:dyDescent="0.25">
      <c r="A116">
        <v>198307</v>
      </c>
      <c r="B116" s="15">
        <v>-2.3E-2</v>
      </c>
      <c r="C116" s="15">
        <v>-5.0099999999999999E-2</v>
      </c>
      <c r="D116" s="15">
        <v>-2.5399999999999999E-2</v>
      </c>
      <c r="E116" s="15">
        <v>-4.3299999999999998E-2</v>
      </c>
      <c r="F116" s="15">
        <v>-5.1500000000000004E-2</v>
      </c>
      <c r="G116" s="15">
        <v>2.9999999999999997E-4</v>
      </c>
      <c r="H116" s="15">
        <v>-3.5400000000000001E-2</v>
      </c>
      <c r="I116" s="15">
        <v>-3.9300000000000002E-2</v>
      </c>
      <c r="J116" s="15">
        <v>-8.1000000000000013E-3</v>
      </c>
      <c r="K116" s="15">
        <v>1.9E-3</v>
      </c>
      <c r="L116" s="15">
        <v>-4.7599999999999996E-2</v>
      </c>
      <c r="M116" s="15">
        <v>-1.9299999999999998E-2</v>
      </c>
      <c r="N116" s="15">
        <v>-4.9500000000000002E-2</v>
      </c>
      <c r="O116" s="15">
        <v>1.03E-2</v>
      </c>
      <c r="P116" s="15">
        <v>-2.18E-2</v>
      </c>
      <c r="Q116" s="15">
        <v>-2.8500000000000001E-2</v>
      </c>
      <c r="R116" s="7"/>
    </row>
    <row r="117" spans="1:18" x14ac:dyDescent="0.25">
      <c r="A117">
        <v>198308</v>
      </c>
      <c r="B117" s="15">
        <v>1.8200000000000001E-2</v>
      </c>
      <c r="C117" s="15">
        <v>8.5000000000000006E-3</v>
      </c>
      <c r="D117" s="15">
        <v>6.9599999999999995E-2</v>
      </c>
      <c r="E117" s="15">
        <v>-4.5599999999999995E-2</v>
      </c>
      <c r="F117" s="15">
        <v>-1.09E-2</v>
      </c>
      <c r="G117" s="15">
        <v>6.9500000000000006E-2</v>
      </c>
      <c r="H117" s="15">
        <v>1.0700000000000001E-2</v>
      </c>
      <c r="I117" s="15">
        <v>-4.3899999999999995E-2</v>
      </c>
      <c r="J117" s="15">
        <v>7.7699999999999991E-2</v>
      </c>
      <c r="K117" s="15">
        <v>-1.52E-2</v>
      </c>
      <c r="L117" s="15">
        <v>-6.6E-3</v>
      </c>
      <c r="M117" s="15">
        <v>-3.6200000000000003E-2</v>
      </c>
      <c r="N117" s="15">
        <v>-3.9E-2</v>
      </c>
      <c r="O117" s="15">
        <v>1.52E-2</v>
      </c>
      <c r="P117" s="15">
        <v>-5.2499999999999998E-2</v>
      </c>
      <c r="Q117" s="15">
        <v>1.04E-2</v>
      </c>
      <c r="R117" s="7"/>
    </row>
    <row r="118" spans="1:18" x14ac:dyDescent="0.25">
      <c r="A118">
        <v>198309</v>
      </c>
      <c r="B118" s="15">
        <v>5.4699999999999999E-2</v>
      </c>
      <c r="C118" s="15">
        <v>-5.7999999999999996E-2</v>
      </c>
      <c r="D118" s="15">
        <v>-4.7699999999999992E-2</v>
      </c>
      <c r="E118" s="15">
        <v>1.55E-2</v>
      </c>
      <c r="F118" s="15">
        <v>2.81E-2</v>
      </c>
      <c r="G118" s="15">
        <v>-4.5999999999999999E-3</v>
      </c>
      <c r="H118" s="15">
        <v>3.27E-2</v>
      </c>
      <c r="I118" s="15">
        <v>3.3500000000000002E-2</v>
      </c>
      <c r="J118" s="15">
        <v>-2.58E-2</v>
      </c>
      <c r="K118" s="15">
        <v>6.8000000000000005E-3</v>
      </c>
      <c r="L118" s="15">
        <v>2.76E-2</v>
      </c>
      <c r="M118" s="15">
        <v>4.87E-2</v>
      </c>
      <c r="N118" s="15">
        <v>3.5000000000000003E-2</v>
      </c>
      <c r="O118" s="15">
        <v>4.6600000000000003E-2</v>
      </c>
      <c r="P118" s="15">
        <v>2.0899999999999998E-2</v>
      </c>
      <c r="Q118" s="15">
        <v>1.95E-2</v>
      </c>
      <c r="R118" s="7"/>
    </row>
    <row r="119" spans="1:18" x14ac:dyDescent="0.25">
      <c r="A119">
        <v>198310</v>
      </c>
      <c r="B119" s="15">
        <v>2.2000000000000002E-2</v>
      </c>
      <c r="C119" s="15">
        <v>-9.5500000000000002E-2</v>
      </c>
      <c r="D119" s="15">
        <v>-2.0099999999999996E-2</v>
      </c>
      <c r="E119" s="15">
        <v>-4.5100000000000001E-2</v>
      </c>
      <c r="F119" s="15">
        <v>-2.0899999999999998E-2</v>
      </c>
      <c r="G119" s="15">
        <v>-3.0800000000000001E-2</v>
      </c>
      <c r="H119" s="15">
        <v>8.8000000000000005E-3</v>
      </c>
      <c r="I119" s="15">
        <v>-4.82E-2</v>
      </c>
      <c r="J119" s="15">
        <v>-5.2499999999999998E-2</v>
      </c>
      <c r="K119" s="15">
        <v>-5.5000000000000005E-3</v>
      </c>
      <c r="L119" s="15">
        <v>-5.5500000000000001E-2</v>
      </c>
      <c r="M119" s="15">
        <v>1.46E-2</v>
      </c>
      <c r="N119" s="15">
        <v>-5.1000000000000004E-3</v>
      </c>
      <c r="O119" s="15">
        <v>3.0699999999999998E-2</v>
      </c>
      <c r="P119" s="15">
        <v>-7.4000000000000003E-3</v>
      </c>
      <c r="Q119" s="15">
        <v>-2.9900000000000003E-2</v>
      </c>
      <c r="R119" s="7"/>
    </row>
    <row r="120" spans="1:18" x14ac:dyDescent="0.25">
      <c r="A120">
        <v>198311</v>
      </c>
      <c r="B120" s="15">
        <v>2.46E-2</v>
      </c>
      <c r="C120" s="15">
        <v>8.8699999999999987E-2</v>
      </c>
      <c r="D120" s="15">
        <v>-5.5000000000000005E-3</v>
      </c>
      <c r="E120" s="15">
        <v>3.7000000000000005E-2</v>
      </c>
      <c r="F120" s="15">
        <v>8.7799999999999989E-2</v>
      </c>
      <c r="G120" s="15">
        <v>2.7400000000000001E-2</v>
      </c>
      <c r="H120" s="15">
        <v>-6.3E-3</v>
      </c>
      <c r="I120" s="15">
        <v>7.4099999999999999E-2</v>
      </c>
      <c r="J120" s="15">
        <v>9.5199999999999993E-2</v>
      </c>
      <c r="K120" s="15">
        <v>6.3099999999999989E-2</v>
      </c>
      <c r="L120" s="15">
        <v>2.41E-2</v>
      </c>
      <c r="M120" s="15">
        <v>-1.1000000000000001E-3</v>
      </c>
      <c r="N120" s="15">
        <v>7.6600000000000001E-2</v>
      </c>
      <c r="O120" s="15">
        <v>-1.61E-2</v>
      </c>
      <c r="P120" s="15">
        <v>4.4000000000000004E-2</v>
      </c>
      <c r="Q120" s="15">
        <v>3.9800000000000002E-2</v>
      </c>
      <c r="R120" s="7"/>
    </row>
    <row r="121" spans="1:18" x14ac:dyDescent="0.25">
      <c r="A121">
        <v>198312</v>
      </c>
      <c r="B121" s="15">
        <v>-5.6999999999999993E-3</v>
      </c>
      <c r="C121" s="15">
        <v>-1.9799999999999998E-2</v>
      </c>
      <c r="D121" s="15">
        <v>2.18E-2</v>
      </c>
      <c r="E121" s="15">
        <v>-3.0099999999999998E-2</v>
      </c>
      <c r="F121" s="15">
        <v>1.2199999999999999E-2</v>
      </c>
      <c r="G121" s="15">
        <v>-3.1600000000000003E-2</v>
      </c>
      <c r="H121" s="15">
        <v>-2.87E-2</v>
      </c>
      <c r="I121" s="15">
        <v>-1.18E-2</v>
      </c>
      <c r="J121" s="15">
        <v>1.0800000000000001E-2</v>
      </c>
      <c r="K121" s="15">
        <v>-9.4999999999999998E-3</v>
      </c>
      <c r="L121" s="15">
        <v>1.44E-2</v>
      </c>
      <c r="M121" s="15">
        <v>1.24E-2</v>
      </c>
      <c r="N121" s="15">
        <v>-1.0500000000000001E-2</v>
      </c>
      <c r="O121" s="15">
        <v>-3.6900000000000002E-2</v>
      </c>
      <c r="P121" s="15">
        <v>-5.7599999999999998E-2</v>
      </c>
      <c r="Q121" s="15">
        <v>-7.4999999999999997E-3</v>
      </c>
      <c r="R121" s="7"/>
    </row>
    <row r="122" spans="1:18" x14ac:dyDescent="0.25">
      <c r="A122">
        <v>198401</v>
      </c>
      <c r="B122" s="15">
        <v>3.9000000000000003E-3</v>
      </c>
      <c r="C122" s="15">
        <v>-1.61E-2</v>
      </c>
      <c r="D122" s="15">
        <v>0.1018</v>
      </c>
      <c r="E122" s="15">
        <v>-6.4399999999999999E-2</v>
      </c>
      <c r="F122" s="15">
        <v>-6.5000000000000002E-2</v>
      </c>
      <c r="G122" s="15">
        <v>-4.0399999999999998E-2</v>
      </c>
      <c r="H122" s="15">
        <v>2.7000000000000001E-3</v>
      </c>
      <c r="I122" s="15">
        <v>-3.8100000000000002E-2</v>
      </c>
      <c r="J122" s="15">
        <v>-1.9599999999999999E-2</v>
      </c>
      <c r="K122" s="15">
        <v>-2.3300000000000001E-2</v>
      </c>
      <c r="L122" s="15">
        <v>-4.9699999999999994E-2</v>
      </c>
      <c r="M122" s="15">
        <v>-3.3399999999999999E-2</v>
      </c>
      <c r="N122" s="15">
        <v>-3.3700000000000001E-2</v>
      </c>
      <c r="O122" s="15">
        <v>1.4499999999999999E-2</v>
      </c>
      <c r="P122" s="15">
        <v>-6.3E-2</v>
      </c>
      <c r="Q122" s="15">
        <v>-4.5999999999999999E-3</v>
      </c>
      <c r="R122" s="7"/>
    </row>
    <row r="123" spans="1:18" x14ac:dyDescent="0.25">
      <c r="A123">
        <v>198402</v>
      </c>
      <c r="B123" s="15">
        <v>-4.2800000000000005E-2</v>
      </c>
      <c r="C123" s="15">
        <v>1.5800000000000002E-2</v>
      </c>
      <c r="D123" s="15">
        <v>3.3599999999999998E-2</v>
      </c>
      <c r="E123" s="15">
        <v>-3.56E-2</v>
      </c>
      <c r="F123" s="15">
        <v>-5.6500000000000002E-2</v>
      </c>
      <c r="G123" s="15">
        <v>-7.2700000000000001E-2</v>
      </c>
      <c r="H123" s="15">
        <v>-2.7200000000000002E-2</v>
      </c>
      <c r="I123" s="15">
        <v>-5.8600000000000006E-2</v>
      </c>
      <c r="J123" s="15">
        <v>-7.6299999999999993E-2</v>
      </c>
      <c r="K123" s="15">
        <v>-7.5600000000000001E-2</v>
      </c>
      <c r="L123" s="15">
        <v>-5.8499999999999996E-2</v>
      </c>
      <c r="M123" s="15">
        <v>-6.6900000000000001E-2</v>
      </c>
      <c r="N123" s="15">
        <v>-7.2800000000000004E-2</v>
      </c>
      <c r="O123" s="15">
        <v>-3.3300000000000003E-2</v>
      </c>
      <c r="P123" s="15">
        <v>-4.4400000000000002E-2</v>
      </c>
      <c r="Q123" s="15">
        <v>-4.5999999999999999E-2</v>
      </c>
      <c r="R123" s="7"/>
    </row>
    <row r="124" spans="1:18" x14ac:dyDescent="0.25">
      <c r="A124">
        <v>198403</v>
      </c>
      <c r="B124" s="15">
        <v>1.1699999999999999E-2</v>
      </c>
      <c r="C124" s="15">
        <v>5.5899999999999998E-2</v>
      </c>
      <c r="D124" s="15">
        <v>9.7000000000000003E-3</v>
      </c>
      <c r="E124" s="15">
        <v>8.9999999999999998E-4</v>
      </c>
      <c r="F124" s="15">
        <v>2.0499999999999997E-2</v>
      </c>
      <c r="G124" s="15">
        <v>5.9400000000000001E-2</v>
      </c>
      <c r="H124" s="15">
        <v>5.0000000000000001E-4</v>
      </c>
      <c r="I124" s="15">
        <v>4.3200000000000002E-2</v>
      </c>
      <c r="J124" s="15">
        <v>5.8200000000000002E-2</v>
      </c>
      <c r="K124" s="15">
        <v>3.6699999999999997E-2</v>
      </c>
      <c r="L124" s="15">
        <v>2.3900000000000001E-2</v>
      </c>
      <c r="M124" s="15">
        <v>-2.5499999999999998E-2</v>
      </c>
      <c r="N124" s="15">
        <v>-7.7000000000000002E-3</v>
      </c>
      <c r="O124" s="15">
        <v>-2.8999999999999998E-3</v>
      </c>
      <c r="P124" s="15">
        <v>8.0000000000000002E-3</v>
      </c>
      <c r="Q124" s="15">
        <v>2.06E-2</v>
      </c>
      <c r="R124" s="7"/>
    </row>
    <row r="125" spans="1:18" x14ac:dyDescent="0.25">
      <c r="A125">
        <v>198404</v>
      </c>
      <c r="B125" s="15">
        <v>4.8999999999999998E-3</v>
      </c>
      <c r="C125" s="15">
        <v>-5.79E-2</v>
      </c>
      <c r="D125" s="15">
        <v>4.0899999999999999E-2</v>
      </c>
      <c r="E125" s="15">
        <v>2.0000000000000001E-4</v>
      </c>
      <c r="F125" s="15">
        <v>2.2000000000000001E-3</v>
      </c>
      <c r="G125" s="15">
        <v>1.21E-2</v>
      </c>
      <c r="H125" s="15">
        <v>7.6E-3</v>
      </c>
      <c r="I125" s="15">
        <v>-2.75E-2</v>
      </c>
      <c r="J125" s="15">
        <v>-5.5899999999999998E-2</v>
      </c>
      <c r="K125" s="15">
        <v>1.4199999999999999E-2</v>
      </c>
      <c r="L125" s="15">
        <v>1E-3</v>
      </c>
      <c r="M125" s="15">
        <v>1.4999999999999999E-2</v>
      </c>
      <c r="N125" s="15">
        <v>-1.0700000000000001E-2</v>
      </c>
      <c r="O125" s="15">
        <v>-4.7999999999999996E-3</v>
      </c>
      <c r="P125" s="15">
        <v>8.199999999999999E-3</v>
      </c>
      <c r="Q125" s="15">
        <v>-1.1599999999999999E-2</v>
      </c>
      <c r="R125" s="7"/>
    </row>
    <row r="126" spans="1:18" x14ac:dyDescent="0.25">
      <c r="A126">
        <v>198405</v>
      </c>
      <c r="B126" s="15">
        <v>-1.89E-2</v>
      </c>
      <c r="C126" s="15">
        <v>-7.7699999999999991E-2</v>
      </c>
      <c r="D126" s="15">
        <v>-4.7800000000000002E-2</v>
      </c>
      <c r="E126" s="15">
        <v>-5.5800000000000002E-2</v>
      </c>
      <c r="F126" s="15">
        <v>-3.4799999999999998E-2</v>
      </c>
      <c r="G126" s="15">
        <v>-7.0300000000000001E-2</v>
      </c>
      <c r="H126" s="15">
        <v>-3.39E-2</v>
      </c>
      <c r="I126" s="15">
        <v>-8.9499999999999996E-2</v>
      </c>
      <c r="J126" s="15">
        <v>-9.4800000000000009E-2</v>
      </c>
      <c r="K126" s="15">
        <v>-4.6500000000000007E-2</v>
      </c>
      <c r="L126" s="15">
        <v>-6.3899999999999998E-2</v>
      </c>
      <c r="M126" s="15">
        <v>-5.1699999999999996E-2</v>
      </c>
      <c r="N126" s="15">
        <v>-3.9E-2</v>
      </c>
      <c r="O126" s="15">
        <v>-8.0000000000000002E-3</v>
      </c>
      <c r="P126" s="15">
        <v>-4.99E-2</v>
      </c>
      <c r="Q126" s="15">
        <v>-7.3899999999999993E-2</v>
      </c>
      <c r="R126" s="7"/>
    </row>
    <row r="127" spans="1:18" x14ac:dyDescent="0.25">
      <c r="A127">
        <v>198406</v>
      </c>
      <c r="B127" s="15">
        <v>6.5099999999999991E-2</v>
      </c>
      <c r="C127" s="15">
        <v>-5.0799999999999998E-2</v>
      </c>
      <c r="D127" s="15">
        <v>-2.0499999999999997E-2</v>
      </c>
      <c r="E127" s="15">
        <v>4.2800000000000005E-2</v>
      </c>
      <c r="F127" s="15">
        <v>1.7100000000000001E-2</v>
      </c>
      <c r="G127" s="15">
        <v>2.8999999999999998E-3</v>
      </c>
      <c r="H127" s="15">
        <v>5.6100000000000004E-2</v>
      </c>
      <c r="I127" s="15">
        <v>1.3899999999999999E-2</v>
      </c>
      <c r="J127" s="15">
        <v>-1.4999999999999999E-2</v>
      </c>
      <c r="K127" s="15">
        <v>0.1118</v>
      </c>
      <c r="L127" s="15">
        <v>1.09E-2</v>
      </c>
      <c r="M127" s="15">
        <v>3.2799999999999996E-2</v>
      </c>
      <c r="N127" s="15">
        <v>5.7699999999999994E-2</v>
      </c>
      <c r="O127" s="15">
        <v>4.5000000000000005E-3</v>
      </c>
      <c r="P127" s="15">
        <v>7.9100000000000004E-2</v>
      </c>
      <c r="Q127" s="15">
        <v>2.3E-2</v>
      </c>
      <c r="R127" s="7"/>
    </row>
    <row r="128" spans="1:18" x14ac:dyDescent="0.25">
      <c r="A128">
        <v>198407</v>
      </c>
      <c r="B128" s="15">
        <v>-1.01E-2</v>
      </c>
      <c r="C128" s="15">
        <v>-0.13</v>
      </c>
      <c r="D128" s="15">
        <v>-7.5800000000000006E-2</v>
      </c>
      <c r="E128" s="15">
        <v>-5.9000000000000004E-2</v>
      </c>
      <c r="F128" s="15">
        <v>2.8999999999999998E-3</v>
      </c>
      <c r="G128" s="15">
        <v>-2.07E-2</v>
      </c>
      <c r="H128" s="15">
        <v>-3.27E-2</v>
      </c>
      <c r="I128" s="15">
        <v>-3.0200000000000001E-2</v>
      </c>
      <c r="J128" s="15">
        <v>-9.2300000000000007E-2</v>
      </c>
      <c r="K128" s="15">
        <v>-2.46E-2</v>
      </c>
      <c r="L128" s="15">
        <v>-1.3300000000000001E-2</v>
      </c>
      <c r="M128" s="15">
        <v>4.3899999999999995E-2</v>
      </c>
      <c r="N128" s="15">
        <v>3.3E-3</v>
      </c>
      <c r="O128" s="15">
        <v>-1E-4</v>
      </c>
      <c r="P128" s="15">
        <v>1.21E-2</v>
      </c>
      <c r="Q128" s="15">
        <v>-6.7000000000000002E-3</v>
      </c>
      <c r="R128" s="7"/>
    </row>
    <row r="129" spans="1:18" x14ac:dyDescent="0.25">
      <c r="A129">
        <v>198408</v>
      </c>
      <c r="B129" s="15">
        <v>7.3599999999999999E-2</v>
      </c>
      <c r="C129" s="15">
        <v>0.19699999999999998</v>
      </c>
      <c r="D129" s="15">
        <v>0.1399</v>
      </c>
      <c r="E129" s="15">
        <v>9.4200000000000006E-2</v>
      </c>
      <c r="F129" s="15">
        <v>9.1499999999999998E-2</v>
      </c>
      <c r="G129" s="15">
        <v>0.13489999999999999</v>
      </c>
      <c r="H129" s="15">
        <v>8.0100000000000005E-2</v>
      </c>
      <c r="I129" s="15">
        <v>0.1268</v>
      </c>
      <c r="J129" s="15">
        <v>0.14019999999999999</v>
      </c>
      <c r="K129" s="15">
        <v>0.1017</v>
      </c>
      <c r="L129" s="15">
        <v>0.13639999999999999</v>
      </c>
      <c r="M129" s="15">
        <v>9.5399999999999985E-2</v>
      </c>
      <c r="N129" s="15">
        <v>0.12300000000000001</v>
      </c>
      <c r="O129" s="15">
        <v>7.7600000000000002E-2</v>
      </c>
      <c r="P129" s="15">
        <v>9.0899999999999995E-2</v>
      </c>
      <c r="Q129" s="15">
        <v>0.1104</v>
      </c>
      <c r="R129" s="7"/>
    </row>
    <row r="130" spans="1:18" x14ac:dyDescent="0.25">
      <c r="A130">
        <v>198409</v>
      </c>
      <c r="B130" s="15">
        <v>2.46E-2</v>
      </c>
      <c r="C130" s="15">
        <v>1.2999999999999999E-3</v>
      </c>
      <c r="D130" s="15">
        <v>2.1700000000000001E-2</v>
      </c>
      <c r="E130" s="15">
        <v>-1.47E-2</v>
      </c>
      <c r="F130" s="15">
        <v>-2.9300000000000003E-2</v>
      </c>
      <c r="G130" s="15">
        <v>-3.2000000000000001E-2</v>
      </c>
      <c r="H130" s="15">
        <v>-1.24E-2</v>
      </c>
      <c r="I130" s="15">
        <v>7.7000000000000002E-3</v>
      </c>
      <c r="J130" s="15">
        <v>-3.3799999999999997E-2</v>
      </c>
      <c r="K130" s="15">
        <v>-2.1600000000000001E-2</v>
      </c>
      <c r="L130" s="15">
        <v>-3.4099999999999998E-2</v>
      </c>
      <c r="M130" s="15">
        <v>2.53E-2</v>
      </c>
      <c r="N130" s="15">
        <v>-8.6999999999999994E-3</v>
      </c>
      <c r="O130" s="15">
        <v>4.82E-2</v>
      </c>
      <c r="P130" s="15">
        <v>1E-3</v>
      </c>
      <c r="Q130" s="15">
        <v>3.2300000000000002E-2</v>
      </c>
      <c r="R130" s="7"/>
    </row>
    <row r="131" spans="1:18" x14ac:dyDescent="0.25">
      <c r="A131">
        <v>198410</v>
      </c>
      <c r="B131" s="15">
        <v>2.1600000000000001E-2</v>
      </c>
      <c r="C131" s="15">
        <v>-5.8899999999999994E-2</v>
      </c>
      <c r="D131" s="15">
        <v>-4.2599999999999999E-2</v>
      </c>
      <c r="E131" s="15">
        <v>-2.3999999999999998E-3</v>
      </c>
      <c r="F131" s="15">
        <v>6.4000000000000003E-3</v>
      </c>
      <c r="G131" s="15">
        <v>-1.15E-2</v>
      </c>
      <c r="H131" s="15">
        <v>2.9300000000000003E-2</v>
      </c>
      <c r="I131" s="15">
        <v>2.8000000000000004E-3</v>
      </c>
      <c r="J131" s="15">
        <v>-1.84E-2</v>
      </c>
      <c r="K131" s="15">
        <v>9.3999999999999986E-3</v>
      </c>
      <c r="L131" s="15">
        <v>-5.5000000000000005E-3</v>
      </c>
      <c r="M131" s="15">
        <v>2.9700000000000001E-2</v>
      </c>
      <c r="N131" s="15">
        <v>4.5700000000000005E-2</v>
      </c>
      <c r="O131" s="15">
        <v>3.3399999999999999E-2</v>
      </c>
      <c r="P131" s="15">
        <v>-1.0700000000000001E-2</v>
      </c>
      <c r="Q131" s="15">
        <v>1.1899999999999999E-2</v>
      </c>
      <c r="R131" s="7"/>
    </row>
    <row r="132" spans="1:18" x14ac:dyDescent="0.25">
      <c r="A132">
        <v>198411</v>
      </c>
      <c r="B132" s="15">
        <v>-3.0000000000000001E-3</v>
      </c>
      <c r="C132" s="15">
        <v>-8.199999999999999E-3</v>
      </c>
      <c r="D132" s="15">
        <v>-1.1399999999999999E-2</v>
      </c>
      <c r="E132" s="15">
        <v>-3.3E-3</v>
      </c>
      <c r="F132" s="15">
        <v>-1.55E-2</v>
      </c>
      <c r="G132" s="15">
        <v>-4.0000000000000001E-3</v>
      </c>
      <c r="H132" s="15">
        <v>4.1999999999999997E-3</v>
      </c>
      <c r="I132" s="15">
        <v>-5.9999999999999995E-4</v>
      </c>
      <c r="J132" s="15">
        <v>-1.2E-2</v>
      </c>
      <c r="K132" s="15">
        <v>-2.6099999999999998E-2</v>
      </c>
      <c r="L132" s="15">
        <v>-3.1800000000000002E-2</v>
      </c>
      <c r="M132" s="15">
        <v>-2.98E-2</v>
      </c>
      <c r="N132" s="15">
        <v>-3.1899999999999998E-2</v>
      </c>
      <c r="O132" s="15">
        <v>3.0600000000000002E-2</v>
      </c>
      <c r="P132" s="15">
        <v>-3.2300000000000002E-2</v>
      </c>
      <c r="Q132" s="15">
        <v>3.4999999999999996E-3</v>
      </c>
      <c r="R132" s="7"/>
    </row>
    <row r="133" spans="1:18" x14ac:dyDescent="0.25">
      <c r="A133">
        <v>198412</v>
      </c>
      <c r="B133" s="15">
        <v>2.4700000000000003E-2</v>
      </c>
      <c r="C133" s="15">
        <v>-2.7900000000000001E-2</v>
      </c>
      <c r="D133" s="15">
        <v>-5.4000000000000003E-3</v>
      </c>
      <c r="E133" s="15">
        <v>9.1999999999999998E-3</v>
      </c>
      <c r="F133" s="15">
        <v>2.7099999999999999E-2</v>
      </c>
      <c r="G133" s="15">
        <v>6.0000000000000001E-3</v>
      </c>
      <c r="H133" s="15">
        <v>2.9900000000000003E-2</v>
      </c>
      <c r="I133" s="15">
        <v>1.9099999999999999E-2</v>
      </c>
      <c r="J133" s="15">
        <v>2.2000000000000002E-2</v>
      </c>
      <c r="K133" s="15">
        <v>2.4399999999999998E-2</v>
      </c>
      <c r="L133" s="15">
        <v>2.3300000000000001E-2</v>
      </c>
      <c r="M133" s="15">
        <v>4.8399999999999999E-2</v>
      </c>
      <c r="N133" s="15">
        <v>4.1299999999999996E-2</v>
      </c>
      <c r="O133" s="15">
        <v>2.63E-2</v>
      </c>
      <c r="P133" s="15">
        <v>-1E-4</v>
      </c>
      <c r="Q133" s="15">
        <v>4.4999999999999998E-2</v>
      </c>
      <c r="R133" s="7"/>
    </row>
    <row r="134" spans="1:18" x14ac:dyDescent="0.25">
      <c r="A134">
        <v>198501</v>
      </c>
      <c r="B134" s="15">
        <v>1.9400000000000001E-2</v>
      </c>
      <c r="C134" s="15">
        <v>0.15770000000000001</v>
      </c>
      <c r="D134" s="15">
        <v>6.6400000000000001E-2</v>
      </c>
      <c r="E134" s="15">
        <v>0.11539999999999999</v>
      </c>
      <c r="F134" s="15">
        <v>9.8900000000000002E-2</v>
      </c>
      <c r="G134" s="15">
        <v>7.0499999999999993E-2</v>
      </c>
      <c r="H134" s="15">
        <v>4.41E-2</v>
      </c>
      <c r="I134" s="15">
        <v>0.12619999999999998</v>
      </c>
      <c r="J134" s="15">
        <v>0.106</v>
      </c>
      <c r="K134" s="15">
        <v>5.5399999999999998E-2</v>
      </c>
      <c r="L134" s="15">
        <v>0.1215</v>
      </c>
      <c r="M134" s="15">
        <v>8.8499999999999995E-2</v>
      </c>
      <c r="N134" s="15">
        <v>9.9499999999999991E-2</v>
      </c>
      <c r="O134" s="15">
        <v>2.3900000000000001E-2</v>
      </c>
      <c r="P134" s="15">
        <v>0.12480000000000001</v>
      </c>
      <c r="Q134" s="15">
        <v>8.8800000000000004E-2</v>
      </c>
      <c r="R134" s="7"/>
    </row>
    <row r="135" spans="1:18" x14ac:dyDescent="0.25">
      <c r="A135">
        <v>198502</v>
      </c>
      <c r="B135" s="15">
        <v>5.3499999999999999E-2</v>
      </c>
      <c r="C135" s="15">
        <v>-4.0399999999999998E-2</v>
      </c>
      <c r="D135" s="15">
        <v>0.04</v>
      </c>
      <c r="E135" s="15">
        <v>2.3799999999999998E-2</v>
      </c>
      <c r="F135" s="15">
        <v>3.4999999999999996E-3</v>
      </c>
      <c r="G135" s="15">
        <v>2.4799999999999999E-2</v>
      </c>
      <c r="H135" s="15">
        <v>4.1799999999999997E-2</v>
      </c>
      <c r="I135" s="15">
        <v>1E-4</v>
      </c>
      <c r="J135" s="15">
        <v>-4.1999999999999997E-3</v>
      </c>
      <c r="K135" s="15">
        <v>2.8399999999999998E-2</v>
      </c>
      <c r="L135" s="15">
        <v>-1.34E-2</v>
      </c>
      <c r="M135" s="15">
        <v>-2.3799999999999998E-2</v>
      </c>
      <c r="N135" s="15">
        <v>3.9699999999999999E-2</v>
      </c>
      <c r="O135" s="15">
        <v>1.38E-2</v>
      </c>
      <c r="P135" s="15">
        <v>2.64E-2</v>
      </c>
      <c r="Q135" s="15">
        <v>2.1700000000000001E-2</v>
      </c>
      <c r="R135" s="7"/>
    </row>
    <row r="136" spans="1:18" x14ac:dyDescent="0.25">
      <c r="A136">
        <v>198503</v>
      </c>
      <c r="B136" s="15">
        <v>6.1500000000000006E-2</v>
      </c>
      <c r="C136" s="15">
        <v>5.16E-2</v>
      </c>
      <c r="D136" s="15">
        <v>1.5100000000000001E-2</v>
      </c>
      <c r="E136" s="15">
        <v>-2.2000000000000001E-3</v>
      </c>
      <c r="F136" s="15">
        <v>-4.2999999999999997E-2</v>
      </c>
      <c r="G136" s="15">
        <v>-2.3700000000000002E-2</v>
      </c>
      <c r="H136" s="15">
        <v>3.0899999999999997E-2</v>
      </c>
      <c r="I136" s="15">
        <v>-4.6100000000000002E-2</v>
      </c>
      <c r="J136" s="15">
        <v>-3.3399999999999999E-2</v>
      </c>
      <c r="K136" s="15">
        <v>-3.3799999999999997E-2</v>
      </c>
      <c r="L136" s="15">
        <v>-6.1600000000000002E-2</v>
      </c>
      <c r="M136" s="15">
        <v>-4.8899999999999999E-2</v>
      </c>
      <c r="N136" s="15">
        <v>-3.44E-2</v>
      </c>
      <c r="O136" s="15">
        <v>6.0999999999999999E-2</v>
      </c>
      <c r="P136" s="15">
        <v>-5.1000000000000004E-3</v>
      </c>
      <c r="Q136" s="15">
        <v>8.9999999999999998E-4</v>
      </c>
      <c r="R136" s="7"/>
    </row>
    <row r="137" spans="1:18" x14ac:dyDescent="0.25">
      <c r="A137">
        <v>198504</v>
      </c>
      <c r="B137" s="15">
        <v>-1.32E-2</v>
      </c>
      <c r="C137" s="15">
        <v>-2.3199999999999998E-2</v>
      </c>
      <c r="D137" s="15">
        <v>3.5499999999999997E-2</v>
      </c>
      <c r="E137" s="15">
        <v>-6.7000000000000002E-3</v>
      </c>
      <c r="F137" s="15">
        <v>-1.21E-2</v>
      </c>
      <c r="G137" s="15">
        <v>7.8000000000000005E-3</v>
      </c>
      <c r="H137" s="15">
        <v>-2.7200000000000002E-2</v>
      </c>
      <c r="I137" s="15">
        <v>-9.5999999999999992E-3</v>
      </c>
      <c r="J137" s="15">
        <v>-4.8799999999999996E-2</v>
      </c>
      <c r="K137" s="15">
        <v>-4.3200000000000002E-2</v>
      </c>
      <c r="L137" s="15">
        <v>-3.27E-2</v>
      </c>
      <c r="M137" s="15">
        <v>-4.2300000000000004E-2</v>
      </c>
      <c r="N137" s="15">
        <v>-3.3099999999999997E-2</v>
      </c>
      <c r="O137" s="15">
        <v>1.61E-2</v>
      </c>
      <c r="P137" s="15">
        <v>2.8000000000000004E-3</v>
      </c>
      <c r="Q137" s="15">
        <v>2.5399999999999999E-2</v>
      </c>
      <c r="R137" s="7"/>
    </row>
    <row r="138" spans="1:18" x14ac:dyDescent="0.25">
      <c r="A138">
        <v>198505</v>
      </c>
      <c r="B138" s="15">
        <v>0.10710000000000001</v>
      </c>
      <c r="C138" s="15">
        <v>2.7999999999999997E-2</v>
      </c>
      <c r="D138" s="15">
        <v>1.0700000000000001E-2</v>
      </c>
      <c r="E138" s="15">
        <v>8.3400000000000002E-2</v>
      </c>
      <c r="F138" s="15">
        <v>4.8399999999999999E-2</v>
      </c>
      <c r="G138" s="15">
        <v>7.8100000000000003E-2</v>
      </c>
      <c r="H138" s="15">
        <v>7.0400000000000004E-2</v>
      </c>
      <c r="I138" s="15">
        <v>0.06</v>
      </c>
      <c r="J138" s="15">
        <v>1.5900000000000001E-2</v>
      </c>
      <c r="K138" s="15">
        <v>5.45E-2</v>
      </c>
      <c r="L138" s="15">
        <v>3.4300000000000004E-2</v>
      </c>
      <c r="M138" s="15">
        <v>6.9199999999999998E-2</v>
      </c>
      <c r="N138" s="15">
        <v>0.10210000000000001</v>
      </c>
      <c r="O138" s="15">
        <v>5.45E-2</v>
      </c>
      <c r="P138" s="15">
        <v>0.11210000000000001</v>
      </c>
      <c r="Q138" s="15">
        <v>6.2400000000000004E-2</v>
      </c>
      <c r="R138" s="7"/>
    </row>
    <row r="139" spans="1:18" x14ac:dyDescent="0.25">
      <c r="A139">
        <v>198506</v>
      </c>
      <c r="B139" s="15">
        <v>3.44E-2</v>
      </c>
      <c r="C139" s="15">
        <v>-3.2000000000000002E-3</v>
      </c>
      <c r="D139" s="15">
        <v>-9.1000000000000004E-3</v>
      </c>
      <c r="E139" s="15">
        <v>1.9099999999999999E-2</v>
      </c>
      <c r="F139" s="15">
        <v>2.0099999999999996E-2</v>
      </c>
      <c r="G139" s="15">
        <v>1.52E-2</v>
      </c>
      <c r="H139" s="15">
        <v>1.8799999999999997E-2</v>
      </c>
      <c r="I139" s="15">
        <v>8.6E-3</v>
      </c>
      <c r="J139" s="15">
        <v>-7.4000000000000003E-3</v>
      </c>
      <c r="K139" s="15">
        <v>1.54E-2</v>
      </c>
      <c r="L139" s="15">
        <v>-9.300000000000001E-3</v>
      </c>
      <c r="M139" s="15">
        <v>1.15E-2</v>
      </c>
      <c r="N139" s="15">
        <v>2.3199999999999998E-2</v>
      </c>
      <c r="O139" s="15">
        <v>3.6299999999999999E-2</v>
      </c>
      <c r="P139" s="15">
        <v>1.34E-2</v>
      </c>
      <c r="Q139" s="15">
        <v>2.98E-2</v>
      </c>
      <c r="R139" s="7"/>
    </row>
    <row r="140" spans="1:18" x14ac:dyDescent="0.25">
      <c r="A140">
        <v>198507</v>
      </c>
      <c r="B140" s="15">
        <v>-2.2799999999999997E-2</v>
      </c>
      <c r="C140" s="15">
        <v>8.8200000000000001E-2</v>
      </c>
      <c r="D140" s="15">
        <v>-5.1000000000000004E-3</v>
      </c>
      <c r="E140" s="15">
        <v>2.2099999999999998E-2</v>
      </c>
      <c r="F140" s="15">
        <v>2.5600000000000001E-2</v>
      </c>
      <c r="G140" s="15">
        <v>4.0999999999999995E-2</v>
      </c>
      <c r="H140" s="15">
        <v>-8.3000000000000001E-3</v>
      </c>
      <c r="I140" s="15">
        <v>2.9399999999999999E-2</v>
      </c>
      <c r="J140" s="15">
        <v>7.8299999999999995E-2</v>
      </c>
      <c r="K140" s="15">
        <v>2.63E-2</v>
      </c>
      <c r="L140" s="15">
        <v>4.7800000000000002E-2</v>
      </c>
      <c r="M140" s="15">
        <v>9.3999999999999986E-3</v>
      </c>
      <c r="N140" s="15">
        <v>3.6000000000000004E-2</v>
      </c>
      <c r="O140" s="15">
        <v>-4.7E-2</v>
      </c>
      <c r="P140" s="15">
        <v>-5.33E-2</v>
      </c>
      <c r="Q140" s="15">
        <v>-1.3600000000000001E-2</v>
      </c>
      <c r="R140" s="7"/>
    </row>
    <row r="141" spans="1:18" x14ac:dyDescent="0.25">
      <c r="A141">
        <v>198508</v>
      </c>
      <c r="B141" s="15">
        <v>2.4399999999999998E-2</v>
      </c>
      <c r="C141" s="15">
        <v>-1.3999999999999999E-2</v>
      </c>
      <c r="D141" s="15">
        <v>1.5300000000000001E-2</v>
      </c>
      <c r="E141" s="15">
        <v>1.43E-2</v>
      </c>
      <c r="F141" s="15">
        <v>-2.9600000000000001E-2</v>
      </c>
      <c r="G141" s="15">
        <v>-1.09E-2</v>
      </c>
      <c r="H141" s="15">
        <v>-2.3999999999999998E-3</v>
      </c>
      <c r="I141" s="15">
        <v>-2.7000000000000003E-2</v>
      </c>
      <c r="J141" s="15">
        <v>-1.9E-2</v>
      </c>
      <c r="K141" s="15">
        <v>-1.9599999999999999E-2</v>
      </c>
      <c r="L141" s="15">
        <v>-2.4399999999999998E-2</v>
      </c>
      <c r="M141" s="15">
        <v>-7.0999999999999995E-3</v>
      </c>
      <c r="N141" s="15">
        <v>-8.5000000000000006E-3</v>
      </c>
      <c r="O141" s="15">
        <v>1.9099999999999999E-2</v>
      </c>
      <c r="P141" s="15">
        <v>-3.9000000000000003E-3</v>
      </c>
      <c r="Q141" s="15">
        <v>-4.0000000000000001E-3</v>
      </c>
      <c r="R141" s="7"/>
    </row>
    <row r="142" spans="1:18" x14ac:dyDescent="0.25">
      <c r="A142">
        <v>198509</v>
      </c>
      <c r="B142" s="15">
        <v>3.2400000000000005E-2</v>
      </c>
      <c r="C142" s="15">
        <v>-8.8499999999999995E-2</v>
      </c>
      <c r="D142" s="15">
        <v>-1.34E-2</v>
      </c>
      <c r="E142" s="15">
        <v>-2.7900000000000001E-2</v>
      </c>
      <c r="F142" s="15">
        <v>-3.73E-2</v>
      </c>
      <c r="G142" s="15">
        <v>-3.4799999999999998E-2</v>
      </c>
      <c r="H142" s="15">
        <v>-2.7999999999999997E-2</v>
      </c>
      <c r="I142" s="15">
        <v>-4.4800000000000006E-2</v>
      </c>
      <c r="J142" s="15">
        <v>-4.4900000000000002E-2</v>
      </c>
      <c r="K142" s="15">
        <v>-3.15E-2</v>
      </c>
      <c r="L142" s="15">
        <v>-4.1200000000000001E-2</v>
      </c>
      <c r="M142" s="15">
        <v>-2.06E-2</v>
      </c>
      <c r="N142" s="15">
        <v>-7.4200000000000002E-2</v>
      </c>
      <c r="O142" s="15">
        <v>-5.3499999999999999E-2</v>
      </c>
      <c r="P142" s="15">
        <v>-4.2099999999999999E-2</v>
      </c>
      <c r="Q142" s="15">
        <v>-4.4400000000000002E-2</v>
      </c>
      <c r="R142" s="7"/>
    </row>
    <row r="143" spans="1:18" x14ac:dyDescent="0.25">
      <c r="A143">
        <v>198510</v>
      </c>
      <c r="B143" s="15">
        <v>4.2500000000000003E-2</v>
      </c>
      <c r="C143" s="15">
        <v>-1.5700000000000002E-2</v>
      </c>
      <c r="D143" s="15">
        <v>5.7999999999999996E-2</v>
      </c>
      <c r="E143" s="15">
        <v>7.2900000000000006E-2</v>
      </c>
      <c r="F143" s="15">
        <v>5.6000000000000008E-3</v>
      </c>
      <c r="G143" s="15">
        <v>4.9500000000000002E-2</v>
      </c>
      <c r="H143" s="15">
        <v>4.9400000000000006E-2</v>
      </c>
      <c r="I143" s="15">
        <v>3.0099999999999998E-2</v>
      </c>
      <c r="J143" s="15">
        <v>-4.3700000000000003E-2</v>
      </c>
      <c r="K143" s="15">
        <v>3.6400000000000002E-2</v>
      </c>
      <c r="L143" s="15">
        <v>3.1400000000000004E-2</v>
      </c>
      <c r="M143" s="15">
        <v>1.8700000000000001E-2</v>
      </c>
      <c r="N143" s="15">
        <v>9.4999999999999998E-3</v>
      </c>
      <c r="O143" s="15">
        <v>6.3200000000000006E-2</v>
      </c>
      <c r="P143" s="15">
        <v>7.6499999999999999E-2</v>
      </c>
      <c r="Q143" s="15">
        <v>7.6700000000000004E-2</v>
      </c>
      <c r="R143" s="7"/>
    </row>
    <row r="144" spans="1:18" x14ac:dyDescent="0.25">
      <c r="A144">
        <v>198511</v>
      </c>
      <c r="B144" s="15">
        <v>9.35E-2</v>
      </c>
      <c r="C144" s="15">
        <v>5.2400000000000002E-2</v>
      </c>
      <c r="D144" s="15">
        <v>1.3100000000000001E-2</v>
      </c>
      <c r="E144" s="15">
        <v>7.0000000000000007E-2</v>
      </c>
      <c r="F144" s="15">
        <v>0.12809999999999999</v>
      </c>
      <c r="G144" s="15">
        <v>6.1799999999999994E-2</v>
      </c>
      <c r="H144" s="15">
        <v>0.10300000000000001</v>
      </c>
      <c r="I144" s="15">
        <v>8.6599999999999996E-2</v>
      </c>
      <c r="J144" s="15">
        <v>6.0100000000000001E-2</v>
      </c>
      <c r="K144" s="15">
        <v>8.8800000000000004E-2</v>
      </c>
      <c r="L144" s="15">
        <v>8.8399999999999992E-2</v>
      </c>
      <c r="M144" s="15">
        <v>7.5600000000000001E-2</v>
      </c>
      <c r="N144" s="15">
        <v>6.3E-2</v>
      </c>
      <c r="O144" s="15">
        <v>4.24E-2</v>
      </c>
      <c r="P144" s="15">
        <v>7.9000000000000001E-2</v>
      </c>
      <c r="Q144" s="15">
        <v>7.6399999999999996E-2</v>
      </c>
      <c r="R144" s="7"/>
    </row>
    <row r="145" spans="1:18" x14ac:dyDescent="0.25">
      <c r="A145">
        <v>198512</v>
      </c>
      <c r="B145" s="15">
        <v>3.85E-2</v>
      </c>
      <c r="C145" s="15">
        <v>-2.7699999999999999E-2</v>
      </c>
      <c r="D145" s="15">
        <v>-2.5099999999999997E-2</v>
      </c>
      <c r="E145" s="15">
        <v>4.0300000000000002E-2</v>
      </c>
      <c r="F145" s="15">
        <v>7.2999999999999995E-2</v>
      </c>
      <c r="G145" s="15">
        <v>6.7299999999999999E-2</v>
      </c>
      <c r="H145" s="15">
        <v>3.9900000000000005E-2</v>
      </c>
      <c r="I145" s="15">
        <v>4.87E-2</v>
      </c>
      <c r="J145" s="15">
        <v>2.7400000000000001E-2</v>
      </c>
      <c r="K145" s="15">
        <v>5.0999999999999997E-2</v>
      </c>
      <c r="L145" s="15">
        <v>7.0400000000000004E-2</v>
      </c>
      <c r="M145" s="15">
        <v>5.2600000000000001E-2</v>
      </c>
      <c r="N145" s="15">
        <v>2.18E-2</v>
      </c>
      <c r="O145" s="15">
        <v>4.8499999999999995E-2</v>
      </c>
      <c r="P145" s="15">
        <v>3.9900000000000005E-2</v>
      </c>
      <c r="Q145" s="15">
        <v>4.9800000000000004E-2</v>
      </c>
      <c r="R145" s="7"/>
    </row>
    <row r="146" spans="1:18" x14ac:dyDescent="0.25">
      <c r="A146">
        <v>198601</v>
      </c>
      <c r="B146" s="15">
        <v>1.15E-2</v>
      </c>
      <c r="C146" s="15">
        <v>2.3099999999999999E-2</v>
      </c>
      <c r="D146" s="15">
        <v>-6.8900000000000003E-2</v>
      </c>
      <c r="E146" s="15">
        <v>4.99E-2</v>
      </c>
      <c r="F146" s="15">
        <v>3.7000000000000002E-3</v>
      </c>
      <c r="G146" s="15">
        <v>1.8000000000000002E-2</v>
      </c>
      <c r="H146" s="15">
        <v>1.2500000000000001E-2</v>
      </c>
      <c r="I146" s="15">
        <v>2.4399999999999998E-2</v>
      </c>
      <c r="J146" s="15">
        <v>2.7300000000000001E-2</v>
      </c>
      <c r="K146" s="15">
        <v>2.3E-2</v>
      </c>
      <c r="L146" s="15">
        <v>2.7000000000000001E-3</v>
      </c>
      <c r="M146" s="15">
        <v>4.5100000000000001E-2</v>
      </c>
      <c r="N146" s="15">
        <v>2.8500000000000001E-2</v>
      </c>
      <c r="O146" s="15">
        <v>3.78E-2</v>
      </c>
      <c r="P146" s="15">
        <v>1.37E-2</v>
      </c>
      <c r="Q146" s="15">
        <v>3.5200000000000002E-2</v>
      </c>
      <c r="R146" s="7"/>
    </row>
    <row r="147" spans="1:18" x14ac:dyDescent="0.25">
      <c r="A147">
        <v>198602</v>
      </c>
      <c r="B147" s="15">
        <v>8.900000000000001E-2</v>
      </c>
      <c r="C147" s="15">
        <v>-3.1600000000000003E-2</v>
      </c>
      <c r="D147" s="15">
        <v>5.5000000000000005E-3</v>
      </c>
      <c r="E147" s="15">
        <v>9.98E-2</v>
      </c>
      <c r="F147" s="15">
        <v>0.1158</v>
      </c>
      <c r="G147" s="15">
        <v>0.12130000000000001</v>
      </c>
      <c r="H147" s="15">
        <v>9.1700000000000004E-2</v>
      </c>
      <c r="I147" s="15">
        <v>0.12130000000000001</v>
      </c>
      <c r="J147" s="15">
        <v>5.2999999999999999E-2</v>
      </c>
      <c r="K147" s="15">
        <v>7.2999999999999995E-2</v>
      </c>
      <c r="L147" s="15">
        <v>5.28E-2</v>
      </c>
      <c r="M147" s="15">
        <v>0.1134</v>
      </c>
      <c r="N147" s="15">
        <v>8.9200000000000002E-2</v>
      </c>
      <c r="O147" s="15">
        <v>6.5700000000000008E-2</v>
      </c>
      <c r="P147" s="15">
        <v>7.4400000000000008E-2</v>
      </c>
      <c r="Q147" s="15">
        <v>8.6699999999999999E-2</v>
      </c>
      <c r="R147" s="7"/>
    </row>
    <row r="148" spans="1:18" x14ac:dyDescent="0.25">
      <c r="A148">
        <v>198603</v>
      </c>
      <c r="B148" s="15">
        <v>8.7899999999999992E-2</v>
      </c>
      <c r="C148" s="15">
        <v>2.3700000000000002E-2</v>
      </c>
      <c r="D148" s="15">
        <v>8.3000000000000001E-3</v>
      </c>
      <c r="E148" s="15">
        <v>7.22E-2</v>
      </c>
      <c r="F148" s="15">
        <v>4.8099999999999997E-2</v>
      </c>
      <c r="G148" s="15">
        <v>6.3600000000000004E-2</v>
      </c>
      <c r="H148" s="15">
        <v>0.11470000000000001</v>
      </c>
      <c r="I148" s="15">
        <v>0.1084</v>
      </c>
      <c r="J148" s="15">
        <v>3.9399999999999998E-2</v>
      </c>
      <c r="K148" s="15">
        <v>1.77E-2</v>
      </c>
      <c r="L148" s="15">
        <v>8.6999999999999994E-3</v>
      </c>
      <c r="M148" s="15">
        <v>0.11349999999999999</v>
      </c>
      <c r="N148" s="15">
        <v>4.9800000000000004E-2</v>
      </c>
      <c r="O148" s="15">
        <v>3.9599999999999996E-2</v>
      </c>
      <c r="P148" s="15">
        <v>8.8300000000000003E-2</v>
      </c>
      <c r="Q148" s="15">
        <v>5.8700000000000002E-2</v>
      </c>
      <c r="R148" s="7"/>
    </row>
    <row r="149" spans="1:18" x14ac:dyDescent="0.25">
      <c r="A149">
        <v>198604</v>
      </c>
      <c r="B149" s="15">
        <v>5.4000000000000003E-3</v>
      </c>
      <c r="C149" s="15">
        <v>-5.0999999999999997E-2</v>
      </c>
      <c r="D149" s="15">
        <v>6.0999999999999995E-3</v>
      </c>
      <c r="E149" s="15">
        <v>-1.04E-2</v>
      </c>
      <c r="F149" s="15">
        <v>-1.4199999999999999E-2</v>
      </c>
      <c r="G149" s="15">
        <v>2.18E-2</v>
      </c>
      <c r="H149" s="15">
        <v>3.0000000000000001E-3</v>
      </c>
      <c r="I149" s="15">
        <v>-1.89E-2</v>
      </c>
      <c r="J149" s="15">
        <v>-5.4600000000000003E-2</v>
      </c>
      <c r="K149" s="15">
        <v>-1.3500000000000002E-2</v>
      </c>
      <c r="L149" s="15">
        <v>2.52E-2</v>
      </c>
      <c r="M149" s="15">
        <v>-6.7199999999999996E-2</v>
      </c>
      <c r="N149" s="15">
        <v>-3.2000000000000001E-2</v>
      </c>
      <c r="O149" s="15">
        <v>-3.9699999999999999E-2</v>
      </c>
      <c r="P149" s="15">
        <v>1.1000000000000001E-3</v>
      </c>
      <c r="Q149" s="15">
        <v>-3.2899999999999999E-2</v>
      </c>
      <c r="R149" s="7"/>
    </row>
    <row r="150" spans="1:18" x14ac:dyDescent="0.25">
      <c r="A150">
        <v>198605</v>
      </c>
      <c r="B150" s="15">
        <v>7.8600000000000003E-2</v>
      </c>
      <c r="C150" s="15">
        <v>3.1099999999999999E-2</v>
      </c>
      <c r="D150" s="15">
        <v>7.4200000000000002E-2</v>
      </c>
      <c r="E150" s="15">
        <v>7.7800000000000008E-2</v>
      </c>
      <c r="F150" s="15">
        <v>4.3200000000000002E-2</v>
      </c>
      <c r="G150" s="15">
        <v>5.8200000000000002E-2</v>
      </c>
      <c r="H150" s="15">
        <v>8.5199999999999998E-2</v>
      </c>
      <c r="I150" s="15">
        <v>5.2000000000000005E-2</v>
      </c>
      <c r="J150" s="15">
        <v>1.6200000000000003E-2</v>
      </c>
      <c r="K150" s="15">
        <v>3.6200000000000003E-2</v>
      </c>
      <c r="L150" s="15">
        <v>7.9000000000000008E-3</v>
      </c>
      <c r="M150" s="15">
        <v>4.1399999999999999E-2</v>
      </c>
      <c r="N150" s="15">
        <v>1.6299999999999999E-2</v>
      </c>
      <c r="O150" s="15">
        <v>3.6299999999999999E-2</v>
      </c>
      <c r="P150" s="15">
        <v>0.1114</v>
      </c>
      <c r="Q150" s="15">
        <v>0.05</v>
      </c>
      <c r="R150" s="7"/>
    </row>
    <row r="151" spans="1:18" x14ac:dyDescent="0.25">
      <c r="A151">
        <v>198606</v>
      </c>
      <c r="B151" s="15">
        <v>6.1600000000000002E-2</v>
      </c>
      <c r="C151" s="15">
        <v>-3.7499999999999999E-2</v>
      </c>
      <c r="D151" s="15">
        <v>-1.9E-2</v>
      </c>
      <c r="E151" s="15">
        <v>4.4999999999999998E-2</v>
      </c>
      <c r="F151" s="15">
        <v>-6.0000000000000001E-3</v>
      </c>
      <c r="G151" s="15">
        <v>6.6E-3</v>
      </c>
      <c r="H151" s="15">
        <v>7.2000000000000008E-2</v>
      </c>
      <c r="I151" s="15">
        <v>-4.7999999999999996E-3</v>
      </c>
      <c r="J151" s="15">
        <v>-3.4799999999999998E-2</v>
      </c>
      <c r="K151" s="15">
        <v>-2.4900000000000002E-2</v>
      </c>
      <c r="L151" s="15">
        <v>-4.53E-2</v>
      </c>
      <c r="M151" s="15">
        <v>-3.0999999999999999E-3</v>
      </c>
      <c r="N151" s="15">
        <v>-3.3E-3</v>
      </c>
      <c r="O151" s="15">
        <v>5.04E-2</v>
      </c>
      <c r="P151" s="15">
        <v>4.5499999999999999E-2</v>
      </c>
      <c r="Q151" s="15">
        <v>1.9599999999999999E-2</v>
      </c>
      <c r="R151" s="7"/>
    </row>
    <row r="152" spans="1:18" x14ac:dyDescent="0.25">
      <c r="A152">
        <v>198607</v>
      </c>
      <c r="B152" s="15">
        <v>-4.8399999999999999E-2</v>
      </c>
      <c r="C152" s="15">
        <v>-2.3599999999999999E-2</v>
      </c>
      <c r="D152" s="15">
        <v>-5.2300000000000006E-2</v>
      </c>
      <c r="E152" s="15">
        <v>-8.5999999999999993E-2</v>
      </c>
      <c r="F152" s="15">
        <v>-8.6599999999999996E-2</v>
      </c>
      <c r="G152" s="15">
        <v>-7.3300000000000004E-2</v>
      </c>
      <c r="H152" s="15">
        <v>-4.41E-2</v>
      </c>
      <c r="I152" s="15">
        <v>-9.2100000000000015E-2</v>
      </c>
      <c r="J152" s="15">
        <v>-0.16420000000000001</v>
      </c>
      <c r="K152" s="15">
        <v>-7.9299999999999995E-2</v>
      </c>
      <c r="L152" s="15">
        <v>-8.0199999999999994E-2</v>
      </c>
      <c r="M152" s="15">
        <v>-8.72E-2</v>
      </c>
      <c r="N152" s="15">
        <v>-9.0500000000000011E-2</v>
      </c>
      <c r="O152" s="15">
        <v>5.1500000000000004E-2</v>
      </c>
      <c r="P152" s="15">
        <v>-9.5100000000000004E-2</v>
      </c>
      <c r="Q152" s="15">
        <v>-5.4900000000000004E-2</v>
      </c>
      <c r="R152" s="7"/>
    </row>
    <row r="153" spans="1:18" x14ac:dyDescent="0.25">
      <c r="A153">
        <v>198608</v>
      </c>
      <c r="B153" s="15">
        <v>1.8200000000000001E-2</v>
      </c>
      <c r="C153" s="15">
        <v>0.1462</v>
      </c>
      <c r="D153" s="15">
        <v>0.16899999999999998</v>
      </c>
      <c r="E153" s="15">
        <v>2.58E-2</v>
      </c>
      <c r="F153" s="15">
        <v>6.0700000000000004E-2</v>
      </c>
      <c r="G153" s="15">
        <v>6.1100000000000002E-2</v>
      </c>
      <c r="H153" s="15">
        <v>3.1699999999999999E-2</v>
      </c>
      <c r="I153" s="15">
        <v>7.5800000000000006E-2</v>
      </c>
      <c r="J153" s="15">
        <v>9.8400000000000001E-2</v>
      </c>
      <c r="K153" s="15">
        <v>6.1600000000000002E-2</v>
      </c>
      <c r="L153" s="15">
        <v>7.4900000000000008E-2</v>
      </c>
      <c r="M153" s="15">
        <v>6.9800000000000001E-2</v>
      </c>
      <c r="N153" s="15">
        <v>5.8200000000000002E-2</v>
      </c>
      <c r="O153" s="15">
        <v>7.9000000000000001E-2</v>
      </c>
      <c r="P153" s="15">
        <v>1.2199999999999999E-2</v>
      </c>
      <c r="Q153" s="15">
        <v>7.1399999999999991E-2</v>
      </c>
      <c r="R153" s="7"/>
    </row>
    <row r="154" spans="1:18" x14ac:dyDescent="0.25">
      <c r="A154">
        <v>198609</v>
      </c>
      <c r="B154" s="15">
        <v>-0.1137</v>
      </c>
      <c r="C154" s="15">
        <v>2.3199999999999998E-2</v>
      </c>
      <c r="D154" s="15">
        <v>-1.01E-2</v>
      </c>
      <c r="E154" s="15">
        <v>-8.7400000000000005E-2</v>
      </c>
      <c r="F154" s="15">
        <v>-8.7400000000000005E-2</v>
      </c>
      <c r="G154" s="15">
        <v>-4.9400000000000006E-2</v>
      </c>
      <c r="H154" s="15">
        <v>-0.12890000000000001</v>
      </c>
      <c r="I154" s="15">
        <v>-6.9900000000000004E-2</v>
      </c>
      <c r="J154" s="15">
        <v>4.8300000000000003E-2</v>
      </c>
      <c r="K154" s="15">
        <v>-3.7999999999999999E-2</v>
      </c>
      <c r="L154" s="15">
        <v>-6.93E-2</v>
      </c>
      <c r="M154" s="15">
        <v>-7.8600000000000003E-2</v>
      </c>
      <c r="N154" s="15">
        <v>-2.5699999999999997E-2</v>
      </c>
      <c r="O154" s="15">
        <v>-9.0899999999999995E-2</v>
      </c>
      <c r="P154" s="15">
        <v>-8.5999999999999993E-2</v>
      </c>
      <c r="Q154" s="15">
        <v>-0.10349999999999999</v>
      </c>
      <c r="R154" s="7"/>
    </row>
    <row r="155" spans="1:18" x14ac:dyDescent="0.25">
      <c r="A155">
        <v>198610</v>
      </c>
      <c r="B155" s="15">
        <v>9.9199999999999997E-2</v>
      </c>
      <c r="C155" s="15">
        <v>-2.5000000000000001E-3</v>
      </c>
      <c r="D155" s="15">
        <v>1.8000000000000002E-2</v>
      </c>
      <c r="E155" s="15">
        <v>7.3399999999999993E-2</v>
      </c>
      <c r="F155" s="15">
        <v>7.3399999999999993E-2</v>
      </c>
      <c r="G155" s="15">
        <v>8.1699999999999995E-2</v>
      </c>
      <c r="H155" s="15">
        <v>8.9800000000000005E-2</v>
      </c>
      <c r="I155" s="15">
        <v>6.7500000000000004E-2</v>
      </c>
      <c r="J155" s="15">
        <v>3.78E-2</v>
      </c>
      <c r="K155" s="15">
        <v>3.5400000000000001E-2</v>
      </c>
      <c r="L155" s="15">
        <v>1.9E-3</v>
      </c>
      <c r="M155" s="15">
        <v>6.6900000000000001E-2</v>
      </c>
      <c r="N155" s="15">
        <v>3.8100000000000002E-2</v>
      </c>
      <c r="O155" s="15">
        <v>5.2499999999999998E-2</v>
      </c>
      <c r="P155" s="15">
        <v>7.9199999999999993E-2</v>
      </c>
      <c r="Q155" s="15">
        <v>3.4300000000000004E-2</v>
      </c>
      <c r="R155" s="7"/>
    </row>
    <row r="156" spans="1:18" x14ac:dyDescent="0.25">
      <c r="A156">
        <v>198611</v>
      </c>
      <c r="B156" s="15">
        <v>3.7000000000000002E-3</v>
      </c>
      <c r="C156" s="15">
        <v>1.5100000000000001E-2</v>
      </c>
      <c r="D156" s="15">
        <v>3.5499999999999997E-2</v>
      </c>
      <c r="E156" s="15">
        <v>3.1600000000000003E-2</v>
      </c>
      <c r="F156" s="15">
        <v>7.2599999999999998E-2</v>
      </c>
      <c r="G156" s="15">
        <v>4.0300000000000002E-2</v>
      </c>
      <c r="H156" s="15">
        <v>2.2799999999999997E-2</v>
      </c>
      <c r="I156" s="15">
        <v>2.6000000000000002E-2</v>
      </c>
      <c r="J156" s="15">
        <v>-7.4099999999999999E-2</v>
      </c>
      <c r="K156" s="15">
        <v>1.26E-2</v>
      </c>
      <c r="L156" s="15">
        <v>3.78E-2</v>
      </c>
      <c r="M156" s="15">
        <v>2.7999999999999997E-2</v>
      </c>
      <c r="N156" s="15">
        <v>1.1200000000000002E-2</v>
      </c>
      <c r="O156" s="15">
        <v>5.5000000000000005E-3</v>
      </c>
      <c r="P156" s="15">
        <v>1.9299999999999998E-2</v>
      </c>
      <c r="Q156" s="15">
        <v>-8.6E-3</v>
      </c>
      <c r="R156" s="7"/>
    </row>
    <row r="157" spans="1:18" x14ac:dyDescent="0.25">
      <c r="A157">
        <v>198612</v>
      </c>
      <c r="B157" s="15">
        <v>-2.64E-2</v>
      </c>
      <c r="C157" s="15">
        <v>-2.4900000000000002E-2</v>
      </c>
      <c r="D157" s="15">
        <v>-6.8999999999999999E-3</v>
      </c>
      <c r="E157" s="15">
        <v>-4.53E-2</v>
      </c>
      <c r="F157" s="15">
        <v>2.5999999999999999E-3</v>
      </c>
      <c r="G157" s="15">
        <v>-3.85E-2</v>
      </c>
      <c r="H157" s="15">
        <v>-1.8E-3</v>
      </c>
      <c r="I157" s="15">
        <v>-2.8900000000000002E-2</v>
      </c>
      <c r="J157" s="15">
        <v>-2.4199999999999999E-2</v>
      </c>
      <c r="K157" s="15">
        <v>-5.3399999999999996E-2</v>
      </c>
      <c r="L157" s="15">
        <v>-3.2199999999999999E-2</v>
      </c>
      <c r="M157" s="15">
        <v>-5.0799999999999998E-2</v>
      </c>
      <c r="N157" s="15">
        <v>-4.7699999999999992E-2</v>
      </c>
      <c r="O157" s="15">
        <v>-3.2899999999999999E-2</v>
      </c>
      <c r="P157" s="15">
        <v>-6.9099999999999995E-2</v>
      </c>
      <c r="Q157" s="15">
        <v>-2.3399999999999997E-2</v>
      </c>
      <c r="R157" s="7"/>
    </row>
    <row r="158" spans="1:18" x14ac:dyDescent="0.25">
      <c r="A158">
        <v>198701</v>
      </c>
      <c r="B158" s="15">
        <v>0.1361</v>
      </c>
      <c r="C158" s="15">
        <v>0.13900000000000001</v>
      </c>
      <c r="D158" s="15">
        <v>0.1472</v>
      </c>
      <c r="E158" s="15">
        <v>0.1056</v>
      </c>
      <c r="F158" s="15">
        <v>0.15240000000000001</v>
      </c>
      <c r="G158" s="15">
        <v>0.15130000000000002</v>
      </c>
      <c r="H158" s="15">
        <v>0.1477</v>
      </c>
      <c r="I158" s="15">
        <v>0.16879999999999998</v>
      </c>
      <c r="J158" s="15">
        <v>0.13039999999999999</v>
      </c>
      <c r="K158" s="15">
        <v>0.11699999999999999</v>
      </c>
      <c r="L158" s="15">
        <v>0.15890000000000001</v>
      </c>
      <c r="M158" s="15">
        <v>0.19760000000000003</v>
      </c>
      <c r="N158" s="15">
        <v>6.0899999999999996E-2</v>
      </c>
      <c r="O158" s="15">
        <v>9.3000000000000013E-2</v>
      </c>
      <c r="P158" s="15">
        <v>0.10619999999999999</v>
      </c>
      <c r="Q158" s="15">
        <v>0.1043</v>
      </c>
      <c r="R158" s="7"/>
    </row>
    <row r="159" spans="1:18" x14ac:dyDescent="0.25">
      <c r="A159">
        <v>198702</v>
      </c>
      <c r="B159" s="15">
        <v>4.41E-2</v>
      </c>
      <c r="C159" s="15">
        <v>0.1234</v>
      </c>
      <c r="D159" s="15">
        <v>-1.4800000000000001E-2</v>
      </c>
      <c r="E159" s="15">
        <v>0.1125</v>
      </c>
      <c r="F159" s="15">
        <v>4.4299999999999999E-2</v>
      </c>
      <c r="G159" s="15">
        <v>5.4100000000000002E-2</v>
      </c>
      <c r="H159" s="15">
        <v>7.6200000000000004E-2</v>
      </c>
      <c r="I159" s="15">
        <v>3.8300000000000001E-2</v>
      </c>
      <c r="J159" s="15">
        <v>7.3200000000000001E-2</v>
      </c>
      <c r="K159" s="15">
        <v>8.0600000000000005E-2</v>
      </c>
      <c r="L159" s="15">
        <v>8.8499999999999995E-2</v>
      </c>
      <c r="M159" s="15">
        <v>2.5499999999999998E-2</v>
      </c>
      <c r="N159" s="15">
        <v>5.9200000000000003E-2</v>
      </c>
      <c r="O159" s="15">
        <v>-2.1400000000000002E-2</v>
      </c>
      <c r="P159" s="15">
        <v>0.1144</v>
      </c>
      <c r="Q159" s="15">
        <v>3.9E-2</v>
      </c>
      <c r="R159" s="7"/>
    </row>
    <row r="160" spans="1:18" x14ac:dyDescent="0.25">
      <c r="A160">
        <v>198703</v>
      </c>
      <c r="B160" s="15">
        <v>2.3E-2</v>
      </c>
      <c r="C160" s="15">
        <v>0.15539999999999998</v>
      </c>
      <c r="D160" s="15">
        <v>0.1207</v>
      </c>
      <c r="E160" s="15">
        <v>1.8100000000000002E-2</v>
      </c>
      <c r="F160" s="15">
        <v>1.5900000000000001E-2</v>
      </c>
      <c r="G160" s="15">
        <v>5.4800000000000001E-2</v>
      </c>
      <c r="H160" s="15">
        <v>4.0999999999999995E-3</v>
      </c>
      <c r="I160" s="15">
        <v>4.9299999999999997E-2</v>
      </c>
      <c r="J160" s="15">
        <v>8.4700000000000011E-2</v>
      </c>
      <c r="K160" s="15">
        <v>-9.5999999999999992E-3</v>
      </c>
      <c r="L160" s="15">
        <v>2.6499999999999999E-2</v>
      </c>
      <c r="M160" s="15">
        <v>6.0400000000000002E-2</v>
      </c>
      <c r="N160" s="15">
        <v>-1.7399999999999999E-2</v>
      </c>
      <c r="O160" s="15">
        <v>-1.67E-2</v>
      </c>
      <c r="P160" s="15">
        <v>2.3399999999999997E-2</v>
      </c>
      <c r="Q160" s="15">
        <v>-1.5100000000000001E-2</v>
      </c>
      <c r="R160" s="7"/>
    </row>
    <row r="161" spans="1:18" x14ac:dyDescent="0.25">
      <c r="A161">
        <v>198704</v>
      </c>
      <c r="B161" s="15">
        <v>-4.4900000000000002E-2</v>
      </c>
      <c r="C161" s="15">
        <v>2.9300000000000003E-2</v>
      </c>
      <c r="D161" s="15">
        <v>5.6999999999999993E-3</v>
      </c>
      <c r="E161" s="15">
        <v>-1.7100000000000001E-2</v>
      </c>
      <c r="F161" s="15">
        <v>-8.6999999999999994E-3</v>
      </c>
      <c r="G161" s="15">
        <v>1.1399999999999999E-2</v>
      </c>
      <c r="H161" s="15">
        <v>-2.6600000000000002E-2</v>
      </c>
      <c r="I161" s="15">
        <v>-4.0999999999999995E-2</v>
      </c>
      <c r="J161" s="15">
        <v>3.1699999999999999E-2</v>
      </c>
      <c r="K161" s="15">
        <v>-6.0000000000000001E-3</v>
      </c>
      <c r="L161" s="15">
        <v>3.9E-2</v>
      </c>
      <c r="M161" s="15">
        <v>7.3599999999999999E-2</v>
      </c>
      <c r="N161" s="15">
        <v>-5.5500000000000001E-2</v>
      </c>
      <c r="O161" s="15">
        <v>-4.3299999999999998E-2</v>
      </c>
      <c r="P161" s="15">
        <v>-2.0400000000000001E-2</v>
      </c>
      <c r="Q161" s="15">
        <v>-4.9500000000000002E-2</v>
      </c>
      <c r="R161" s="7"/>
    </row>
    <row r="162" spans="1:18" x14ac:dyDescent="0.25">
      <c r="A162">
        <v>198705</v>
      </c>
      <c r="B162" s="15">
        <v>2.1700000000000001E-2</v>
      </c>
      <c r="C162" s="15">
        <v>-3.0800000000000001E-2</v>
      </c>
      <c r="D162" s="15">
        <v>2.7099999999999999E-2</v>
      </c>
      <c r="E162" s="15">
        <v>1.43E-2</v>
      </c>
      <c r="F162" s="15">
        <v>8.1000000000000013E-3</v>
      </c>
      <c r="G162" s="15">
        <v>5.6999999999999993E-3</v>
      </c>
      <c r="H162" s="15">
        <v>1.47E-2</v>
      </c>
      <c r="I162" s="15">
        <v>-1.8500000000000003E-2</v>
      </c>
      <c r="J162" s="15">
        <v>4.3700000000000003E-2</v>
      </c>
      <c r="K162" s="15">
        <v>-5.9999999999999995E-4</v>
      </c>
      <c r="L162" s="15">
        <v>2.8999999999999998E-3</v>
      </c>
      <c r="M162" s="15">
        <v>-2.8900000000000002E-2</v>
      </c>
      <c r="N162" s="15">
        <v>4.0500000000000001E-2</v>
      </c>
      <c r="O162" s="15">
        <v>-1.84E-2</v>
      </c>
      <c r="P162" s="15">
        <v>2.2000000000000001E-3</v>
      </c>
      <c r="Q162" s="15">
        <v>-7.7000000000000002E-3</v>
      </c>
      <c r="R162" s="7"/>
    </row>
    <row r="163" spans="1:18" x14ac:dyDescent="0.25">
      <c r="A163">
        <v>198706</v>
      </c>
      <c r="B163" s="15">
        <v>6.1200000000000004E-2</v>
      </c>
      <c r="C163" s="15">
        <v>-1.3999999999999999E-2</v>
      </c>
      <c r="D163" s="15">
        <v>5.9800000000000006E-2</v>
      </c>
      <c r="E163" s="15">
        <v>6.480000000000001E-2</v>
      </c>
      <c r="F163" s="15">
        <v>4.0399999999999998E-2</v>
      </c>
      <c r="G163" s="15">
        <v>4.8600000000000004E-2</v>
      </c>
      <c r="H163" s="15">
        <v>4.9200000000000001E-2</v>
      </c>
      <c r="I163" s="15">
        <v>6.4100000000000004E-2</v>
      </c>
      <c r="J163" s="15">
        <v>3.6499999999999998E-2</v>
      </c>
      <c r="K163" s="15">
        <v>3.27E-2</v>
      </c>
      <c r="L163" s="15">
        <v>8.8999999999999999E-3</v>
      </c>
      <c r="M163" s="15">
        <v>2.29E-2</v>
      </c>
      <c r="N163" s="15">
        <v>5.3200000000000004E-2</v>
      </c>
      <c r="O163" s="15">
        <v>3.4000000000000002E-2</v>
      </c>
      <c r="P163" s="15">
        <v>6.54E-2</v>
      </c>
      <c r="Q163" s="15">
        <v>4.9699999999999994E-2</v>
      </c>
      <c r="R163" s="7"/>
    </row>
    <row r="164" spans="1:18" x14ac:dyDescent="0.25">
      <c r="A164">
        <v>198707</v>
      </c>
      <c r="B164" s="15">
        <v>3.61E-2</v>
      </c>
      <c r="C164" s="15">
        <v>0.16539999999999999</v>
      </c>
      <c r="D164" s="15">
        <v>2.6800000000000001E-2</v>
      </c>
      <c r="E164" s="15">
        <v>4.8600000000000004E-2</v>
      </c>
      <c r="F164" s="15">
        <v>6.2600000000000003E-2</v>
      </c>
      <c r="G164" s="15">
        <v>6.0499999999999998E-2</v>
      </c>
      <c r="H164" s="15">
        <v>5.8600000000000006E-2</v>
      </c>
      <c r="I164" s="15">
        <v>5.6500000000000002E-2</v>
      </c>
      <c r="J164" s="15">
        <v>0.19440000000000002</v>
      </c>
      <c r="K164" s="15">
        <v>7.1599999999999997E-2</v>
      </c>
      <c r="L164" s="15">
        <v>0.03</v>
      </c>
      <c r="M164" s="15">
        <v>6.2100000000000002E-2</v>
      </c>
      <c r="N164" s="15">
        <v>6.7299999999999999E-2</v>
      </c>
      <c r="O164" s="15">
        <v>-1.67E-2</v>
      </c>
      <c r="P164" s="15">
        <v>6.2100000000000002E-2</v>
      </c>
      <c r="Q164" s="15">
        <v>1.83E-2</v>
      </c>
      <c r="R164" s="7"/>
    </row>
    <row r="165" spans="1:18" x14ac:dyDescent="0.25">
      <c r="A165">
        <v>198708</v>
      </c>
      <c r="B165" s="15">
        <v>2.8300000000000002E-2</v>
      </c>
      <c r="C165" s="15">
        <v>-2.7900000000000001E-2</v>
      </c>
      <c r="D165" s="15">
        <v>2.3300000000000001E-2</v>
      </c>
      <c r="E165" s="15">
        <v>2.0999999999999999E-3</v>
      </c>
      <c r="F165" s="15">
        <v>6.2400000000000004E-2</v>
      </c>
      <c r="G165" s="15">
        <v>2.63E-2</v>
      </c>
      <c r="H165" s="15">
        <v>4.8600000000000004E-2</v>
      </c>
      <c r="I165" s="15">
        <v>2.1299999999999999E-2</v>
      </c>
      <c r="J165" s="15">
        <v>-4.3700000000000003E-2</v>
      </c>
      <c r="K165" s="15">
        <v>1.8200000000000001E-2</v>
      </c>
      <c r="L165" s="15">
        <v>6.3799999999999996E-2</v>
      </c>
      <c r="M165" s="15">
        <v>5.2000000000000005E-2</v>
      </c>
      <c r="N165" s="15">
        <v>5.6000000000000008E-3</v>
      </c>
      <c r="O165" s="15">
        <v>3.7000000000000005E-2</v>
      </c>
      <c r="P165" s="15">
        <v>3.6000000000000004E-2</v>
      </c>
      <c r="Q165" s="15">
        <v>5.8799999999999998E-2</v>
      </c>
      <c r="R165" s="7"/>
    </row>
    <row r="166" spans="1:18" x14ac:dyDescent="0.25">
      <c r="A166">
        <v>198709</v>
      </c>
      <c r="B166" s="15">
        <v>-2.6499999999999999E-2</v>
      </c>
      <c r="C166" s="15">
        <v>3.9900000000000005E-2</v>
      </c>
      <c r="D166" s="15">
        <v>-3.78E-2</v>
      </c>
      <c r="E166" s="15">
        <v>-6.5500000000000003E-2</v>
      </c>
      <c r="F166" s="15">
        <v>-0.01</v>
      </c>
      <c r="G166" s="15">
        <v>-4.3E-3</v>
      </c>
      <c r="H166" s="15">
        <v>-1.67E-2</v>
      </c>
      <c r="I166" s="15">
        <v>-1.7500000000000002E-2</v>
      </c>
      <c r="J166" s="15">
        <v>4.0999999999999995E-2</v>
      </c>
      <c r="K166" s="15">
        <v>-1.32E-2</v>
      </c>
      <c r="L166" s="15">
        <v>-2.2700000000000001E-2</v>
      </c>
      <c r="M166" s="15">
        <v>-7.51E-2</v>
      </c>
      <c r="N166" s="15">
        <v>-1.9900000000000001E-2</v>
      </c>
      <c r="O166" s="15">
        <v>-2.3099999999999999E-2</v>
      </c>
      <c r="P166" s="15">
        <v>-6.9099999999999995E-2</v>
      </c>
      <c r="Q166" s="15">
        <v>-2.3599999999999999E-2</v>
      </c>
      <c r="R166" s="7"/>
    </row>
    <row r="167" spans="1:18" x14ac:dyDescent="0.25">
      <c r="A167">
        <v>198710</v>
      </c>
      <c r="B167" s="15">
        <v>-0.182</v>
      </c>
      <c r="C167" s="15">
        <v>-0.32049999999999995</v>
      </c>
      <c r="D167" s="15">
        <v>-0.1827</v>
      </c>
      <c r="E167" s="15">
        <v>-0.31440000000000001</v>
      </c>
      <c r="F167" s="15">
        <v>-0.25280000000000002</v>
      </c>
      <c r="G167" s="15">
        <v>-0.27910000000000001</v>
      </c>
      <c r="H167" s="15">
        <v>-0.191</v>
      </c>
      <c r="I167" s="15">
        <v>-0.29239999999999999</v>
      </c>
      <c r="J167" s="15">
        <v>-0.30599999999999999</v>
      </c>
      <c r="K167" s="15">
        <v>-0.28550000000000003</v>
      </c>
      <c r="L167" s="15">
        <v>-0.27110000000000001</v>
      </c>
      <c r="M167" s="15">
        <v>-0.2712</v>
      </c>
      <c r="N167" s="15">
        <v>-0.29059999999999997</v>
      </c>
      <c r="O167" s="15">
        <v>-6.9199999999999998E-2</v>
      </c>
      <c r="P167" s="15">
        <v>-0.27940000000000004</v>
      </c>
      <c r="Q167" s="15">
        <v>-0.2127</v>
      </c>
      <c r="R167" s="7"/>
    </row>
    <row r="168" spans="1:18" x14ac:dyDescent="0.25">
      <c r="A168">
        <v>198711</v>
      </c>
      <c r="B168" s="15">
        <v>-7.690000000000001E-2</v>
      </c>
      <c r="C168" s="15">
        <v>5.8499999999999996E-2</v>
      </c>
      <c r="D168" s="15">
        <v>-0.1096</v>
      </c>
      <c r="E168" s="15">
        <v>-0.10529999999999999</v>
      </c>
      <c r="F168" s="15">
        <v>-0.1096</v>
      </c>
      <c r="G168" s="15">
        <v>-5.4199999999999998E-2</v>
      </c>
      <c r="H168" s="15">
        <v>-9.4600000000000004E-2</v>
      </c>
      <c r="I168" s="15">
        <v>-4.8499999999999995E-2</v>
      </c>
      <c r="J168" s="15">
        <v>2.5699999999999997E-2</v>
      </c>
      <c r="K168" s="15">
        <v>-6.5099999999999991E-2</v>
      </c>
      <c r="L168" s="15">
        <v>-8.2799999999999999E-2</v>
      </c>
      <c r="M168" s="15">
        <v>-6.6900000000000001E-2</v>
      </c>
      <c r="N168" s="15">
        <v>-8.1900000000000001E-2</v>
      </c>
      <c r="O168" s="15">
        <v>-2.5099999999999997E-2</v>
      </c>
      <c r="P168" s="15">
        <v>-9.3100000000000002E-2</v>
      </c>
      <c r="Q168" s="15">
        <v>-7.1199999999999999E-2</v>
      </c>
      <c r="R168" s="7"/>
    </row>
    <row r="169" spans="1:18" x14ac:dyDescent="0.25">
      <c r="A169">
        <v>198712</v>
      </c>
      <c r="B169" s="15">
        <v>7.7800000000000008E-2</v>
      </c>
      <c r="C169" s="15">
        <v>6.0400000000000002E-2</v>
      </c>
      <c r="D169" s="15">
        <v>6.1600000000000002E-2</v>
      </c>
      <c r="E169" s="15">
        <v>9.06E-2</v>
      </c>
      <c r="F169" s="15">
        <v>8.5699999999999998E-2</v>
      </c>
      <c r="G169" s="15">
        <v>0.14899999999999999</v>
      </c>
      <c r="H169" s="15">
        <v>5.6900000000000006E-2</v>
      </c>
      <c r="I169" s="15">
        <v>8.3900000000000002E-2</v>
      </c>
      <c r="J169" s="15">
        <v>0.1052</v>
      </c>
      <c r="K169" s="15">
        <v>7.5700000000000003E-2</v>
      </c>
      <c r="L169" s="15">
        <v>0.1183</v>
      </c>
      <c r="M169" s="15">
        <v>8.5699999999999998E-2</v>
      </c>
      <c r="N169" s="15">
        <v>7.1199999999999999E-2</v>
      </c>
      <c r="O169" s="15">
        <v>5.5000000000000005E-3</v>
      </c>
      <c r="P169" s="15">
        <v>7.6799999999999993E-2</v>
      </c>
      <c r="Q169" s="15">
        <v>3.6200000000000003E-2</v>
      </c>
      <c r="R169" s="7"/>
    </row>
    <row r="170" spans="1:18" x14ac:dyDescent="0.25">
      <c r="A170">
        <v>198801</v>
      </c>
      <c r="B170" s="15">
        <v>3.0099999999999998E-2</v>
      </c>
      <c r="C170" s="15">
        <v>-7.8700000000000006E-2</v>
      </c>
      <c r="D170" s="15">
        <v>8.9600000000000013E-2</v>
      </c>
      <c r="E170" s="15">
        <v>6.3700000000000007E-2</v>
      </c>
      <c r="F170" s="15">
        <v>-7.4999999999999997E-3</v>
      </c>
      <c r="G170" s="15">
        <v>-2.6499999999999999E-2</v>
      </c>
      <c r="H170" s="15">
        <v>5.5399999999999998E-2</v>
      </c>
      <c r="I170" s="15">
        <v>3.7699999999999997E-2</v>
      </c>
      <c r="J170" s="15">
        <v>-3.4000000000000002E-2</v>
      </c>
      <c r="K170" s="15">
        <v>5.6900000000000006E-2</v>
      </c>
      <c r="L170" s="15">
        <v>-1.9199999999999998E-2</v>
      </c>
      <c r="M170" s="15">
        <v>7.8399999999999997E-2</v>
      </c>
      <c r="N170" s="15">
        <v>8.0600000000000005E-2</v>
      </c>
      <c r="O170" s="15">
        <v>9.7699999999999995E-2</v>
      </c>
      <c r="P170" s="15">
        <v>6.5599999999999992E-2</v>
      </c>
      <c r="Q170" s="15">
        <v>8.9399999999999993E-2</v>
      </c>
      <c r="R170" s="7"/>
    </row>
    <row r="171" spans="1:18" x14ac:dyDescent="0.25">
      <c r="A171">
        <v>198802</v>
      </c>
      <c r="B171" s="15">
        <v>4.6799999999999994E-2</v>
      </c>
      <c r="C171" s="15">
        <v>7.7399999999999997E-2</v>
      </c>
      <c r="D171" s="15">
        <v>0.03</v>
      </c>
      <c r="E171" s="15">
        <v>0.1474</v>
      </c>
      <c r="F171" s="15">
        <v>4.3799999999999999E-2</v>
      </c>
      <c r="G171" s="15">
        <v>8.3800000000000013E-2</v>
      </c>
      <c r="H171" s="15">
        <v>3.8100000000000002E-2</v>
      </c>
      <c r="I171" s="15">
        <v>0.1157</v>
      </c>
      <c r="J171" s="15">
        <v>9.6099999999999991E-2</v>
      </c>
      <c r="K171" s="15">
        <v>8.3599999999999994E-2</v>
      </c>
      <c r="L171" s="15">
        <v>7.8299999999999995E-2</v>
      </c>
      <c r="M171" s="15">
        <v>7.5700000000000003E-2</v>
      </c>
      <c r="N171" s="15">
        <v>6.7699999999999996E-2</v>
      </c>
      <c r="O171" s="15">
        <v>-1.4199999999999999E-2</v>
      </c>
      <c r="P171" s="15">
        <v>0.1084</v>
      </c>
      <c r="Q171" s="15">
        <v>3.0200000000000001E-2</v>
      </c>
      <c r="R171" s="7"/>
    </row>
    <row r="172" spans="1:18" x14ac:dyDescent="0.25">
      <c r="A172">
        <v>198803</v>
      </c>
      <c r="B172" s="15">
        <v>-2.5999999999999999E-3</v>
      </c>
      <c r="C172" s="15">
        <v>8.6599999999999996E-2</v>
      </c>
      <c r="D172" s="15">
        <v>2.0499999999999997E-2</v>
      </c>
      <c r="E172" s="15">
        <v>2.2599999999999999E-2</v>
      </c>
      <c r="F172" s="15">
        <v>-5.4600000000000003E-2</v>
      </c>
      <c r="G172" s="15">
        <v>-1.9599999999999999E-2</v>
      </c>
      <c r="H172" s="15">
        <v>-3.9399999999999998E-2</v>
      </c>
      <c r="I172" s="15">
        <v>1.04E-2</v>
      </c>
      <c r="J172" s="15">
        <v>-3.56E-2</v>
      </c>
      <c r="K172" s="15">
        <v>1.09E-2</v>
      </c>
      <c r="L172" s="15">
        <v>-3.78E-2</v>
      </c>
      <c r="M172" s="15">
        <v>-1.3100000000000001E-2</v>
      </c>
      <c r="N172" s="15">
        <v>1.7299999999999999E-2</v>
      </c>
      <c r="O172" s="15">
        <v>-3.1800000000000002E-2</v>
      </c>
      <c r="P172" s="15">
        <v>-1.66E-2</v>
      </c>
      <c r="Q172" s="15">
        <v>-2.7300000000000001E-2</v>
      </c>
      <c r="R172" s="7"/>
    </row>
    <row r="173" spans="1:18" x14ac:dyDescent="0.25">
      <c r="A173">
        <v>198804</v>
      </c>
      <c r="B173" s="15">
        <v>1.1999999999999999E-3</v>
      </c>
      <c r="C173" s="15">
        <v>1.55E-2</v>
      </c>
      <c r="D173" s="15">
        <v>4.5100000000000001E-2</v>
      </c>
      <c r="E173" s="15">
        <v>-2.5999999999999999E-3</v>
      </c>
      <c r="F173" s="15">
        <v>1.06E-2</v>
      </c>
      <c r="G173" s="15">
        <v>1.7899999999999999E-2</v>
      </c>
      <c r="H173" s="15">
        <v>-1.47E-2</v>
      </c>
      <c r="I173" s="15">
        <v>2.3300000000000001E-2</v>
      </c>
      <c r="J173" s="15">
        <v>5.6799999999999996E-2</v>
      </c>
      <c r="K173" s="15">
        <v>-4.5999999999999999E-3</v>
      </c>
      <c r="L173" s="15">
        <v>2.9100000000000001E-2</v>
      </c>
      <c r="M173" s="15">
        <v>3.9E-2</v>
      </c>
      <c r="N173" s="15">
        <v>-3.7000000000000002E-3</v>
      </c>
      <c r="O173" s="15">
        <v>-2.8999999999999998E-3</v>
      </c>
      <c r="P173" s="15">
        <v>1.9E-2</v>
      </c>
      <c r="Q173" s="15">
        <v>-5.8999999999999999E-3</v>
      </c>
      <c r="R173" s="7"/>
    </row>
    <row r="174" spans="1:18" x14ac:dyDescent="0.25">
      <c r="A174">
        <v>198805</v>
      </c>
      <c r="B174" s="15">
        <v>-1.1000000000000001E-3</v>
      </c>
      <c r="C174" s="15">
        <v>4.8999999999999998E-3</v>
      </c>
      <c r="D174" s="15">
        <v>-4.5999999999999999E-3</v>
      </c>
      <c r="E174" s="15">
        <v>-1.26E-2</v>
      </c>
      <c r="F174" s="15">
        <v>1.78E-2</v>
      </c>
      <c r="G174" s="15">
        <v>-2.1700000000000001E-2</v>
      </c>
      <c r="H174" s="15">
        <v>-6.8000000000000005E-3</v>
      </c>
      <c r="I174" s="15">
        <v>-1.1699999999999999E-2</v>
      </c>
      <c r="J174" s="15">
        <v>-5.5000000000000005E-3</v>
      </c>
      <c r="K174" s="15">
        <v>-5.6000000000000008E-3</v>
      </c>
      <c r="L174" s="15">
        <v>-1.1399999999999999E-2</v>
      </c>
      <c r="M174" s="15">
        <v>1.1000000000000001E-2</v>
      </c>
      <c r="N174" s="15">
        <v>-5.0000000000000001E-4</v>
      </c>
      <c r="O174" s="15">
        <v>3.5799999999999998E-2</v>
      </c>
      <c r="P174" s="15">
        <v>-1.3500000000000002E-2</v>
      </c>
      <c r="Q174" s="15">
        <v>1.9900000000000001E-2</v>
      </c>
      <c r="R174" s="7"/>
    </row>
    <row r="175" spans="1:18" x14ac:dyDescent="0.25">
      <c r="A175">
        <v>198806</v>
      </c>
      <c r="B175" s="15">
        <v>2.2200000000000001E-2</v>
      </c>
      <c r="C175" s="15">
        <v>1.72E-2</v>
      </c>
      <c r="D175" s="15">
        <v>-1.8200000000000001E-2</v>
      </c>
      <c r="E175" s="15">
        <v>6.7699999999999996E-2</v>
      </c>
      <c r="F175" s="15">
        <v>6.7599999999999993E-2</v>
      </c>
      <c r="G175" s="15">
        <v>9.820000000000001E-2</v>
      </c>
      <c r="H175" s="15">
        <v>1.8700000000000001E-2</v>
      </c>
      <c r="I175" s="15">
        <v>9.0200000000000002E-2</v>
      </c>
      <c r="J175" s="15">
        <v>6.4899999999999999E-2</v>
      </c>
      <c r="K175" s="15">
        <v>6.8699999999999997E-2</v>
      </c>
      <c r="L175" s="15">
        <v>8.8000000000000009E-2</v>
      </c>
      <c r="M175" s="15">
        <v>8.6800000000000002E-2</v>
      </c>
      <c r="N175" s="15">
        <v>8.4100000000000008E-2</v>
      </c>
      <c r="O175" s="15">
        <v>3.2199999999999999E-2</v>
      </c>
      <c r="P175" s="15">
        <v>6.3899999999999998E-2</v>
      </c>
      <c r="Q175" s="15">
        <v>5.5500000000000001E-2</v>
      </c>
      <c r="R175" s="7"/>
    </row>
    <row r="176" spans="1:18" x14ac:dyDescent="0.25">
      <c r="A176">
        <v>198807</v>
      </c>
      <c r="B176" s="15">
        <v>1.09E-2</v>
      </c>
      <c r="C176" s="15">
        <v>-1.3100000000000001E-2</v>
      </c>
      <c r="D176" s="15">
        <v>3.56E-2</v>
      </c>
      <c r="E176" s="15">
        <v>5.6999999999999993E-3</v>
      </c>
      <c r="F176" s="15">
        <v>2.2000000000000001E-3</v>
      </c>
      <c r="G176" s="15">
        <v>-4.0999999999999995E-2</v>
      </c>
      <c r="H176" s="15">
        <v>1.72E-2</v>
      </c>
      <c r="I176" s="15">
        <v>-2.7400000000000001E-2</v>
      </c>
      <c r="J176" s="15">
        <v>1.49E-2</v>
      </c>
      <c r="K176" s="15">
        <v>-1.24E-2</v>
      </c>
      <c r="L176" s="15">
        <v>-4.5700000000000005E-2</v>
      </c>
      <c r="M176" s="15">
        <v>-6.9999999999999993E-3</v>
      </c>
      <c r="N176" s="15">
        <v>-1.44E-2</v>
      </c>
      <c r="O176" s="15">
        <v>-2.2000000000000001E-3</v>
      </c>
      <c r="P176" s="15">
        <v>-4.5000000000000005E-3</v>
      </c>
      <c r="Q176" s="15">
        <v>2.2000000000000001E-3</v>
      </c>
      <c r="R176" s="7"/>
    </row>
    <row r="177" spans="1:18" x14ac:dyDescent="0.25">
      <c r="A177">
        <v>198808</v>
      </c>
      <c r="B177" s="15">
        <v>9.0000000000000011E-3</v>
      </c>
      <c r="C177" s="15">
        <v>-4.5100000000000001E-2</v>
      </c>
      <c r="D177" s="15">
        <v>-1.46E-2</v>
      </c>
      <c r="E177" s="15">
        <v>1.26E-2</v>
      </c>
      <c r="F177" s="15">
        <v>-4.4900000000000002E-2</v>
      </c>
      <c r="G177" s="15">
        <v>-4.1299999999999996E-2</v>
      </c>
      <c r="H177" s="15">
        <v>-9.5999999999999992E-3</v>
      </c>
      <c r="I177" s="15">
        <v>-3.5299999999999998E-2</v>
      </c>
      <c r="J177" s="15">
        <v>-4.9800000000000004E-2</v>
      </c>
      <c r="K177" s="15">
        <v>-9.5999999999999992E-3</v>
      </c>
      <c r="L177" s="15">
        <v>-7.6700000000000004E-2</v>
      </c>
      <c r="M177" s="15">
        <v>-6.6299999999999998E-2</v>
      </c>
      <c r="N177" s="15">
        <v>-3.1800000000000002E-2</v>
      </c>
      <c r="O177" s="15">
        <v>-1.1999999999999999E-3</v>
      </c>
      <c r="P177" s="15">
        <v>-2.5499999999999998E-2</v>
      </c>
      <c r="Q177" s="15">
        <v>-4.0000000000000002E-4</v>
      </c>
      <c r="R177" s="7"/>
    </row>
    <row r="178" spans="1:18" x14ac:dyDescent="0.25">
      <c r="A178">
        <v>198809</v>
      </c>
      <c r="B178" s="15">
        <v>6.5000000000000002E-2</v>
      </c>
      <c r="C178" s="15">
        <v>-2.3900000000000001E-2</v>
      </c>
      <c r="D178" s="15">
        <v>-2.3E-2</v>
      </c>
      <c r="E178" s="15">
        <v>1.1899999999999999E-2</v>
      </c>
      <c r="F178" s="15">
        <v>4.1500000000000002E-2</v>
      </c>
      <c r="G178" s="15">
        <v>2.1000000000000001E-2</v>
      </c>
      <c r="H178" s="15">
        <v>4.8600000000000004E-2</v>
      </c>
      <c r="I178" s="15">
        <v>4.1999999999999997E-3</v>
      </c>
      <c r="J178" s="15">
        <v>7.8000000000000005E-3</v>
      </c>
      <c r="K178" s="15">
        <v>4.2800000000000005E-2</v>
      </c>
      <c r="L178" s="15">
        <v>3.1899999999999998E-2</v>
      </c>
      <c r="M178" s="15">
        <v>4.0800000000000003E-2</v>
      </c>
      <c r="N178" s="15">
        <v>6.4299999999999996E-2</v>
      </c>
      <c r="O178" s="15">
        <v>2.6699999999999998E-2</v>
      </c>
      <c r="P178" s="15">
        <v>9.3599999999999989E-2</v>
      </c>
      <c r="Q178" s="15">
        <v>3.9399999999999998E-2</v>
      </c>
      <c r="R178" s="7"/>
    </row>
    <row r="179" spans="1:18" x14ac:dyDescent="0.25">
      <c r="A179">
        <v>198810</v>
      </c>
      <c r="B179" s="15">
        <v>0.12470000000000001</v>
      </c>
      <c r="C179" s="15">
        <v>-1.1000000000000001E-3</v>
      </c>
      <c r="D179" s="15">
        <v>1.84E-2</v>
      </c>
      <c r="E179" s="15">
        <v>1.1699999999999999E-2</v>
      </c>
      <c r="F179" s="15">
        <v>2.4500000000000001E-2</v>
      </c>
      <c r="G179" s="15">
        <v>1.1299999999999999E-2</v>
      </c>
      <c r="H179" s="15">
        <v>1.4199999999999999E-2</v>
      </c>
      <c r="I179" s="15">
        <v>-2.9999999999999997E-4</v>
      </c>
      <c r="J179" s="15">
        <v>4.3099999999999999E-2</v>
      </c>
      <c r="K179" s="15">
        <v>-8.0000000000000004E-4</v>
      </c>
      <c r="L179" s="15">
        <v>1E-3</v>
      </c>
      <c r="M179" s="15">
        <v>4.9699999999999994E-2</v>
      </c>
      <c r="N179" s="15">
        <v>1.44E-2</v>
      </c>
      <c r="O179" s="15">
        <v>2.52E-2</v>
      </c>
      <c r="P179" s="15">
        <v>1.9299999999999998E-2</v>
      </c>
      <c r="Q179" s="15">
        <v>-1.9E-3</v>
      </c>
      <c r="R179" s="7"/>
    </row>
    <row r="180" spans="1:18" x14ac:dyDescent="0.25">
      <c r="A180">
        <v>198811</v>
      </c>
      <c r="B180" s="15">
        <v>-5.6000000000000008E-3</v>
      </c>
      <c r="C180" s="15">
        <v>7.1999999999999998E-3</v>
      </c>
      <c r="D180" s="15">
        <v>-3.2000000000000002E-3</v>
      </c>
      <c r="E180" s="15">
        <v>-5.28E-2</v>
      </c>
      <c r="F180" s="15">
        <v>-5.0099999999999999E-2</v>
      </c>
      <c r="G180" s="15">
        <v>-2.2099999999999998E-2</v>
      </c>
      <c r="H180" s="15">
        <v>-1.1000000000000001E-2</v>
      </c>
      <c r="I180" s="15">
        <v>-3.1699999999999999E-2</v>
      </c>
      <c r="J180" s="15">
        <v>-1.8200000000000001E-2</v>
      </c>
      <c r="K180" s="15">
        <v>-2.3E-3</v>
      </c>
      <c r="L180" s="15">
        <v>-1.9699999999999999E-2</v>
      </c>
      <c r="M180" s="15">
        <v>-1E-3</v>
      </c>
      <c r="N180" s="15">
        <v>-1.4499999999999999E-2</v>
      </c>
      <c r="O180" s="15">
        <v>-4.7999999999999996E-3</v>
      </c>
      <c r="P180" s="15">
        <v>-2.5399999999999999E-2</v>
      </c>
      <c r="Q180" s="15">
        <v>-2.6099999999999998E-2</v>
      </c>
      <c r="R180" s="7"/>
    </row>
    <row r="181" spans="1:18" x14ac:dyDescent="0.25">
      <c r="A181">
        <v>198812</v>
      </c>
      <c r="B181" s="15">
        <v>2.5000000000000001E-2</v>
      </c>
      <c r="C181" s="15">
        <v>-1.6899999999999998E-2</v>
      </c>
      <c r="D181" s="15">
        <v>1.77E-2</v>
      </c>
      <c r="E181" s="15">
        <v>6.3899999999999998E-2</v>
      </c>
      <c r="F181" s="15">
        <v>2.81E-2</v>
      </c>
      <c r="G181" s="15">
        <v>4.7400000000000005E-2</v>
      </c>
      <c r="H181" s="15">
        <v>2.9700000000000001E-2</v>
      </c>
      <c r="I181" s="15">
        <v>3.8100000000000002E-2</v>
      </c>
      <c r="J181" s="15">
        <v>4.0599999999999997E-2</v>
      </c>
      <c r="K181" s="15">
        <v>2.58E-2</v>
      </c>
      <c r="L181" s="15">
        <v>3.95E-2</v>
      </c>
      <c r="M181" s="15">
        <v>-5.6999999999999993E-3</v>
      </c>
      <c r="N181" s="15">
        <v>1.3999999999999999E-2</v>
      </c>
      <c r="O181" s="15">
        <v>1.04E-2</v>
      </c>
      <c r="P181" s="15">
        <v>1.2199999999999999E-2</v>
      </c>
      <c r="Q181" s="15">
        <v>-1.2999999999999999E-3</v>
      </c>
      <c r="R181" s="7"/>
    </row>
    <row r="182" spans="1:18" x14ac:dyDescent="0.25">
      <c r="A182">
        <v>198901</v>
      </c>
      <c r="B182" s="15">
        <v>5.0700000000000002E-2</v>
      </c>
      <c r="C182" s="15">
        <v>2.5499999999999998E-2</v>
      </c>
      <c r="D182" s="15">
        <v>6.2899999999999998E-2</v>
      </c>
      <c r="E182" s="15">
        <v>5.2300000000000006E-2</v>
      </c>
      <c r="F182" s="15">
        <v>6.3E-2</v>
      </c>
      <c r="G182" s="15">
        <v>0.105</v>
      </c>
      <c r="H182" s="15">
        <v>6.4299999999999996E-2</v>
      </c>
      <c r="I182" s="15">
        <v>6.0199999999999997E-2</v>
      </c>
      <c r="J182" s="15">
        <v>0.11939999999999999</v>
      </c>
      <c r="K182" s="15">
        <v>3.6200000000000003E-2</v>
      </c>
      <c r="L182" s="15">
        <v>6.7299999999999999E-2</v>
      </c>
      <c r="M182" s="15">
        <v>9.01E-2</v>
      </c>
      <c r="N182" s="15">
        <v>7.7300000000000008E-2</v>
      </c>
      <c r="O182" s="15">
        <v>2.7400000000000001E-2</v>
      </c>
      <c r="P182" s="15">
        <v>6.3600000000000004E-2</v>
      </c>
      <c r="Q182" s="15">
        <v>6.7599999999999993E-2</v>
      </c>
      <c r="R182" s="7"/>
    </row>
    <row r="183" spans="1:18" x14ac:dyDescent="0.25">
      <c r="A183">
        <v>198902</v>
      </c>
      <c r="B183" s="15">
        <v>-1.6200000000000003E-2</v>
      </c>
      <c r="C183" s="15">
        <v>5.91E-2</v>
      </c>
      <c r="D183" s="15">
        <v>-1.34E-2</v>
      </c>
      <c r="E183" s="15">
        <v>3.0499999999999999E-2</v>
      </c>
      <c r="F183" s="15">
        <v>5.6999999999999993E-3</v>
      </c>
      <c r="G183" s="15">
        <v>-2.18E-2</v>
      </c>
      <c r="H183" s="15">
        <v>-1.5900000000000001E-2</v>
      </c>
      <c r="I183" s="15">
        <v>6.6E-3</v>
      </c>
      <c r="J183" s="15">
        <v>-3.61E-2</v>
      </c>
      <c r="K183" s="15">
        <v>-8.1000000000000013E-3</v>
      </c>
      <c r="L183" s="15">
        <v>-3.8399999999999997E-2</v>
      </c>
      <c r="M183" s="15">
        <v>-4.7100000000000003E-2</v>
      </c>
      <c r="N183" s="15">
        <v>-2.3999999999999998E-3</v>
      </c>
      <c r="O183" s="15">
        <v>-1.8200000000000001E-2</v>
      </c>
      <c r="P183" s="15">
        <v>-1.8200000000000001E-2</v>
      </c>
      <c r="Q183" s="15">
        <v>-3.8E-3</v>
      </c>
      <c r="R183" s="7"/>
    </row>
    <row r="184" spans="1:18" x14ac:dyDescent="0.25">
      <c r="A184">
        <v>198903</v>
      </c>
      <c r="B184" s="15">
        <v>5.1699999999999996E-2</v>
      </c>
      <c r="C184" s="15">
        <v>-2.4E-2</v>
      </c>
      <c r="D184" s="15">
        <v>3.7900000000000003E-2</v>
      </c>
      <c r="E184" s="15">
        <v>4.4299999999999999E-2</v>
      </c>
      <c r="F184" s="15">
        <v>6.9999999999999993E-3</v>
      </c>
      <c r="G184" s="15">
        <v>2.3799999999999998E-2</v>
      </c>
      <c r="H184" s="15">
        <v>5.7099999999999998E-2</v>
      </c>
      <c r="I184" s="15">
        <v>1.44E-2</v>
      </c>
      <c r="J184" s="15">
        <v>-1.9400000000000001E-2</v>
      </c>
      <c r="K184" s="15">
        <v>3.2799999999999996E-2</v>
      </c>
      <c r="L184" s="15">
        <v>-3.8900000000000004E-2</v>
      </c>
      <c r="M184" s="15">
        <v>-2.46E-2</v>
      </c>
      <c r="N184" s="15">
        <v>9.7000000000000003E-3</v>
      </c>
      <c r="O184" s="15">
        <v>5.4000000000000003E-3</v>
      </c>
      <c r="P184" s="15">
        <v>3.0800000000000001E-2</v>
      </c>
      <c r="Q184" s="15">
        <v>4.7800000000000002E-2</v>
      </c>
      <c r="R184" s="7"/>
    </row>
    <row r="185" spans="1:18" x14ac:dyDescent="0.25">
      <c r="A185">
        <v>198904</v>
      </c>
      <c r="B185" s="15">
        <v>5.7500000000000002E-2</v>
      </c>
      <c r="C185" s="15">
        <v>-1.7100000000000001E-2</v>
      </c>
      <c r="D185" s="15">
        <v>2.3099999999999999E-2</v>
      </c>
      <c r="E185" s="15">
        <v>2.2200000000000001E-2</v>
      </c>
      <c r="F185" s="15">
        <v>6.1200000000000004E-2</v>
      </c>
      <c r="G185" s="15">
        <v>5.1100000000000007E-2</v>
      </c>
      <c r="H185" s="15">
        <v>5.2400000000000002E-2</v>
      </c>
      <c r="I185" s="15">
        <v>5.8299999999999998E-2</v>
      </c>
      <c r="J185" s="15">
        <v>3.3399999999999999E-2</v>
      </c>
      <c r="K185" s="15">
        <v>4.3499999999999997E-2</v>
      </c>
      <c r="L185" s="15">
        <v>5.3800000000000001E-2</v>
      </c>
      <c r="M185" s="15">
        <v>-3.8E-3</v>
      </c>
      <c r="N185" s="15">
        <v>4.82E-2</v>
      </c>
      <c r="O185" s="15">
        <v>3.9399999999999998E-2</v>
      </c>
      <c r="P185" s="15">
        <v>5.7800000000000004E-2</v>
      </c>
      <c r="Q185" s="15">
        <v>3.8199999999999998E-2</v>
      </c>
      <c r="R185" s="7"/>
    </row>
    <row r="186" spans="1:18" x14ac:dyDescent="0.25">
      <c r="A186">
        <v>198905</v>
      </c>
      <c r="B186" s="15">
        <v>6.0299999999999999E-2</v>
      </c>
      <c r="C186" s="15">
        <v>-4.3899999999999995E-2</v>
      </c>
      <c r="D186" s="15">
        <v>2.76E-2</v>
      </c>
      <c r="E186" s="15">
        <v>3.2199999999999999E-2</v>
      </c>
      <c r="F186" s="15">
        <v>1.09E-2</v>
      </c>
      <c r="G186" s="15">
        <v>7.3000000000000001E-3</v>
      </c>
      <c r="H186" s="15">
        <v>4.41E-2</v>
      </c>
      <c r="I186" s="15">
        <v>3.2000000000000001E-2</v>
      </c>
      <c r="J186" s="15">
        <v>1.1699999999999999E-2</v>
      </c>
      <c r="K186" s="15">
        <v>3.2799999999999996E-2</v>
      </c>
      <c r="L186" s="15">
        <v>4.4900000000000002E-2</v>
      </c>
      <c r="M186" s="15">
        <v>1.3600000000000001E-2</v>
      </c>
      <c r="N186" s="15">
        <v>2.8300000000000002E-2</v>
      </c>
      <c r="O186" s="15">
        <v>5.3699999999999998E-2</v>
      </c>
      <c r="P186" s="15">
        <v>5.8099999999999999E-2</v>
      </c>
      <c r="Q186" s="15">
        <v>4.0599999999999997E-2</v>
      </c>
      <c r="R186" s="7"/>
    </row>
    <row r="187" spans="1:18" x14ac:dyDescent="0.25">
      <c r="A187">
        <v>198906</v>
      </c>
      <c r="B187" s="15">
        <v>8.6E-3</v>
      </c>
      <c r="C187" s="15">
        <v>4.2999999999999997E-2</v>
      </c>
      <c r="D187" s="15">
        <v>-1.0700000000000001E-2</v>
      </c>
      <c r="E187" s="15">
        <v>-7.9000000000000008E-3</v>
      </c>
      <c r="F187" s="15">
        <v>1.52E-2</v>
      </c>
      <c r="G187" s="15">
        <v>-2.7000000000000003E-2</v>
      </c>
      <c r="H187" s="15">
        <v>-1.47E-2</v>
      </c>
      <c r="I187" s="15">
        <v>-8.8999999999999999E-3</v>
      </c>
      <c r="J187" s="15">
        <v>-3.8300000000000001E-2</v>
      </c>
      <c r="K187" s="15">
        <v>-1.2500000000000001E-2</v>
      </c>
      <c r="L187" s="15">
        <v>-3.32E-2</v>
      </c>
      <c r="M187" s="15">
        <v>2.7000000000000001E-3</v>
      </c>
      <c r="N187" s="15">
        <v>-2.5699999999999997E-2</v>
      </c>
      <c r="O187" s="15">
        <v>3.3799999999999997E-2</v>
      </c>
      <c r="P187" s="15">
        <v>-2.23E-2</v>
      </c>
      <c r="Q187" s="15">
        <v>9.0000000000000011E-3</v>
      </c>
      <c r="R187" s="7"/>
    </row>
    <row r="188" spans="1:18" x14ac:dyDescent="0.25">
      <c r="A188">
        <v>198907</v>
      </c>
      <c r="B188" s="15">
        <v>0.13589999999999999</v>
      </c>
      <c r="C188" s="15">
        <v>-7.4000000000000003E-3</v>
      </c>
      <c r="D188" s="15">
        <v>3.9E-2</v>
      </c>
      <c r="E188" s="15">
        <v>8.4900000000000003E-2</v>
      </c>
      <c r="F188" s="15">
        <v>6.9199999999999998E-2</v>
      </c>
      <c r="G188" s="15">
        <v>6.9099999999999995E-2</v>
      </c>
      <c r="H188" s="15">
        <v>0.1399</v>
      </c>
      <c r="I188" s="15">
        <v>8.9900000000000008E-2</v>
      </c>
      <c r="J188" s="15">
        <v>6.6400000000000001E-2</v>
      </c>
      <c r="K188" s="15">
        <v>6.7099999999999993E-2</v>
      </c>
      <c r="L188" s="15">
        <v>5.6600000000000004E-2</v>
      </c>
      <c r="M188" s="15">
        <v>4.41E-2</v>
      </c>
      <c r="N188" s="15">
        <v>7.4999999999999997E-2</v>
      </c>
      <c r="O188" s="15">
        <v>5.7999999999999996E-2</v>
      </c>
      <c r="P188" s="15">
        <v>0.10009999999999999</v>
      </c>
      <c r="Q188" s="15">
        <v>8.1099999999999992E-2</v>
      </c>
      <c r="R188" s="7"/>
    </row>
    <row r="189" spans="1:18" x14ac:dyDescent="0.25">
      <c r="A189">
        <v>198908</v>
      </c>
      <c r="B189" s="15">
        <v>-4.0899999999999999E-2</v>
      </c>
      <c r="C189" s="15">
        <v>6.9800000000000001E-2</v>
      </c>
      <c r="D189" s="15">
        <v>3.4300000000000004E-2</v>
      </c>
      <c r="E189" s="15">
        <v>4.5100000000000001E-2</v>
      </c>
      <c r="F189" s="15">
        <v>5.4000000000000003E-3</v>
      </c>
      <c r="G189" s="15">
        <v>7.5700000000000003E-2</v>
      </c>
      <c r="H189" s="15">
        <v>1.2500000000000001E-2</v>
      </c>
      <c r="I189" s="15">
        <v>2.8900000000000002E-2</v>
      </c>
      <c r="J189" s="15">
        <v>7.9600000000000004E-2</v>
      </c>
      <c r="K189" s="15">
        <v>5.1200000000000002E-2</v>
      </c>
      <c r="L189" s="15">
        <v>2.0299999999999999E-2</v>
      </c>
      <c r="M189" s="15">
        <v>7.7399999999999997E-2</v>
      </c>
      <c r="N189" s="15">
        <v>7.9299999999999995E-2</v>
      </c>
      <c r="O189" s="15">
        <v>-8.0000000000000002E-3</v>
      </c>
      <c r="P189" s="15">
        <v>2.63E-2</v>
      </c>
      <c r="Q189" s="15">
        <v>1.9900000000000001E-2</v>
      </c>
      <c r="R189" s="7"/>
    </row>
    <row r="190" spans="1:18" x14ac:dyDescent="0.25">
      <c r="A190">
        <v>198909</v>
      </c>
      <c r="B190" s="15">
        <v>-1.7000000000000001E-3</v>
      </c>
      <c r="C190" s="15">
        <v>3.32E-2</v>
      </c>
      <c r="D190" s="15">
        <v>1.26E-2</v>
      </c>
      <c r="E190" s="15">
        <v>1.5100000000000001E-2</v>
      </c>
      <c r="F190" s="15">
        <v>-2.58E-2</v>
      </c>
      <c r="G190" s="15">
        <v>-3.4599999999999999E-2</v>
      </c>
      <c r="H190" s="15">
        <v>1.37E-2</v>
      </c>
      <c r="I190" s="15">
        <v>-1.6299999999999999E-2</v>
      </c>
      <c r="J190" s="15">
        <v>-2.4E-2</v>
      </c>
      <c r="K190" s="15">
        <v>-4.3899999999999995E-2</v>
      </c>
      <c r="L190" s="15">
        <v>-3.2000000000000001E-2</v>
      </c>
      <c r="M190" s="15">
        <v>-5.8200000000000002E-2</v>
      </c>
      <c r="N190" s="15">
        <v>-2.64E-2</v>
      </c>
      <c r="O190" s="15">
        <v>4.7999999999999996E-3</v>
      </c>
      <c r="P190" s="15">
        <v>-2.4500000000000001E-2</v>
      </c>
      <c r="Q190" s="15">
        <v>2.1000000000000001E-2</v>
      </c>
      <c r="R190" s="7"/>
    </row>
    <row r="191" spans="1:18" x14ac:dyDescent="0.25">
      <c r="A191">
        <v>198910</v>
      </c>
      <c r="B191" s="15">
        <v>-1.47E-2</v>
      </c>
      <c r="C191" s="15">
        <v>-4.0999999999999995E-3</v>
      </c>
      <c r="D191" s="15">
        <v>6.7000000000000002E-3</v>
      </c>
      <c r="E191" s="15">
        <v>-5.5899999999999998E-2</v>
      </c>
      <c r="F191" s="15">
        <v>-5.45E-2</v>
      </c>
      <c r="G191" s="15">
        <v>-5.8299999999999998E-2</v>
      </c>
      <c r="H191" s="15">
        <v>1.38E-2</v>
      </c>
      <c r="I191" s="15">
        <v>-7.4099999999999999E-2</v>
      </c>
      <c r="J191" s="15">
        <v>-9.2100000000000015E-2</v>
      </c>
      <c r="K191" s="15">
        <v>-5.67E-2</v>
      </c>
      <c r="L191" s="15">
        <v>-4.58E-2</v>
      </c>
      <c r="M191" s="15">
        <v>-6.2400000000000004E-2</v>
      </c>
      <c r="N191" s="15">
        <v>-7.2599999999999998E-2</v>
      </c>
      <c r="O191" s="15">
        <v>0.01</v>
      </c>
      <c r="P191" s="15">
        <v>-3.7599999999999995E-2</v>
      </c>
      <c r="Q191" s="15">
        <v>-4.0899999999999999E-2</v>
      </c>
      <c r="R191" s="7"/>
    </row>
    <row r="192" spans="1:18" x14ac:dyDescent="0.25">
      <c r="A192">
        <v>198911</v>
      </c>
      <c r="B192" s="15">
        <v>3.5900000000000001E-2</v>
      </c>
      <c r="C192" s="15">
        <v>0.10640000000000001</v>
      </c>
      <c r="D192" s="15">
        <v>3.8300000000000001E-2</v>
      </c>
      <c r="E192" s="15">
        <v>-8.6E-3</v>
      </c>
      <c r="F192" s="15">
        <v>5.0000000000000001E-4</v>
      </c>
      <c r="G192" s="15">
        <v>2.52E-2</v>
      </c>
      <c r="H192" s="15">
        <v>3.32E-2</v>
      </c>
      <c r="I192" s="15">
        <v>2.87E-2</v>
      </c>
      <c r="J192" s="15">
        <v>2.3300000000000001E-2</v>
      </c>
      <c r="K192" s="15">
        <v>8.3000000000000001E-3</v>
      </c>
      <c r="L192" s="15">
        <v>2.0199999999999999E-2</v>
      </c>
      <c r="M192" s="15">
        <v>-2.2099999999999998E-2</v>
      </c>
      <c r="N192" s="15">
        <v>-1.84E-2</v>
      </c>
      <c r="O192" s="15">
        <v>3.2300000000000002E-2</v>
      </c>
      <c r="P192" s="15">
        <v>1.2800000000000001E-2</v>
      </c>
      <c r="Q192" s="15">
        <v>-5.1999999999999998E-3</v>
      </c>
      <c r="R192" s="7"/>
    </row>
    <row r="193" spans="1:18" x14ac:dyDescent="0.25">
      <c r="A193">
        <v>198912</v>
      </c>
      <c r="B193" s="15">
        <v>2.7900000000000001E-2</v>
      </c>
      <c r="C193" s="15">
        <v>1.84E-2</v>
      </c>
      <c r="D193" s="15">
        <v>5.9800000000000006E-2</v>
      </c>
      <c r="E193" s="15">
        <v>-1.1399999999999999E-2</v>
      </c>
      <c r="F193" s="15">
        <v>-8.0000000000000004E-4</v>
      </c>
      <c r="G193" s="15">
        <v>4.4299999999999999E-2</v>
      </c>
      <c r="H193" s="15">
        <v>1.1200000000000002E-2</v>
      </c>
      <c r="I193" s="15">
        <v>1.1999999999999999E-3</v>
      </c>
      <c r="J193" s="15">
        <v>5.8999999999999999E-3</v>
      </c>
      <c r="K193" s="15">
        <v>2.5499999999999998E-2</v>
      </c>
      <c r="L193" s="15">
        <v>6.4000000000000003E-3</v>
      </c>
      <c r="M193" s="15">
        <v>-1.7000000000000001E-2</v>
      </c>
      <c r="N193" s="15">
        <v>2.3900000000000001E-2</v>
      </c>
      <c r="O193" s="15">
        <v>4.7899999999999998E-2</v>
      </c>
      <c r="P193" s="15">
        <v>7.7000000000000002E-3</v>
      </c>
      <c r="Q193" s="15">
        <v>-2.5000000000000001E-2</v>
      </c>
      <c r="R193" s="7"/>
    </row>
    <row r="194" spans="1:18" x14ac:dyDescent="0.25">
      <c r="A194">
        <v>199001</v>
      </c>
      <c r="B194" s="15">
        <v>-9.6300000000000011E-2</v>
      </c>
      <c r="C194" s="15">
        <v>4.1799999999999997E-2</v>
      </c>
      <c r="D194" s="15">
        <v>-4.3499999999999997E-2</v>
      </c>
      <c r="E194" s="15">
        <v>-9.7899999999999987E-2</v>
      </c>
      <c r="F194" s="15">
        <v>-7.1199999999999999E-2</v>
      </c>
      <c r="G194" s="15">
        <v>-7.8899999999999998E-2</v>
      </c>
      <c r="H194" s="15">
        <v>-7.0900000000000005E-2</v>
      </c>
      <c r="I194" s="15">
        <v>-5.5199999999999999E-2</v>
      </c>
      <c r="J194" s="15">
        <v>-8.7899999999999992E-2</v>
      </c>
      <c r="K194" s="15">
        <v>-4.41E-2</v>
      </c>
      <c r="L194" s="15">
        <v>-2.0799999999999999E-2</v>
      </c>
      <c r="M194" s="15">
        <v>-3.2400000000000005E-2</v>
      </c>
      <c r="N194" s="15">
        <v>-6.0899999999999996E-2</v>
      </c>
      <c r="O194" s="15">
        <v>-5.3399999999999996E-2</v>
      </c>
      <c r="P194" s="15">
        <v>-6.0499999999999998E-2</v>
      </c>
      <c r="Q194" s="15">
        <v>-9.7799999999999998E-2</v>
      </c>
      <c r="R194" s="7"/>
    </row>
    <row r="195" spans="1:18" x14ac:dyDescent="0.25">
      <c r="A195">
        <v>199002</v>
      </c>
      <c r="B195" s="15">
        <v>-2.8999999999999998E-3</v>
      </c>
      <c r="C195" s="15">
        <v>1E-3</v>
      </c>
      <c r="D195" s="15">
        <v>3.1300000000000001E-2</v>
      </c>
      <c r="E195" s="15">
        <v>2.0799999999999999E-2</v>
      </c>
      <c r="F195" s="15">
        <v>5.4000000000000003E-3</v>
      </c>
      <c r="G195" s="15">
        <v>2.69E-2</v>
      </c>
      <c r="H195" s="15">
        <v>-2.2599999999999999E-2</v>
      </c>
      <c r="I195" s="15">
        <v>3.4700000000000002E-2</v>
      </c>
      <c r="J195" s="15">
        <v>3.3099999999999997E-2</v>
      </c>
      <c r="K195" s="15">
        <v>3.5400000000000001E-2</v>
      </c>
      <c r="L195" s="15">
        <v>3.6799999999999999E-2</v>
      </c>
      <c r="M195" s="15">
        <v>6.0400000000000002E-2</v>
      </c>
      <c r="N195" s="15">
        <v>4.1200000000000001E-2</v>
      </c>
      <c r="O195" s="15">
        <v>2.0999999999999999E-3</v>
      </c>
      <c r="P195" s="15">
        <v>1.6899999999999998E-2</v>
      </c>
      <c r="Q195" s="15">
        <v>2.3199999999999998E-2</v>
      </c>
      <c r="R195" s="7"/>
    </row>
    <row r="196" spans="1:18" x14ac:dyDescent="0.25">
      <c r="A196">
        <v>199003</v>
      </c>
      <c r="B196" s="15">
        <v>5.5500000000000001E-2</v>
      </c>
      <c r="C196" s="15">
        <v>-4.9100000000000005E-2</v>
      </c>
      <c r="D196" s="15">
        <v>-6.6E-3</v>
      </c>
      <c r="E196" s="15">
        <v>5.7200000000000001E-2</v>
      </c>
      <c r="F196" s="15">
        <v>4.2099999999999999E-2</v>
      </c>
      <c r="G196" s="15">
        <v>1.1000000000000001E-2</v>
      </c>
      <c r="H196" s="15">
        <v>4.4400000000000002E-2</v>
      </c>
      <c r="I196" s="15">
        <v>5.0799999999999998E-2</v>
      </c>
      <c r="J196" s="15">
        <v>6.2899999999999998E-2</v>
      </c>
      <c r="K196" s="15">
        <v>4.9000000000000002E-2</v>
      </c>
      <c r="L196" s="15">
        <v>3.9800000000000002E-2</v>
      </c>
      <c r="M196" s="15">
        <v>3.2899999999999999E-2</v>
      </c>
      <c r="N196" s="15">
        <v>5.0300000000000004E-2</v>
      </c>
      <c r="O196" s="15">
        <v>-7.4999999999999997E-3</v>
      </c>
      <c r="P196" s="15">
        <v>5.1500000000000004E-2</v>
      </c>
      <c r="Q196" s="15">
        <v>-1.6E-2</v>
      </c>
      <c r="R196" s="7"/>
    </row>
    <row r="197" spans="1:18" x14ac:dyDescent="0.25">
      <c r="A197">
        <v>199004</v>
      </c>
      <c r="B197" s="15">
        <v>5.5000000000000005E-3</v>
      </c>
      <c r="C197" s="15">
        <v>-8.7400000000000005E-2</v>
      </c>
      <c r="D197" s="15">
        <v>-3.5000000000000003E-2</v>
      </c>
      <c r="E197" s="15">
        <v>-1.5800000000000002E-2</v>
      </c>
      <c r="F197" s="15">
        <v>-5.8600000000000006E-2</v>
      </c>
      <c r="G197" s="15">
        <v>-3.7200000000000004E-2</v>
      </c>
      <c r="H197" s="15">
        <v>1.77E-2</v>
      </c>
      <c r="I197" s="15">
        <v>-2.2200000000000001E-2</v>
      </c>
      <c r="J197" s="15">
        <v>-7.0199999999999999E-2</v>
      </c>
      <c r="K197" s="15">
        <v>1.9E-3</v>
      </c>
      <c r="L197" s="15">
        <v>-1.41E-2</v>
      </c>
      <c r="M197" s="15">
        <v>-3.9399999999999998E-2</v>
      </c>
      <c r="N197" s="15">
        <v>-4.0999999999999995E-2</v>
      </c>
      <c r="O197" s="15">
        <v>-5.5E-2</v>
      </c>
      <c r="P197" s="15">
        <v>-2.2200000000000001E-2</v>
      </c>
      <c r="Q197" s="15">
        <v>-4.1900000000000007E-2</v>
      </c>
      <c r="R197" s="7"/>
    </row>
    <row r="198" spans="1:18" x14ac:dyDescent="0.25">
      <c r="A198">
        <v>199005</v>
      </c>
      <c r="B198" s="15">
        <v>0.1159</v>
      </c>
      <c r="C198" s="15">
        <v>7.8799999999999995E-2</v>
      </c>
      <c r="D198" s="15">
        <v>6.1699999999999998E-2</v>
      </c>
      <c r="E198" s="15">
        <v>6.6299999999999998E-2</v>
      </c>
      <c r="F198" s="15">
        <v>6.4899999999999999E-2</v>
      </c>
      <c r="G198" s="15">
        <v>7.1300000000000002E-2</v>
      </c>
      <c r="H198" s="15">
        <v>0.1038</v>
      </c>
      <c r="I198" s="15">
        <v>0.1115</v>
      </c>
      <c r="J198" s="15">
        <v>7.3700000000000002E-2</v>
      </c>
      <c r="K198" s="15">
        <v>7.9399999999999998E-2</v>
      </c>
      <c r="L198" s="15">
        <v>0.10060000000000001</v>
      </c>
      <c r="M198" s="15">
        <v>8.2400000000000001E-2</v>
      </c>
      <c r="N198" s="15">
        <v>7.5600000000000001E-2</v>
      </c>
      <c r="O198" s="15">
        <v>5.4299999999999994E-2</v>
      </c>
      <c r="P198" s="15">
        <v>0.11609999999999999</v>
      </c>
      <c r="Q198" s="15">
        <v>9.2899999999999996E-2</v>
      </c>
      <c r="R198" s="7"/>
    </row>
    <row r="199" spans="1:18" x14ac:dyDescent="0.25">
      <c r="A199">
        <v>199006</v>
      </c>
      <c r="B199" s="15">
        <v>1.8200000000000001E-2</v>
      </c>
      <c r="C199" s="15">
        <v>-5.6299999999999996E-2</v>
      </c>
      <c r="D199" s="15">
        <v>-2.07E-2</v>
      </c>
      <c r="E199" s="15">
        <v>-2.8399999999999998E-2</v>
      </c>
      <c r="F199" s="15">
        <v>-5.8999999999999999E-3</v>
      </c>
      <c r="G199" s="15">
        <v>-2.29E-2</v>
      </c>
      <c r="H199" s="15">
        <v>5.1399999999999994E-2</v>
      </c>
      <c r="I199" s="15">
        <v>-2.6000000000000002E-2</v>
      </c>
      <c r="J199" s="15">
        <v>-1.46E-2</v>
      </c>
      <c r="K199" s="15">
        <v>1.11E-2</v>
      </c>
      <c r="L199" s="15">
        <v>-1.49E-2</v>
      </c>
      <c r="M199" s="15">
        <v>-2.29E-2</v>
      </c>
      <c r="N199" s="15">
        <v>-8.8999999999999999E-3</v>
      </c>
      <c r="O199" s="15">
        <v>7.4999999999999997E-3</v>
      </c>
      <c r="P199" s="15">
        <v>1.7600000000000001E-2</v>
      </c>
      <c r="Q199" s="15">
        <v>-1.8799999999999997E-2</v>
      </c>
      <c r="R199" s="7"/>
    </row>
    <row r="200" spans="1:18" x14ac:dyDescent="0.25">
      <c r="A200">
        <v>199007</v>
      </c>
      <c r="B200" s="15">
        <v>3.2000000000000002E-3</v>
      </c>
      <c r="C200" s="15">
        <v>9.2899999999999996E-2</v>
      </c>
      <c r="D200" s="15">
        <v>8.2400000000000001E-2</v>
      </c>
      <c r="E200" s="15">
        <v>-3.8100000000000002E-2</v>
      </c>
      <c r="F200" s="15">
        <v>-4.7500000000000001E-2</v>
      </c>
      <c r="G200" s="15">
        <v>3.5999999999999999E-3</v>
      </c>
      <c r="H200" s="15">
        <v>2.9500000000000002E-2</v>
      </c>
      <c r="I200" s="15">
        <v>5.1999999999999998E-3</v>
      </c>
      <c r="J200" s="15">
        <v>5.6600000000000004E-2</v>
      </c>
      <c r="K200" s="15">
        <v>-1.66E-2</v>
      </c>
      <c r="L200" s="15">
        <v>-3.6299999999999999E-2</v>
      </c>
      <c r="M200" s="15">
        <v>-2.69E-2</v>
      </c>
      <c r="N200" s="15">
        <v>-3.1400000000000004E-2</v>
      </c>
      <c r="O200" s="15">
        <v>8.8999999999999999E-3</v>
      </c>
      <c r="P200" s="15">
        <v>-3.6299999999999999E-2</v>
      </c>
      <c r="Q200" s="15">
        <v>-4.7E-2</v>
      </c>
      <c r="R200" s="7"/>
    </row>
    <row r="201" spans="1:18" x14ac:dyDescent="0.25">
      <c r="A201">
        <v>199008</v>
      </c>
      <c r="B201" s="15">
        <v>-6.6299999999999998E-2</v>
      </c>
      <c r="C201" s="15">
        <v>-6.9400000000000003E-2</v>
      </c>
      <c r="D201" s="15">
        <v>-1.21E-2</v>
      </c>
      <c r="E201" s="15">
        <v>-0.15759999999999999</v>
      </c>
      <c r="F201" s="15">
        <v>-8.1199999999999994E-2</v>
      </c>
      <c r="G201" s="15">
        <v>-0.1278</v>
      </c>
      <c r="H201" s="15">
        <v>-7.2000000000000008E-2</v>
      </c>
      <c r="I201" s="15">
        <v>-0.1197</v>
      </c>
      <c r="J201" s="15">
        <v>-0.10220000000000001</v>
      </c>
      <c r="K201" s="15">
        <v>-0.1255</v>
      </c>
      <c r="L201" s="15">
        <v>-0.1278</v>
      </c>
      <c r="M201" s="15">
        <v>-0.1389</v>
      </c>
      <c r="N201" s="15">
        <v>-0.1258</v>
      </c>
      <c r="O201" s="15">
        <v>-6.6199999999999995E-2</v>
      </c>
      <c r="P201" s="15">
        <v>-0.1288</v>
      </c>
      <c r="Q201" s="15">
        <v>-0.1099</v>
      </c>
      <c r="R201" s="7"/>
    </row>
    <row r="202" spans="1:18" x14ac:dyDescent="0.25">
      <c r="A202">
        <v>199009</v>
      </c>
      <c r="B202" s="15">
        <v>-3.1E-2</v>
      </c>
      <c r="C202" s="15">
        <v>-1.4499999999999999E-2</v>
      </c>
      <c r="D202" s="15">
        <v>-1.6200000000000003E-2</v>
      </c>
      <c r="E202" s="15">
        <v>-0.1434</v>
      </c>
      <c r="F202" s="15">
        <v>-7.7399999999999997E-2</v>
      </c>
      <c r="G202" s="15">
        <v>-6.7299999999999999E-2</v>
      </c>
      <c r="H202" s="15">
        <v>-4.58E-2</v>
      </c>
      <c r="I202" s="15">
        <v>-8.8499999999999995E-2</v>
      </c>
      <c r="J202" s="15">
        <v>-6.1200000000000004E-2</v>
      </c>
      <c r="K202" s="15">
        <v>-9.6500000000000002E-2</v>
      </c>
      <c r="L202" s="15">
        <v>-7.46E-2</v>
      </c>
      <c r="M202" s="15">
        <v>-0.1076</v>
      </c>
      <c r="N202" s="15">
        <v>-7.5600000000000001E-2</v>
      </c>
      <c r="O202" s="15">
        <v>4.7999999999999996E-3</v>
      </c>
      <c r="P202" s="15">
        <v>-9.3699999999999992E-2</v>
      </c>
      <c r="Q202" s="15">
        <v>-0.11560000000000001</v>
      </c>
      <c r="R202" s="7"/>
    </row>
    <row r="203" spans="1:18" x14ac:dyDescent="0.25">
      <c r="A203">
        <v>199010</v>
      </c>
      <c r="B203" s="15">
        <v>4.2699999999999995E-2</v>
      </c>
      <c r="C203" s="15">
        <v>-0.1605</v>
      </c>
      <c r="D203" s="15">
        <v>-4.0500000000000001E-2</v>
      </c>
      <c r="E203" s="15">
        <v>-8.48E-2</v>
      </c>
      <c r="F203" s="15">
        <v>-4.7800000000000002E-2</v>
      </c>
      <c r="G203" s="15">
        <v>1.18E-2</v>
      </c>
      <c r="H203" s="15">
        <v>2.8500000000000001E-2</v>
      </c>
      <c r="I203" s="15">
        <v>-6.2600000000000003E-2</v>
      </c>
      <c r="J203" s="15">
        <v>-0.1143</v>
      </c>
      <c r="K203" s="15">
        <v>-3.0800000000000001E-2</v>
      </c>
      <c r="L203" s="15">
        <v>-4.7199999999999999E-2</v>
      </c>
      <c r="M203" s="15">
        <v>-2.6099999999999998E-2</v>
      </c>
      <c r="N203" s="15">
        <v>-1.1000000000000001E-3</v>
      </c>
      <c r="O203" s="15">
        <v>7.2300000000000003E-2</v>
      </c>
      <c r="P203" s="15">
        <v>-2.9700000000000001E-2</v>
      </c>
      <c r="Q203" s="15">
        <v>-7.1500000000000008E-2</v>
      </c>
      <c r="R203" s="7"/>
    </row>
    <row r="204" spans="1:18" x14ac:dyDescent="0.25">
      <c r="A204">
        <v>199011</v>
      </c>
      <c r="B204" s="15">
        <v>5.1699999999999996E-2</v>
      </c>
      <c r="C204" s="15">
        <v>-2.1299999999999999E-2</v>
      </c>
      <c r="D204" s="15">
        <v>1.6899999999999998E-2</v>
      </c>
      <c r="E204" s="15">
        <v>0.13300000000000001</v>
      </c>
      <c r="F204" s="15">
        <v>0.10289999999999999</v>
      </c>
      <c r="G204" s="15">
        <v>9.8100000000000007E-2</v>
      </c>
      <c r="H204" s="15">
        <v>8.4600000000000009E-2</v>
      </c>
      <c r="I204" s="15">
        <v>0.1009</v>
      </c>
      <c r="J204" s="15">
        <v>2.9300000000000003E-2</v>
      </c>
      <c r="K204" s="15">
        <v>0.08</v>
      </c>
      <c r="L204" s="15">
        <v>9.74E-2</v>
      </c>
      <c r="M204" s="15">
        <v>2.7699999999999999E-2</v>
      </c>
      <c r="N204" s="15">
        <v>4.8099999999999997E-2</v>
      </c>
      <c r="O204" s="15">
        <v>2.29E-2</v>
      </c>
      <c r="P204" s="15">
        <v>0.1115</v>
      </c>
      <c r="Q204" s="15">
        <v>0.14269999999999999</v>
      </c>
      <c r="R204" s="7"/>
    </row>
    <row r="205" spans="1:18" x14ac:dyDescent="0.25">
      <c r="A205">
        <v>199012</v>
      </c>
      <c r="B205" s="15">
        <v>3.95E-2</v>
      </c>
      <c r="C205" s="15">
        <v>9.4700000000000006E-2</v>
      </c>
      <c r="D205" s="15">
        <v>-2.0099999999999996E-2</v>
      </c>
      <c r="E205" s="15">
        <v>7.9899999999999999E-2</v>
      </c>
      <c r="F205" s="15">
        <v>2.2499999999999999E-2</v>
      </c>
      <c r="G205" s="15">
        <v>2.9900000000000003E-2</v>
      </c>
      <c r="H205" s="15">
        <v>3.1099999999999999E-2</v>
      </c>
      <c r="I205" s="15">
        <v>4.9599999999999998E-2</v>
      </c>
      <c r="J205" s="15">
        <v>0.08</v>
      </c>
      <c r="K205" s="15">
        <v>1.0800000000000001E-2</v>
      </c>
      <c r="L205" s="15">
        <v>4.5899999999999996E-2</v>
      </c>
      <c r="M205" s="15">
        <v>-1.54E-2</v>
      </c>
      <c r="N205" s="15">
        <v>4.7199999999999999E-2</v>
      </c>
      <c r="O205" s="15">
        <v>7.8000000000000005E-3</v>
      </c>
      <c r="P205" s="15">
        <v>2.8300000000000002E-2</v>
      </c>
      <c r="Q205" s="15">
        <v>5.5199999999999999E-2</v>
      </c>
      <c r="R205" s="7"/>
    </row>
    <row r="206" spans="1:18" x14ac:dyDescent="0.25">
      <c r="A206">
        <v>199101</v>
      </c>
      <c r="B206" s="15">
        <v>3.5799999999999998E-2</v>
      </c>
      <c r="C206" s="15">
        <v>-8.7400000000000005E-2</v>
      </c>
      <c r="D206" s="15">
        <v>-2.07E-2</v>
      </c>
      <c r="E206" s="15">
        <v>0.1603</v>
      </c>
      <c r="F206" s="15">
        <v>8.48E-2</v>
      </c>
      <c r="G206" s="15">
        <v>5.8499999999999996E-2</v>
      </c>
      <c r="H206" s="15">
        <v>1.9900000000000001E-2</v>
      </c>
      <c r="I206" s="15">
        <v>8.14E-2</v>
      </c>
      <c r="J206" s="15">
        <v>8.14E-2</v>
      </c>
      <c r="K206" s="15">
        <v>0.114</v>
      </c>
      <c r="L206" s="15">
        <v>0.1258</v>
      </c>
      <c r="M206" s="15">
        <v>6.6100000000000006E-2</v>
      </c>
      <c r="N206" s="15">
        <v>9.4800000000000009E-2</v>
      </c>
      <c r="O206" s="15">
        <v>-1.37E-2</v>
      </c>
      <c r="P206" s="15">
        <v>0.1065</v>
      </c>
      <c r="Q206" s="15">
        <v>7.2499999999999995E-2</v>
      </c>
      <c r="R206" s="7"/>
    </row>
    <row r="207" spans="1:18" x14ac:dyDescent="0.25">
      <c r="A207">
        <v>199102</v>
      </c>
      <c r="B207" s="15">
        <v>0.1144</v>
      </c>
      <c r="C207" s="15">
        <v>8.5000000000000006E-2</v>
      </c>
      <c r="D207" s="15">
        <v>8.6099999999999996E-2</v>
      </c>
      <c r="E207" s="15">
        <v>0.1459</v>
      </c>
      <c r="F207" s="15">
        <v>7.9500000000000001E-2</v>
      </c>
      <c r="G207" s="15">
        <v>5.8899999999999994E-2</v>
      </c>
      <c r="H207" s="15">
        <v>8.929999999999999E-2</v>
      </c>
      <c r="I207" s="15">
        <v>0.11789999999999999</v>
      </c>
      <c r="J207" s="15">
        <v>6.6600000000000006E-2</v>
      </c>
      <c r="K207" s="15">
        <v>5.9500000000000004E-2</v>
      </c>
      <c r="L207" s="15">
        <v>6.4699999999999994E-2</v>
      </c>
      <c r="M207" s="15">
        <v>0.10800000000000001</v>
      </c>
      <c r="N207" s="15">
        <v>3.0499999999999999E-2</v>
      </c>
      <c r="O207" s="15">
        <v>4.8399999999999999E-2</v>
      </c>
      <c r="P207" s="15">
        <v>8.2100000000000006E-2</v>
      </c>
      <c r="Q207" s="15">
        <v>0.10830000000000001</v>
      </c>
      <c r="R207" s="7"/>
    </row>
    <row r="208" spans="1:18" x14ac:dyDescent="0.25">
      <c r="A208">
        <v>199103</v>
      </c>
      <c r="B208" s="15">
        <v>5.8400000000000001E-2</v>
      </c>
      <c r="C208" s="15">
        <v>-1.6E-2</v>
      </c>
      <c r="D208" s="15">
        <v>1.38E-2</v>
      </c>
      <c r="E208" s="15">
        <v>4.2599999999999999E-2</v>
      </c>
      <c r="F208" s="15">
        <v>4.4900000000000002E-2</v>
      </c>
      <c r="G208" s="15">
        <v>1.1999999999999999E-3</v>
      </c>
      <c r="H208" s="15">
        <v>4.2300000000000004E-2</v>
      </c>
      <c r="I208" s="15">
        <v>1.6000000000000001E-3</v>
      </c>
      <c r="J208" s="15">
        <v>5.1000000000000004E-3</v>
      </c>
      <c r="K208" s="15">
        <v>4.0099999999999997E-2</v>
      </c>
      <c r="L208" s="15">
        <v>-4.5999999999999999E-3</v>
      </c>
      <c r="M208" s="15">
        <v>-1.2E-2</v>
      </c>
      <c r="N208" s="15">
        <v>1E-4</v>
      </c>
      <c r="O208" s="15">
        <v>1.7100000000000001E-2</v>
      </c>
      <c r="P208" s="15">
        <v>9.6799999999999997E-2</v>
      </c>
      <c r="Q208" s="15">
        <v>5.79E-2</v>
      </c>
      <c r="R208" s="7"/>
    </row>
    <row r="209" spans="1:18" x14ac:dyDescent="0.25">
      <c r="A209">
        <v>199104</v>
      </c>
      <c r="B209" s="15">
        <v>-1.6399999999999998E-2</v>
      </c>
      <c r="C209" s="15">
        <v>7.1999999999999998E-3</v>
      </c>
      <c r="D209" s="15">
        <v>2.6200000000000001E-2</v>
      </c>
      <c r="E209" s="15">
        <v>1.83E-2</v>
      </c>
      <c r="F209" s="15">
        <v>-1.3300000000000001E-2</v>
      </c>
      <c r="G209" s="15">
        <v>3.4599999999999999E-2</v>
      </c>
      <c r="H209" s="15">
        <v>-7.6E-3</v>
      </c>
      <c r="I209" s="15">
        <v>4.5999999999999999E-3</v>
      </c>
      <c r="J209" s="15">
        <v>-1.4000000000000002E-3</v>
      </c>
      <c r="K209" s="15">
        <v>4.7999999999999996E-3</v>
      </c>
      <c r="L209" s="15">
        <v>-2.3599999999999999E-2</v>
      </c>
      <c r="M209" s="15">
        <v>-2.1499999999999998E-2</v>
      </c>
      <c r="N209" s="15">
        <v>1.37E-2</v>
      </c>
      <c r="O209" s="15">
        <v>-4.0000000000000002E-4</v>
      </c>
      <c r="P209" s="15">
        <v>1.9699999999999999E-2</v>
      </c>
      <c r="Q209" s="15">
        <v>1.78E-2</v>
      </c>
      <c r="R209" s="7"/>
    </row>
    <row r="210" spans="1:18" x14ac:dyDescent="0.25">
      <c r="A210">
        <v>199105</v>
      </c>
      <c r="B210" s="15">
        <v>3.27E-2</v>
      </c>
      <c r="C210" s="15">
        <v>1.5100000000000001E-2</v>
      </c>
      <c r="D210" s="15">
        <v>-1.26E-2</v>
      </c>
      <c r="E210" s="15">
        <v>3.1E-2</v>
      </c>
      <c r="F210" s="15">
        <v>5.4900000000000004E-2</v>
      </c>
      <c r="G210" s="15">
        <v>9.9700000000000011E-2</v>
      </c>
      <c r="H210" s="15">
        <v>4.0800000000000003E-2</v>
      </c>
      <c r="I210" s="15">
        <v>8.6400000000000005E-2</v>
      </c>
      <c r="J210" s="15">
        <v>4.2300000000000004E-2</v>
      </c>
      <c r="K210" s="15">
        <v>6.4199999999999993E-2</v>
      </c>
      <c r="L210" s="15">
        <v>5.7999999999999996E-2</v>
      </c>
      <c r="M210" s="15">
        <v>0.157</v>
      </c>
      <c r="N210" s="15">
        <v>6.6900000000000001E-2</v>
      </c>
      <c r="O210" s="15">
        <v>1.5E-3</v>
      </c>
      <c r="P210" s="15">
        <v>7.7399999999999997E-2</v>
      </c>
      <c r="Q210" s="15">
        <v>4.6600000000000003E-2</v>
      </c>
      <c r="R210" s="7"/>
    </row>
    <row r="211" spans="1:18" x14ac:dyDescent="0.25">
      <c r="A211">
        <v>199106</v>
      </c>
      <c r="B211" s="15">
        <v>-4.58E-2</v>
      </c>
      <c r="C211" s="15">
        <v>7.3700000000000002E-2</v>
      </c>
      <c r="D211" s="15">
        <v>-3.7999999999999999E-2</v>
      </c>
      <c r="E211" s="15">
        <v>-1.5700000000000002E-2</v>
      </c>
      <c r="F211" s="15">
        <v>-5.8099999999999999E-2</v>
      </c>
      <c r="G211" s="15">
        <v>-3.73E-2</v>
      </c>
      <c r="H211" s="15">
        <v>-4.4699999999999997E-2</v>
      </c>
      <c r="I211" s="15">
        <v>-4.6399999999999997E-2</v>
      </c>
      <c r="J211" s="15">
        <v>-4.7199999999999999E-2</v>
      </c>
      <c r="K211" s="15">
        <v>-1.5E-3</v>
      </c>
      <c r="L211" s="15">
        <v>-7.7199999999999991E-2</v>
      </c>
      <c r="M211" s="15">
        <v>-3.49E-2</v>
      </c>
      <c r="N211" s="15">
        <v>-4.0199999999999993E-2</v>
      </c>
      <c r="O211" s="15">
        <v>-2.3700000000000002E-2</v>
      </c>
      <c r="P211" s="15">
        <v>-4.9000000000000002E-2</v>
      </c>
      <c r="Q211" s="15">
        <v>-5.3200000000000004E-2</v>
      </c>
      <c r="R211" s="7"/>
    </row>
    <row r="212" spans="1:18" x14ac:dyDescent="0.25">
      <c r="A212">
        <v>199107</v>
      </c>
      <c r="B212" s="15">
        <v>6.59E-2</v>
      </c>
      <c r="C212" s="15">
        <v>-2.12E-2</v>
      </c>
      <c r="D212" s="15">
        <v>5.1200000000000002E-2</v>
      </c>
      <c r="E212" s="15">
        <v>5.7999999999999996E-2</v>
      </c>
      <c r="F212" s="15">
        <v>3.6000000000000004E-2</v>
      </c>
      <c r="G212" s="15">
        <v>5.3099999999999994E-2</v>
      </c>
      <c r="H212" s="15">
        <v>7.7199999999999991E-2</v>
      </c>
      <c r="I212" s="15">
        <v>5.28E-2</v>
      </c>
      <c r="J212" s="15">
        <v>4.4600000000000001E-2</v>
      </c>
      <c r="K212" s="15">
        <v>4.1599999999999998E-2</v>
      </c>
      <c r="L212" s="15">
        <v>2.9600000000000001E-2</v>
      </c>
      <c r="M212" s="15">
        <v>-1.2E-2</v>
      </c>
      <c r="N212" s="15">
        <v>5.2300000000000006E-2</v>
      </c>
      <c r="O212" s="15">
        <v>3.9900000000000005E-2</v>
      </c>
      <c r="P212" s="15">
        <v>5.0700000000000002E-2</v>
      </c>
      <c r="Q212" s="15">
        <v>5.7500000000000002E-2</v>
      </c>
      <c r="R212" s="7"/>
    </row>
    <row r="213" spans="1:18" x14ac:dyDescent="0.25">
      <c r="A213">
        <v>199108</v>
      </c>
      <c r="B213" s="15">
        <v>5.9000000000000004E-2</v>
      </c>
      <c r="C213" s="15">
        <v>-6.2100000000000002E-2</v>
      </c>
      <c r="D213" s="15">
        <v>1.1899999999999999E-2</v>
      </c>
      <c r="E213" s="15">
        <v>6.0100000000000001E-2</v>
      </c>
      <c r="F213" s="15">
        <v>5.0700000000000002E-2</v>
      </c>
      <c r="G213" s="15">
        <v>8.5000000000000006E-3</v>
      </c>
      <c r="H213" s="15">
        <v>3.2400000000000005E-2</v>
      </c>
      <c r="I213" s="15">
        <v>3.6499999999999998E-2</v>
      </c>
      <c r="J213" s="15">
        <v>7.9000000000000008E-3</v>
      </c>
      <c r="K213" s="15">
        <v>2.86E-2</v>
      </c>
      <c r="L213" s="15">
        <v>1.26E-2</v>
      </c>
      <c r="M213" s="15">
        <v>-3.1899999999999998E-2</v>
      </c>
      <c r="N213" s="15">
        <v>1.24E-2</v>
      </c>
      <c r="O213" s="15">
        <v>3.5099999999999999E-2</v>
      </c>
      <c r="P213" s="15">
        <v>4.1900000000000007E-2</v>
      </c>
      <c r="Q213" s="15">
        <v>4.4500000000000005E-2</v>
      </c>
      <c r="R213" s="7"/>
    </row>
    <row r="214" spans="1:18" x14ac:dyDescent="0.25">
      <c r="A214">
        <v>199109</v>
      </c>
      <c r="B214" s="15">
        <v>-3.9100000000000003E-2</v>
      </c>
      <c r="C214" s="15">
        <v>3.7100000000000001E-2</v>
      </c>
      <c r="D214" s="15">
        <v>-7.4000000000000003E-3</v>
      </c>
      <c r="E214" s="15">
        <v>3.2099999999999997E-2</v>
      </c>
      <c r="F214" s="15">
        <v>9.3999999999999986E-3</v>
      </c>
      <c r="G214" s="15">
        <v>-3.2799999999999996E-2</v>
      </c>
      <c r="H214" s="15">
        <v>-6.3E-3</v>
      </c>
      <c r="I214" s="15">
        <v>-2.9300000000000003E-2</v>
      </c>
      <c r="J214" s="15">
        <v>-3.32E-2</v>
      </c>
      <c r="K214" s="15">
        <v>-8.6999999999999994E-3</v>
      </c>
      <c r="L214" s="15">
        <v>-3.15E-2</v>
      </c>
      <c r="M214" s="15">
        <v>-2.1899999999999999E-2</v>
      </c>
      <c r="N214" s="15">
        <v>-2.8999999999999998E-3</v>
      </c>
      <c r="O214" s="15">
        <v>3.7100000000000001E-2</v>
      </c>
      <c r="P214" s="15">
        <v>-3.8599999999999995E-2</v>
      </c>
      <c r="Q214" s="15">
        <v>-2.5000000000000001E-3</v>
      </c>
      <c r="R214" s="7"/>
    </row>
    <row r="215" spans="1:18" x14ac:dyDescent="0.25">
      <c r="A215">
        <v>199110</v>
      </c>
      <c r="B215" s="15">
        <v>-1.1999999999999999E-3</v>
      </c>
      <c r="C215" s="15">
        <v>1.9699999999999999E-2</v>
      </c>
      <c r="D215" s="15">
        <v>2.2000000000000002E-2</v>
      </c>
      <c r="E215" s="15">
        <v>-3.4300000000000004E-2</v>
      </c>
      <c r="F215" s="15">
        <v>4.2800000000000005E-2</v>
      </c>
      <c r="G215" s="15">
        <v>2.41E-2</v>
      </c>
      <c r="H215" s="15">
        <v>4.5599999999999995E-2</v>
      </c>
      <c r="I215" s="15">
        <v>-2.7200000000000002E-2</v>
      </c>
      <c r="J215" s="15">
        <v>-9.4999999999999998E-3</v>
      </c>
      <c r="K215" s="15">
        <v>-1.21E-2</v>
      </c>
      <c r="L215" s="15">
        <v>-2.5999999999999999E-3</v>
      </c>
      <c r="M215" s="15">
        <v>-3.8199999999999998E-2</v>
      </c>
      <c r="N215" s="15">
        <v>5.2999999999999999E-2</v>
      </c>
      <c r="O215" s="15">
        <v>1.2500000000000001E-2</v>
      </c>
      <c r="P215" s="15">
        <v>-2.8799999999999999E-2</v>
      </c>
      <c r="Q215" s="15">
        <v>2.06E-2</v>
      </c>
      <c r="R215" s="7"/>
    </row>
    <row r="216" spans="1:18" x14ac:dyDescent="0.25">
      <c r="A216">
        <v>199111</v>
      </c>
      <c r="B216" s="15">
        <v>7.4999999999999997E-3</v>
      </c>
      <c r="C216" s="15">
        <v>-2.7000000000000001E-3</v>
      </c>
      <c r="D216" s="15">
        <v>-7.6200000000000004E-2</v>
      </c>
      <c r="E216" s="15">
        <v>-3.8900000000000004E-2</v>
      </c>
      <c r="F216" s="15">
        <v>-1.7600000000000001E-2</v>
      </c>
      <c r="G216" s="15">
        <v>-5.7500000000000002E-2</v>
      </c>
      <c r="H216" s="15">
        <v>-2.07E-2</v>
      </c>
      <c r="I216" s="15">
        <v>-2.4700000000000003E-2</v>
      </c>
      <c r="J216" s="15">
        <v>-7.6600000000000001E-2</v>
      </c>
      <c r="K216" s="15">
        <v>-5.2900000000000003E-2</v>
      </c>
      <c r="L216" s="15">
        <v>-5.8099999999999999E-2</v>
      </c>
      <c r="M216" s="15">
        <v>-8.3900000000000002E-2</v>
      </c>
      <c r="N216" s="15">
        <v>-6.9699999999999998E-2</v>
      </c>
      <c r="O216" s="15">
        <v>1.89E-2</v>
      </c>
      <c r="P216" s="15">
        <v>-1.0800000000000001E-2</v>
      </c>
      <c r="Q216" s="15">
        <v>-5.21E-2</v>
      </c>
      <c r="R216" s="7"/>
    </row>
    <row r="217" spans="1:18" x14ac:dyDescent="0.25">
      <c r="A217">
        <v>199112</v>
      </c>
      <c r="B217" s="15">
        <v>0.15190000000000001</v>
      </c>
      <c r="C217" s="15">
        <v>5.0000000000000001E-4</v>
      </c>
      <c r="D217" s="15">
        <v>2.2099999999999998E-2</v>
      </c>
      <c r="E217" s="15">
        <v>0.14499999999999999</v>
      </c>
      <c r="F217" s="15">
        <v>0.10369999999999999</v>
      </c>
      <c r="G217" s="15">
        <v>0.10300000000000001</v>
      </c>
      <c r="H217" s="15">
        <v>0.15759999999999999</v>
      </c>
      <c r="I217" s="15">
        <v>0.15460000000000002</v>
      </c>
      <c r="J217" s="15">
        <v>7.0000000000000007E-2</v>
      </c>
      <c r="K217" s="15">
        <v>0.1048</v>
      </c>
      <c r="L217" s="15">
        <v>9.7100000000000006E-2</v>
      </c>
      <c r="M217" s="15">
        <v>6.480000000000001E-2</v>
      </c>
      <c r="N217" s="15">
        <v>0.1188</v>
      </c>
      <c r="O217" s="15">
        <v>4.99E-2</v>
      </c>
      <c r="P217" s="15">
        <v>0.1328</v>
      </c>
      <c r="Q217" s="15">
        <v>0.13369999999999999</v>
      </c>
      <c r="R217" s="7"/>
    </row>
    <row r="218" spans="1:18" x14ac:dyDescent="0.25">
      <c r="A218">
        <v>199201</v>
      </c>
      <c r="B218" s="15">
        <v>-4.7199999999999999E-2</v>
      </c>
      <c r="C218" s="15">
        <v>6.0199999999999997E-2</v>
      </c>
      <c r="D218" s="15">
        <v>-4.1100000000000005E-2</v>
      </c>
      <c r="E218" s="15">
        <v>5.79E-2</v>
      </c>
      <c r="F218" s="15">
        <v>4.9000000000000002E-2</v>
      </c>
      <c r="G218" s="15">
        <v>3.0000000000000001E-3</v>
      </c>
      <c r="H218" s="15">
        <v>-4.6199999999999998E-2</v>
      </c>
      <c r="I218" s="15">
        <v>2.7000000000000003E-2</v>
      </c>
      <c r="J218" s="15">
        <v>3.2500000000000001E-2</v>
      </c>
      <c r="K218" s="15">
        <v>3.7499999999999999E-2</v>
      </c>
      <c r="L218" s="15">
        <v>4.5999999999999999E-2</v>
      </c>
      <c r="M218" s="15">
        <v>9.6300000000000011E-2</v>
      </c>
      <c r="N218" s="15">
        <v>5.6999999999999993E-3</v>
      </c>
      <c r="O218" s="15">
        <v>-4.5700000000000005E-2</v>
      </c>
      <c r="P218" s="15">
        <v>9.1999999999999998E-3</v>
      </c>
      <c r="Q218" s="15">
        <v>8.1000000000000013E-3</v>
      </c>
      <c r="R218" s="7"/>
    </row>
    <row r="219" spans="1:18" x14ac:dyDescent="0.25">
      <c r="A219">
        <v>199202</v>
      </c>
      <c r="B219" s="15">
        <v>5.0000000000000001E-4</v>
      </c>
      <c r="C219" s="15">
        <v>-3.9000000000000003E-3</v>
      </c>
      <c r="D219" s="15">
        <v>-4.5000000000000005E-3</v>
      </c>
      <c r="E219" s="15">
        <v>4.0999999999999995E-2</v>
      </c>
      <c r="F219" s="15">
        <v>2.0999999999999999E-3</v>
      </c>
      <c r="G219" s="15">
        <v>2.6600000000000002E-2</v>
      </c>
      <c r="H219" s="15">
        <v>-1.3600000000000001E-2</v>
      </c>
      <c r="I219" s="15">
        <v>1.8100000000000002E-2</v>
      </c>
      <c r="J219" s="15">
        <v>7.0400000000000004E-2</v>
      </c>
      <c r="K219" s="15">
        <v>3.2899999999999999E-2</v>
      </c>
      <c r="L219" s="15">
        <v>4.4500000000000005E-2</v>
      </c>
      <c r="M219" s="15">
        <v>0.15179999999999999</v>
      </c>
      <c r="N219" s="15">
        <v>1.6399999999999998E-2</v>
      </c>
      <c r="O219" s="15">
        <v>-1.24E-2</v>
      </c>
      <c r="P219" s="15">
        <v>2.4300000000000002E-2</v>
      </c>
      <c r="Q219" s="15">
        <v>2.9300000000000003E-2</v>
      </c>
      <c r="R219" s="7"/>
    </row>
    <row r="220" spans="1:18" x14ac:dyDescent="0.25">
      <c r="A220">
        <v>199203</v>
      </c>
      <c r="B220" s="15">
        <v>-1.4800000000000001E-2</v>
      </c>
      <c r="C220" s="15">
        <v>-8.1500000000000003E-2</v>
      </c>
      <c r="D220" s="15">
        <v>-2.8500000000000001E-2</v>
      </c>
      <c r="E220" s="15">
        <v>-1.3999999999999999E-2</v>
      </c>
      <c r="F220" s="15">
        <v>-3.6900000000000002E-2</v>
      </c>
      <c r="G220" s="15">
        <v>6.1999999999999998E-3</v>
      </c>
      <c r="H220" s="15">
        <v>-4.4199999999999996E-2</v>
      </c>
      <c r="I220" s="15">
        <v>-1.7600000000000001E-2</v>
      </c>
      <c r="J220" s="15">
        <v>-1.29E-2</v>
      </c>
      <c r="K220" s="15">
        <v>-4.2599999999999999E-2</v>
      </c>
      <c r="L220" s="15">
        <v>-0.04</v>
      </c>
      <c r="M220" s="15">
        <v>1.2699999999999999E-2</v>
      </c>
      <c r="N220" s="15">
        <v>-2.1099999999999997E-2</v>
      </c>
      <c r="O220" s="15">
        <v>-5.3E-3</v>
      </c>
      <c r="P220" s="15">
        <v>-1.55E-2</v>
      </c>
      <c r="Q220" s="15">
        <v>-8.3000000000000001E-3</v>
      </c>
      <c r="R220" s="7"/>
    </row>
    <row r="221" spans="1:18" x14ac:dyDescent="0.25">
      <c r="A221">
        <v>199204</v>
      </c>
      <c r="B221" s="15">
        <v>-2.0999999999999999E-3</v>
      </c>
      <c r="C221" s="15">
        <v>-2.3799999999999998E-2</v>
      </c>
      <c r="D221" s="15">
        <v>9.4700000000000006E-2</v>
      </c>
      <c r="E221" s="15">
        <v>-2.9700000000000001E-2</v>
      </c>
      <c r="F221" s="15">
        <v>2.5000000000000001E-3</v>
      </c>
      <c r="G221" s="15">
        <v>6.0999999999999999E-2</v>
      </c>
      <c r="H221" s="15">
        <v>1.1000000000000001E-3</v>
      </c>
      <c r="I221" s="15">
        <v>8.0000000000000004E-4</v>
      </c>
      <c r="J221" s="15">
        <v>3.7000000000000005E-2</v>
      </c>
      <c r="K221" s="15">
        <v>1.6200000000000003E-2</v>
      </c>
      <c r="L221" s="15">
        <v>5.3E-3</v>
      </c>
      <c r="M221" s="15">
        <v>0.10289999999999999</v>
      </c>
      <c r="N221" s="15">
        <v>2.7300000000000001E-2</v>
      </c>
      <c r="O221" s="15">
        <v>2.69E-2</v>
      </c>
      <c r="P221" s="15">
        <v>-3.95E-2</v>
      </c>
      <c r="Q221" s="15">
        <v>8.8999999999999999E-3</v>
      </c>
      <c r="R221" s="7"/>
    </row>
    <row r="222" spans="1:18" x14ac:dyDescent="0.25">
      <c r="A222">
        <v>199205</v>
      </c>
      <c r="B222" s="15">
        <v>1.7500000000000002E-2</v>
      </c>
      <c r="C222" s="15">
        <v>7.6200000000000004E-2</v>
      </c>
      <c r="D222" s="15">
        <v>3.2199999999999999E-2</v>
      </c>
      <c r="E222" s="15">
        <v>-1.5800000000000002E-2</v>
      </c>
      <c r="F222" s="15">
        <v>-1.8E-3</v>
      </c>
      <c r="G222" s="15">
        <v>-9.4999999999999998E-3</v>
      </c>
      <c r="H222" s="15">
        <v>7.9000000000000008E-3</v>
      </c>
      <c r="I222" s="15">
        <v>3.3799999999999997E-2</v>
      </c>
      <c r="J222" s="15">
        <v>9.5999999999999992E-3</v>
      </c>
      <c r="K222" s="15">
        <v>-1.1899999999999999E-2</v>
      </c>
      <c r="L222" s="15">
        <v>-4.7999999999999996E-3</v>
      </c>
      <c r="M222" s="15">
        <v>-1.8000000000000002E-2</v>
      </c>
      <c r="N222" s="15">
        <v>-1.37E-2</v>
      </c>
      <c r="O222" s="15">
        <v>2.5399999999999999E-2</v>
      </c>
      <c r="P222" s="15">
        <v>-6.7000000000000002E-3</v>
      </c>
      <c r="Q222" s="15">
        <v>2.52E-2</v>
      </c>
      <c r="R222" s="7"/>
    </row>
    <row r="223" spans="1:18" x14ac:dyDescent="0.25">
      <c r="A223">
        <v>199206</v>
      </c>
      <c r="B223" s="15">
        <v>-1.89E-2</v>
      </c>
      <c r="C223" s="15">
        <v>6.9699999999999998E-2</v>
      </c>
      <c r="D223" s="15">
        <v>-3.3500000000000002E-2</v>
      </c>
      <c r="E223" s="15">
        <v>-5.8899999999999994E-2</v>
      </c>
      <c r="F223" s="15">
        <v>-4.4600000000000001E-2</v>
      </c>
      <c r="G223" s="15">
        <v>-4.6900000000000004E-2</v>
      </c>
      <c r="H223" s="15">
        <v>-5.5399999999999998E-2</v>
      </c>
      <c r="I223" s="15">
        <v>-4.9400000000000006E-2</v>
      </c>
      <c r="J223" s="15">
        <v>1.95E-2</v>
      </c>
      <c r="K223" s="15">
        <v>-6.4699999999999994E-2</v>
      </c>
      <c r="L223" s="15">
        <v>-2.2599999999999999E-2</v>
      </c>
      <c r="M223" s="15">
        <v>3.9399999999999998E-2</v>
      </c>
      <c r="N223" s="15">
        <v>-4.0300000000000002E-2</v>
      </c>
      <c r="O223" s="15">
        <v>5.4000000000000003E-3</v>
      </c>
      <c r="P223" s="15">
        <v>-1.3500000000000002E-2</v>
      </c>
      <c r="Q223" s="15">
        <v>1.2199999999999999E-2</v>
      </c>
      <c r="R223" s="7"/>
    </row>
    <row r="224" spans="1:18" x14ac:dyDescent="0.25">
      <c r="A224">
        <v>199207</v>
      </c>
      <c r="B224" s="15">
        <v>5.0700000000000002E-2</v>
      </c>
      <c r="C224" s="15">
        <v>5.1999999999999998E-3</v>
      </c>
      <c r="D224" s="15">
        <v>5.3699999999999998E-2</v>
      </c>
      <c r="E224" s="15">
        <v>6.2199999999999998E-2</v>
      </c>
      <c r="F224" s="15">
        <v>5.0999999999999997E-2</v>
      </c>
      <c r="G224" s="15">
        <v>4.1599999999999998E-2</v>
      </c>
      <c r="H224" s="15">
        <v>6.1100000000000002E-2</v>
      </c>
      <c r="I224" s="15">
        <v>6.5000000000000002E-2</v>
      </c>
      <c r="J224" s="15">
        <v>-1.4000000000000002E-3</v>
      </c>
      <c r="K224" s="15">
        <v>5.5199999999999999E-2</v>
      </c>
      <c r="L224" s="15">
        <v>1.6899999999999998E-2</v>
      </c>
      <c r="M224" s="15">
        <v>-9.1000000000000004E-3</v>
      </c>
      <c r="N224" s="15">
        <v>1.9599999999999999E-2</v>
      </c>
      <c r="O224" s="15">
        <v>6.7199999999999996E-2</v>
      </c>
      <c r="P224" s="15">
        <v>3.1899999999999998E-2</v>
      </c>
      <c r="Q224" s="15">
        <v>3.4500000000000003E-2</v>
      </c>
      <c r="R224" s="7"/>
    </row>
    <row r="225" spans="1:18" x14ac:dyDescent="0.25">
      <c r="A225">
        <v>199208</v>
      </c>
      <c r="B225" s="15">
        <v>1.55E-2</v>
      </c>
      <c r="C225" s="15">
        <v>-4.6500000000000007E-2</v>
      </c>
      <c r="D225" s="15">
        <v>2.4900000000000002E-2</v>
      </c>
      <c r="E225" s="15">
        <v>-1.24E-2</v>
      </c>
      <c r="F225" s="15">
        <v>-2.12E-2</v>
      </c>
      <c r="G225" s="15">
        <v>-4.5100000000000001E-2</v>
      </c>
      <c r="H225" s="15">
        <v>-3.1200000000000002E-2</v>
      </c>
      <c r="I225" s="15">
        <v>-2.5999999999999999E-3</v>
      </c>
      <c r="J225" s="15">
        <v>-9.1400000000000009E-2</v>
      </c>
      <c r="K225" s="15">
        <v>-1.5E-3</v>
      </c>
      <c r="L225" s="15">
        <v>-4.5899999999999996E-2</v>
      </c>
      <c r="M225" s="15">
        <v>-0.10830000000000001</v>
      </c>
      <c r="N225" s="15">
        <v>-4.7899999999999998E-2</v>
      </c>
      <c r="O225" s="15">
        <v>-4.6999999999999993E-3</v>
      </c>
      <c r="P225" s="15">
        <v>-3.4000000000000002E-3</v>
      </c>
      <c r="Q225" s="15">
        <v>-3.3000000000000002E-2</v>
      </c>
      <c r="R225" s="7"/>
    </row>
    <row r="226" spans="1:18" x14ac:dyDescent="0.25">
      <c r="A226">
        <v>199209</v>
      </c>
      <c r="B226" s="15">
        <v>1.0700000000000001E-2</v>
      </c>
      <c r="C226" s="15">
        <v>4.4000000000000003E-3</v>
      </c>
      <c r="D226" s="15">
        <v>1.8E-3</v>
      </c>
      <c r="E226" s="15">
        <v>4.1900000000000007E-2</v>
      </c>
      <c r="F226" s="15">
        <v>3.3599999999999998E-2</v>
      </c>
      <c r="G226" s="15">
        <v>2.3E-3</v>
      </c>
      <c r="H226" s="15">
        <v>-3.49E-2</v>
      </c>
      <c r="I226" s="15">
        <v>2.5499999999999998E-2</v>
      </c>
      <c r="J226" s="15">
        <v>-4.8999999999999998E-3</v>
      </c>
      <c r="K226" s="15">
        <v>-5.4000000000000003E-3</v>
      </c>
      <c r="L226" s="15">
        <v>3.1600000000000003E-2</v>
      </c>
      <c r="M226" s="15">
        <v>-9.0000000000000011E-3</v>
      </c>
      <c r="N226" s="15">
        <v>1.66E-2</v>
      </c>
      <c r="O226" s="15">
        <v>8.3000000000000001E-3</v>
      </c>
      <c r="P226" s="15">
        <v>4.4900000000000002E-2</v>
      </c>
      <c r="Q226" s="15">
        <v>3.3099999999999997E-2</v>
      </c>
      <c r="R226" s="7"/>
    </row>
    <row r="227" spans="1:18" x14ac:dyDescent="0.25">
      <c r="A227">
        <v>199210</v>
      </c>
      <c r="B227" s="15">
        <v>-1.06E-2</v>
      </c>
      <c r="C227" s="15">
        <v>-4.9500000000000002E-2</v>
      </c>
      <c r="D227" s="15">
        <v>-3.5499999999999997E-2</v>
      </c>
      <c r="E227" s="15">
        <v>6.6E-3</v>
      </c>
      <c r="F227" s="15">
        <v>-1.67E-2</v>
      </c>
      <c r="G227" s="15">
        <v>5.1999999999999998E-3</v>
      </c>
      <c r="H227" s="15">
        <v>2.87E-2</v>
      </c>
      <c r="I227" s="15">
        <v>2.3E-2</v>
      </c>
      <c r="J227" s="15">
        <v>1.54E-2</v>
      </c>
      <c r="K227" s="15">
        <v>1.7100000000000001E-2</v>
      </c>
      <c r="L227" s="15">
        <v>-1.06E-2</v>
      </c>
      <c r="M227" s="15">
        <v>-2.8000000000000004E-3</v>
      </c>
      <c r="N227" s="15">
        <v>4.5400000000000003E-2</v>
      </c>
      <c r="O227" s="15">
        <v>-4.3E-3</v>
      </c>
      <c r="P227" s="15">
        <v>4.5199999999999997E-2</v>
      </c>
      <c r="Q227" s="15">
        <v>2.81E-2</v>
      </c>
      <c r="R227" s="7"/>
    </row>
    <row r="228" spans="1:18" x14ac:dyDescent="0.25">
      <c r="A228">
        <v>199211</v>
      </c>
      <c r="B228" s="15">
        <v>2.81E-2</v>
      </c>
      <c r="C228" s="15">
        <v>-6.6199999999999995E-2</v>
      </c>
      <c r="D228" s="15">
        <v>-2.5099999999999997E-2</v>
      </c>
      <c r="E228" s="15">
        <v>8.6800000000000002E-2</v>
      </c>
      <c r="F228" s="15">
        <v>6.2600000000000003E-2</v>
      </c>
      <c r="G228" s="15">
        <v>1.9799999999999998E-2</v>
      </c>
      <c r="H228" s="15">
        <v>3.2400000000000005E-2</v>
      </c>
      <c r="I228" s="15">
        <v>3.2300000000000002E-2</v>
      </c>
      <c r="J228" s="15">
        <v>7.0699999999999999E-2</v>
      </c>
      <c r="K228" s="15">
        <v>4.07E-2</v>
      </c>
      <c r="L228" s="15">
        <v>6.0700000000000004E-2</v>
      </c>
      <c r="M228" s="15">
        <v>8.3400000000000002E-2</v>
      </c>
      <c r="N228" s="15">
        <v>4.1700000000000001E-2</v>
      </c>
      <c r="O228" s="15">
        <v>-2.3E-3</v>
      </c>
      <c r="P228" s="15">
        <v>7.2900000000000006E-2</v>
      </c>
      <c r="Q228" s="15">
        <v>6.5700000000000008E-2</v>
      </c>
      <c r="R228" s="7"/>
    </row>
    <row r="229" spans="1:18" x14ac:dyDescent="0.25">
      <c r="A229">
        <v>199212</v>
      </c>
      <c r="B229" s="15">
        <v>3.4999999999999996E-3</v>
      </c>
      <c r="C229" s="15">
        <v>3.6699999999999997E-2</v>
      </c>
      <c r="D229" s="15">
        <v>1.95E-2</v>
      </c>
      <c r="E229" s="15">
        <v>1.34E-2</v>
      </c>
      <c r="F229" s="15">
        <v>-5.1999999999999998E-3</v>
      </c>
      <c r="G229" s="15">
        <v>9.1999999999999998E-3</v>
      </c>
      <c r="H229" s="15">
        <v>-1.89E-2</v>
      </c>
      <c r="I229" s="15">
        <v>2.12E-2</v>
      </c>
      <c r="J229" s="15">
        <v>4.0399999999999998E-2</v>
      </c>
      <c r="K229" s="15">
        <v>2.3700000000000002E-2</v>
      </c>
      <c r="L229" s="15">
        <v>1.04E-2</v>
      </c>
      <c r="M229" s="15">
        <v>3.7900000000000003E-2</v>
      </c>
      <c r="N229" s="15">
        <v>4.6399999999999997E-2</v>
      </c>
      <c r="O229" s="15">
        <v>2.7000000000000003E-2</v>
      </c>
      <c r="P229" s="15">
        <v>-5.3E-3</v>
      </c>
      <c r="Q229" s="15">
        <v>4.6100000000000002E-2</v>
      </c>
      <c r="R229" s="7"/>
    </row>
    <row r="230" spans="1:18" x14ac:dyDescent="0.25">
      <c r="A230">
        <v>199301</v>
      </c>
      <c r="B230" s="15">
        <v>-1.66E-2</v>
      </c>
      <c r="C230" s="15">
        <v>-2.7699999999999999E-2</v>
      </c>
      <c r="D230" s="15">
        <v>2.6699999999999998E-2</v>
      </c>
      <c r="E230" s="15">
        <v>1.6000000000000001E-3</v>
      </c>
      <c r="F230" s="15">
        <v>8.1699999999999995E-2</v>
      </c>
      <c r="G230" s="15">
        <v>-2.18E-2</v>
      </c>
      <c r="H230" s="15">
        <v>-7.0300000000000001E-2</v>
      </c>
      <c r="I230" s="15">
        <v>-4.6999999999999993E-3</v>
      </c>
      <c r="J230" s="15">
        <v>6.5299999999999997E-2</v>
      </c>
      <c r="K230" s="15">
        <v>1.6E-2</v>
      </c>
      <c r="L230" s="15">
        <v>4.1100000000000005E-2</v>
      </c>
      <c r="M230" s="15">
        <v>9.820000000000001E-2</v>
      </c>
      <c r="N230" s="15">
        <v>3.3E-3</v>
      </c>
      <c r="O230" s="15">
        <v>2.4500000000000001E-2</v>
      </c>
      <c r="P230" s="15">
        <v>1E-4</v>
      </c>
      <c r="Q230" s="15">
        <v>3.7400000000000003E-2</v>
      </c>
      <c r="R230" s="7"/>
    </row>
    <row r="231" spans="1:18" x14ac:dyDescent="0.25">
      <c r="A231">
        <v>199302</v>
      </c>
      <c r="B231" s="15">
        <v>-2.3E-2</v>
      </c>
      <c r="C231" s="15">
        <v>3.6900000000000002E-2</v>
      </c>
      <c r="D231" s="15">
        <v>6.0499999999999998E-2</v>
      </c>
      <c r="E231" s="15">
        <v>-2.81E-2</v>
      </c>
      <c r="F231" s="15">
        <v>1.1899999999999999E-2</v>
      </c>
      <c r="G231" s="15">
        <v>3.8E-3</v>
      </c>
      <c r="H231" s="15">
        <v>-4.0999999999999995E-2</v>
      </c>
      <c r="I231" s="15">
        <v>4.1799999999999997E-2</v>
      </c>
      <c r="J231" s="15">
        <v>-5.1999999999999998E-3</v>
      </c>
      <c r="K231" s="15">
        <v>-1.44E-2</v>
      </c>
      <c r="L231" s="15">
        <v>1.8E-3</v>
      </c>
      <c r="M231" s="15">
        <v>-2.9999999999999997E-4</v>
      </c>
      <c r="N231" s="15">
        <v>1.3000000000000001E-2</v>
      </c>
      <c r="O231" s="15">
        <v>6.2199999999999998E-2</v>
      </c>
      <c r="P231" s="15">
        <v>-1.54E-2</v>
      </c>
      <c r="Q231" s="15">
        <v>9.3999999999999986E-3</v>
      </c>
      <c r="R231" s="7"/>
    </row>
    <row r="232" spans="1:18" x14ac:dyDescent="0.25">
      <c r="A232">
        <v>199303</v>
      </c>
      <c r="B232" s="15">
        <v>-5.3E-3</v>
      </c>
      <c r="C232" s="15">
        <v>0.1027</v>
      </c>
      <c r="D232" s="15">
        <v>4.0300000000000002E-2</v>
      </c>
      <c r="E232" s="15">
        <v>3.9699999999999999E-2</v>
      </c>
      <c r="F232" s="15">
        <v>3.2799999999999996E-2</v>
      </c>
      <c r="G232" s="15">
        <v>2.06E-2</v>
      </c>
      <c r="H232" s="15">
        <v>2.2000000000000001E-3</v>
      </c>
      <c r="I232" s="15">
        <v>1.4800000000000001E-2</v>
      </c>
      <c r="J232" s="15">
        <v>-7.8000000000000005E-3</v>
      </c>
      <c r="K232" s="15">
        <v>3.9100000000000003E-2</v>
      </c>
      <c r="L232" s="15">
        <v>2.2200000000000001E-2</v>
      </c>
      <c r="M232" s="15">
        <v>5.6500000000000002E-2</v>
      </c>
      <c r="N232" s="15">
        <v>4.0599999999999997E-2</v>
      </c>
      <c r="O232" s="15">
        <v>1.7600000000000001E-2</v>
      </c>
      <c r="P232" s="15">
        <v>3.0600000000000002E-2</v>
      </c>
      <c r="Q232" s="15">
        <v>4.2900000000000001E-2</v>
      </c>
      <c r="R232" s="7"/>
    </row>
    <row r="233" spans="1:18" x14ac:dyDescent="0.25">
      <c r="A233">
        <v>199304</v>
      </c>
      <c r="B233" s="15">
        <v>-0.10859999999999999</v>
      </c>
      <c r="C233" s="15">
        <v>2.7999999999999997E-2</v>
      </c>
      <c r="D233" s="15">
        <v>1.06E-2</v>
      </c>
      <c r="E233" s="15">
        <v>-5.4000000000000006E-2</v>
      </c>
      <c r="F233" s="15">
        <v>-5.9000000000000004E-2</v>
      </c>
      <c r="G233" s="15">
        <v>2.9500000000000002E-2</v>
      </c>
      <c r="H233" s="15">
        <v>6.6E-3</v>
      </c>
      <c r="I233" s="15">
        <v>-3.1E-2</v>
      </c>
      <c r="J233" s="15">
        <v>-2.2099999999999998E-2</v>
      </c>
      <c r="K233" s="15">
        <v>-7.4000000000000003E-3</v>
      </c>
      <c r="L233" s="15">
        <v>-1.9599999999999999E-2</v>
      </c>
      <c r="M233" s="15">
        <v>3.7599999999999995E-2</v>
      </c>
      <c r="N233" s="15">
        <v>1.0700000000000001E-2</v>
      </c>
      <c r="O233" s="15">
        <v>-1.5E-3</v>
      </c>
      <c r="P233" s="15">
        <v>-8.8100000000000012E-2</v>
      </c>
      <c r="Q233" s="15">
        <v>-3.7900000000000003E-2</v>
      </c>
      <c r="R233" s="7"/>
    </row>
    <row r="234" spans="1:18" x14ac:dyDescent="0.25">
      <c r="A234">
        <v>199305</v>
      </c>
      <c r="B234" s="15">
        <v>2.9100000000000001E-2</v>
      </c>
      <c r="C234" s="15">
        <v>6.0599999999999994E-2</v>
      </c>
      <c r="D234" s="15">
        <v>1.7600000000000001E-2</v>
      </c>
      <c r="E234" s="15">
        <v>1.72E-2</v>
      </c>
      <c r="F234" s="15">
        <v>3.2500000000000001E-2</v>
      </c>
      <c r="G234" s="15">
        <v>1.95E-2</v>
      </c>
      <c r="H234" s="15">
        <v>2.1899999999999999E-2</v>
      </c>
      <c r="I234" s="15">
        <v>2.9100000000000001E-2</v>
      </c>
      <c r="J234" s="15">
        <v>4.1500000000000002E-2</v>
      </c>
      <c r="K234" s="15">
        <v>1.84E-2</v>
      </c>
      <c r="L234" s="15">
        <v>6.59E-2</v>
      </c>
      <c r="M234" s="15">
        <v>1.11E-2</v>
      </c>
      <c r="N234" s="15">
        <v>2.76E-2</v>
      </c>
      <c r="O234" s="15">
        <v>-4.0000000000000002E-4</v>
      </c>
      <c r="P234" s="15">
        <v>5.5099999999999996E-2</v>
      </c>
      <c r="Q234" s="15">
        <v>4.0000000000000001E-3</v>
      </c>
      <c r="R234" s="7"/>
    </row>
    <row r="235" spans="1:18" x14ac:dyDescent="0.25">
      <c r="A235">
        <v>199306</v>
      </c>
      <c r="B235" s="15">
        <v>-4.5999999999999999E-3</v>
      </c>
      <c r="C235" s="15">
        <v>3.4200000000000001E-2</v>
      </c>
      <c r="D235" s="15">
        <v>-1.04E-2</v>
      </c>
      <c r="E235" s="15">
        <v>-8.3800000000000013E-2</v>
      </c>
      <c r="F235" s="15">
        <v>-3.4000000000000002E-3</v>
      </c>
      <c r="G235" s="15">
        <v>-3.9399999999999998E-2</v>
      </c>
      <c r="H235" s="15">
        <v>-2.4799999999999999E-2</v>
      </c>
      <c r="I235" s="15">
        <v>-2.07E-2</v>
      </c>
      <c r="J235" s="15">
        <v>1.3000000000000001E-2</v>
      </c>
      <c r="K235" s="15">
        <v>-2.3700000000000002E-2</v>
      </c>
      <c r="L235" s="15">
        <v>1.9E-3</v>
      </c>
      <c r="M235" s="15">
        <v>4.2900000000000001E-2</v>
      </c>
      <c r="N235" s="15">
        <v>4.0000000000000001E-3</v>
      </c>
      <c r="O235" s="15">
        <v>3.1800000000000002E-2</v>
      </c>
      <c r="P235" s="15">
        <v>-3.5000000000000003E-2</v>
      </c>
      <c r="Q235" s="15">
        <v>3.9E-2</v>
      </c>
      <c r="R235" s="7"/>
    </row>
    <row r="236" spans="1:18" x14ac:dyDescent="0.25">
      <c r="A236">
        <v>199307</v>
      </c>
      <c r="B236" s="15">
        <v>-2.53E-2</v>
      </c>
      <c r="C236" s="15">
        <v>6.7199999999999996E-2</v>
      </c>
      <c r="D236" s="15">
        <v>4.7999999999999996E-3</v>
      </c>
      <c r="E236" s="15">
        <v>-4.0800000000000003E-2</v>
      </c>
      <c r="F236" s="15">
        <v>1.7399999999999999E-2</v>
      </c>
      <c r="G236" s="15">
        <v>8.6E-3</v>
      </c>
      <c r="H236" s="15">
        <v>-6.7799999999999999E-2</v>
      </c>
      <c r="I236" s="15">
        <v>3.7000000000000002E-3</v>
      </c>
      <c r="J236" s="15">
        <v>-2.1099999999999997E-2</v>
      </c>
      <c r="K236" s="15">
        <v>-2.7200000000000002E-2</v>
      </c>
      <c r="L236" s="15">
        <v>-1.77E-2</v>
      </c>
      <c r="M236" s="15">
        <v>2.53E-2</v>
      </c>
      <c r="N236" s="15">
        <v>3.4099999999999998E-2</v>
      </c>
      <c r="O236" s="15">
        <v>1.9400000000000001E-2</v>
      </c>
      <c r="P236" s="15">
        <v>5.0000000000000001E-3</v>
      </c>
      <c r="Q236" s="15">
        <v>2.41E-2</v>
      </c>
      <c r="R236" s="7"/>
    </row>
    <row r="237" spans="1:18" x14ac:dyDescent="0.25">
      <c r="A237">
        <v>199308</v>
      </c>
      <c r="B237" s="15">
        <v>4.2900000000000001E-2</v>
      </c>
      <c r="C237" s="15">
        <v>-6.7699999999999996E-2</v>
      </c>
      <c r="D237" s="15">
        <v>4.2300000000000004E-2</v>
      </c>
      <c r="E237" s="15">
        <v>5.3099999999999994E-2</v>
      </c>
      <c r="F237" s="15">
        <v>7.6600000000000001E-2</v>
      </c>
      <c r="G237" s="15">
        <v>3.49E-2</v>
      </c>
      <c r="H237" s="15">
        <v>3.5400000000000001E-2</v>
      </c>
      <c r="I237" s="15">
        <v>3.27E-2</v>
      </c>
      <c r="J237" s="15">
        <v>2.8799999999999999E-2</v>
      </c>
      <c r="K237" s="15">
        <v>5.0799999999999998E-2</v>
      </c>
      <c r="L237" s="15">
        <v>5.8299999999999998E-2</v>
      </c>
      <c r="M237" s="15">
        <v>-4.3E-3</v>
      </c>
      <c r="N237" s="15">
        <v>4.0899999999999999E-2</v>
      </c>
      <c r="O237" s="15">
        <v>3.6900000000000002E-2</v>
      </c>
      <c r="P237" s="15">
        <v>3.95E-2</v>
      </c>
      <c r="Q237" s="15">
        <v>3.1300000000000001E-2</v>
      </c>
      <c r="R237" s="7"/>
    </row>
    <row r="238" spans="1:18" x14ac:dyDescent="0.25">
      <c r="A238">
        <v>199309</v>
      </c>
      <c r="B238" s="15">
        <v>-2.1499999999999998E-2</v>
      </c>
      <c r="C238" s="15">
        <v>-8.0199999999999994E-2</v>
      </c>
      <c r="D238" s="15">
        <v>1.3500000000000002E-2</v>
      </c>
      <c r="E238" s="15">
        <v>-3.3300000000000003E-2</v>
      </c>
      <c r="F238" s="15">
        <v>-6.1999999999999998E-3</v>
      </c>
      <c r="G238" s="15">
        <v>-2.6499999999999999E-2</v>
      </c>
      <c r="H238" s="15">
        <v>-3.9000000000000003E-3</v>
      </c>
      <c r="I238" s="15">
        <v>-2.2200000000000001E-2</v>
      </c>
      <c r="J238" s="15">
        <v>-4.3899999999999995E-2</v>
      </c>
      <c r="K238" s="15">
        <v>5.8999999999999999E-3</v>
      </c>
      <c r="L238" s="15">
        <v>-1.2199999999999999E-2</v>
      </c>
      <c r="M238" s="15">
        <v>8.5000000000000006E-3</v>
      </c>
      <c r="N238" s="15">
        <v>-7.1999999999999998E-3</v>
      </c>
      <c r="O238" s="15">
        <v>-6.4000000000000003E-3</v>
      </c>
      <c r="P238" s="15">
        <v>2.0999999999999999E-3</v>
      </c>
      <c r="Q238" s="15">
        <v>2.3900000000000001E-2</v>
      </c>
      <c r="R238" s="7"/>
    </row>
    <row r="239" spans="1:18" x14ac:dyDescent="0.25">
      <c r="A239">
        <v>199310</v>
      </c>
      <c r="B239" s="15">
        <v>5.9400000000000001E-2</v>
      </c>
      <c r="C239" s="15">
        <v>6.6600000000000006E-2</v>
      </c>
      <c r="D239" s="15">
        <v>-1.9400000000000001E-2</v>
      </c>
      <c r="E239" s="15">
        <v>4.5400000000000003E-2</v>
      </c>
      <c r="F239" s="15">
        <v>4.2000000000000003E-2</v>
      </c>
      <c r="G239" s="15">
        <v>2.3799999999999998E-2</v>
      </c>
      <c r="H239" s="15">
        <v>6.5599999999999992E-2</v>
      </c>
      <c r="I239" s="15">
        <v>2.8399999999999998E-2</v>
      </c>
      <c r="J239" s="15">
        <v>4.2300000000000004E-2</v>
      </c>
      <c r="K239" s="15">
        <v>6.9099999999999995E-2</v>
      </c>
      <c r="L239" s="15">
        <v>9.8999999999999991E-3</v>
      </c>
      <c r="M239" s="15">
        <v>9.7899999999999987E-2</v>
      </c>
      <c r="N239" s="15">
        <v>2.2599999999999999E-2</v>
      </c>
      <c r="O239" s="15">
        <v>-1.9599999999999999E-2</v>
      </c>
      <c r="P239" s="15">
        <v>5.2199999999999996E-2</v>
      </c>
      <c r="Q239" s="15">
        <v>-3.8199999999999998E-2</v>
      </c>
      <c r="R239" s="7"/>
    </row>
    <row r="240" spans="1:18" x14ac:dyDescent="0.25">
      <c r="A240">
        <v>199311</v>
      </c>
      <c r="B240" s="15">
        <v>2E-3</v>
      </c>
      <c r="C240" s="15">
        <v>-2.5000000000000001E-2</v>
      </c>
      <c r="D240" s="15">
        <v>-5.9800000000000006E-2</v>
      </c>
      <c r="E240" s="15">
        <v>1.0700000000000001E-2</v>
      </c>
      <c r="F240" s="15">
        <v>-5.4000000000000003E-3</v>
      </c>
      <c r="G240" s="15">
        <v>1.34E-2</v>
      </c>
      <c r="H240" s="15">
        <v>2.29E-2</v>
      </c>
      <c r="I240" s="15">
        <v>2.9700000000000001E-2</v>
      </c>
      <c r="J240" s="15">
        <v>4.0999999999999995E-3</v>
      </c>
      <c r="K240" s="15">
        <v>-8.9999999999999998E-4</v>
      </c>
      <c r="L240" s="15">
        <v>8.3999999999999995E-3</v>
      </c>
      <c r="M240" s="15">
        <v>1.54E-2</v>
      </c>
      <c r="N240" s="15">
        <v>1.2500000000000001E-2</v>
      </c>
      <c r="O240" s="15">
        <v>-5.5199999999999999E-2</v>
      </c>
      <c r="P240" s="15">
        <v>8.5000000000000006E-3</v>
      </c>
      <c r="Q240" s="15">
        <v>-3.85E-2</v>
      </c>
      <c r="R240" s="7"/>
    </row>
    <row r="241" spans="1:18" x14ac:dyDescent="0.25">
      <c r="A241">
        <v>199312</v>
      </c>
      <c r="B241" s="15">
        <v>1.5900000000000001E-2</v>
      </c>
      <c r="C241" s="15">
        <v>0.10710000000000001</v>
      </c>
      <c r="D241" s="15">
        <v>6.0000000000000001E-3</v>
      </c>
      <c r="E241" s="15">
        <v>5.1000000000000004E-3</v>
      </c>
      <c r="F241" s="15">
        <v>1.2699999999999999E-2</v>
      </c>
      <c r="G241" s="15">
        <v>2.64E-2</v>
      </c>
      <c r="H241" s="15">
        <v>1.15E-2</v>
      </c>
      <c r="I241" s="15">
        <v>1.21E-2</v>
      </c>
      <c r="J241" s="15">
        <v>6.7299999999999999E-2</v>
      </c>
      <c r="K241" s="15">
        <v>3.6200000000000003E-2</v>
      </c>
      <c r="L241" s="15">
        <v>5.1500000000000004E-2</v>
      </c>
      <c r="M241" s="15">
        <v>4.24E-2</v>
      </c>
      <c r="N241" s="15">
        <v>3.7499999999999999E-2</v>
      </c>
      <c r="O241" s="15">
        <v>1.61E-2</v>
      </c>
      <c r="P241" s="15">
        <v>-3.1699999999999999E-2</v>
      </c>
      <c r="Q241" s="15">
        <v>2.2599999999999999E-2</v>
      </c>
      <c r="R241" s="7"/>
    </row>
    <row r="242" spans="1:18" x14ac:dyDescent="0.25">
      <c r="A242">
        <v>199401</v>
      </c>
      <c r="B242" s="15">
        <v>-7.3000000000000001E-3</v>
      </c>
      <c r="C242" s="15">
        <v>9.300000000000001E-3</v>
      </c>
      <c r="D242" s="15">
        <v>4.8899999999999999E-2</v>
      </c>
      <c r="E242" s="15">
        <v>-2.76E-2</v>
      </c>
      <c r="F242" s="15">
        <v>2.1000000000000001E-2</v>
      </c>
      <c r="G242" s="15">
        <v>8.4199999999999997E-2</v>
      </c>
      <c r="H242" s="15">
        <v>8.6E-3</v>
      </c>
      <c r="I242" s="15">
        <v>2.5099999999999997E-2</v>
      </c>
      <c r="J242" s="15">
        <v>0.10390000000000001</v>
      </c>
      <c r="K242" s="15">
        <v>6.3E-3</v>
      </c>
      <c r="L242" s="15">
        <v>4.3299999999999998E-2</v>
      </c>
      <c r="M242" s="15">
        <v>8.2299999999999998E-2</v>
      </c>
      <c r="N242" s="15">
        <v>3.7900000000000003E-2</v>
      </c>
      <c r="O242" s="15">
        <v>-1.21E-2</v>
      </c>
      <c r="P242" s="15">
        <v>9.7999999999999997E-3</v>
      </c>
      <c r="Q242" s="15">
        <v>4.1500000000000002E-2</v>
      </c>
      <c r="R242" s="7"/>
    </row>
    <row r="243" spans="1:18" x14ac:dyDescent="0.25">
      <c r="A243">
        <v>199402</v>
      </c>
      <c r="B243" s="15">
        <v>-9.1999999999999998E-3</v>
      </c>
      <c r="C243" s="15">
        <v>-9.300000000000001E-3</v>
      </c>
      <c r="D243" s="15">
        <v>-2.92E-2</v>
      </c>
      <c r="E243" s="15">
        <v>1.8700000000000001E-2</v>
      </c>
      <c r="F243" s="15">
        <v>-1.3600000000000001E-2</v>
      </c>
      <c r="G243" s="15">
        <v>-9.3999999999999986E-3</v>
      </c>
      <c r="H243" s="15">
        <v>-4.9200000000000001E-2</v>
      </c>
      <c r="I243" s="15">
        <v>1.4000000000000002E-3</v>
      </c>
      <c r="J243" s="15">
        <v>-3.0699999999999998E-2</v>
      </c>
      <c r="K243" s="15">
        <v>-5.8999999999999999E-3</v>
      </c>
      <c r="L243" s="15">
        <v>9.3999999999999986E-3</v>
      </c>
      <c r="M243" s="15">
        <v>-4.6900000000000004E-2</v>
      </c>
      <c r="N243" s="15">
        <v>-1.6500000000000001E-2</v>
      </c>
      <c r="O243" s="15">
        <v>-4.9699999999999994E-2</v>
      </c>
      <c r="P243" s="15">
        <v>2.1400000000000002E-2</v>
      </c>
      <c r="Q243" s="15">
        <v>-4.0399999999999998E-2</v>
      </c>
      <c r="R243" s="7"/>
    </row>
    <row r="244" spans="1:18" x14ac:dyDescent="0.25">
      <c r="A244">
        <v>199403</v>
      </c>
      <c r="B244" s="15">
        <v>-3.8800000000000001E-2</v>
      </c>
      <c r="C244" s="15">
        <v>1.8000000000000002E-2</v>
      </c>
      <c r="D244" s="15">
        <v>-3.5699999999999996E-2</v>
      </c>
      <c r="E244" s="15">
        <v>-5.4000000000000003E-3</v>
      </c>
      <c r="F244" s="15">
        <v>-3.5200000000000002E-2</v>
      </c>
      <c r="G244" s="15">
        <v>-2.9600000000000001E-2</v>
      </c>
      <c r="H244" s="15">
        <v>-7.17E-2</v>
      </c>
      <c r="I244" s="15">
        <v>-4.7400000000000005E-2</v>
      </c>
      <c r="J244" s="15">
        <v>-5.6399999999999999E-2</v>
      </c>
      <c r="K244" s="15">
        <v>-4.4000000000000004E-2</v>
      </c>
      <c r="L244" s="15">
        <v>-3.9800000000000002E-2</v>
      </c>
      <c r="M244" s="15">
        <v>-6.5599999999999992E-2</v>
      </c>
      <c r="N244" s="15">
        <v>-5.2999999999999999E-2</v>
      </c>
      <c r="O244" s="15">
        <v>-3.9199999999999999E-2</v>
      </c>
      <c r="P244" s="15">
        <v>-5.0099999999999999E-2</v>
      </c>
      <c r="Q244" s="15">
        <v>-3.2599999999999997E-2</v>
      </c>
      <c r="R244" s="7"/>
    </row>
    <row r="245" spans="1:18" x14ac:dyDescent="0.25">
      <c r="A245">
        <v>199404</v>
      </c>
      <c r="B245" s="15">
        <v>1.23E-2</v>
      </c>
      <c r="C245" s="15">
        <v>-9.4800000000000009E-2</v>
      </c>
      <c r="D245" s="15">
        <v>4.2099999999999999E-2</v>
      </c>
      <c r="E245" s="15">
        <v>2.7000000000000001E-3</v>
      </c>
      <c r="F245" s="15">
        <v>-1.66E-2</v>
      </c>
      <c r="G245" s="15">
        <v>2.4900000000000002E-2</v>
      </c>
      <c r="H245" s="15">
        <v>4.6199999999999998E-2</v>
      </c>
      <c r="I245" s="15">
        <v>5.6000000000000008E-3</v>
      </c>
      <c r="J245" s="15">
        <v>-9.3999999999999986E-3</v>
      </c>
      <c r="K245" s="15">
        <v>2.7000000000000001E-3</v>
      </c>
      <c r="L245" s="15">
        <v>-2.3399999999999997E-2</v>
      </c>
      <c r="M245" s="15">
        <v>4.6999999999999993E-3</v>
      </c>
      <c r="N245" s="15">
        <v>-4.1999999999999997E-3</v>
      </c>
      <c r="O245" s="15">
        <v>2.1299999999999999E-2</v>
      </c>
      <c r="P245" s="15">
        <v>5.0000000000000001E-4</v>
      </c>
      <c r="Q245" s="15">
        <v>2.4900000000000002E-2</v>
      </c>
      <c r="R245" s="7"/>
    </row>
    <row r="246" spans="1:18" x14ac:dyDescent="0.25">
      <c r="A246">
        <v>199405</v>
      </c>
      <c r="B246" s="15">
        <v>-1.3100000000000001E-2</v>
      </c>
      <c r="C246" s="15">
        <v>8.6999999999999994E-3</v>
      </c>
      <c r="D246" s="15">
        <v>8.8000000000000005E-3</v>
      </c>
      <c r="E246" s="15">
        <v>-3.4099999999999998E-2</v>
      </c>
      <c r="F246" s="15">
        <v>1.9400000000000001E-2</v>
      </c>
      <c r="G246" s="15">
        <v>3.73E-2</v>
      </c>
      <c r="H246" s="15">
        <v>2.9900000000000003E-2</v>
      </c>
      <c r="I246" s="15">
        <v>1.2199999999999999E-2</v>
      </c>
      <c r="J246" s="15">
        <v>3.5000000000000003E-2</v>
      </c>
      <c r="K246" s="15">
        <v>3.04E-2</v>
      </c>
      <c r="L246" s="15">
        <v>4.1999999999999997E-3</v>
      </c>
      <c r="M246" s="15">
        <v>-2.18E-2</v>
      </c>
      <c r="N246" s="15">
        <v>-4.7999999999999996E-3</v>
      </c>
      <c r="O246" s="15">
        <v>-5.3499999999999999E-2</v>
      </c>
      <c r="P246" s="15">
        <v>-2.6800000000000001E-2</v>
      </c>
      <c r="Q246" s="15">
        <v>4.3299999999999998E-2</v>
      </c>
      <c r="R246" s="7"/>
    </row>
    <row r="247" spans="1:18" x14ac:dyDescent="0.25">
      <c r="A247">
        <v>199406</v>
      </c>
      <c r="B247" s="15">
        <v>-1.32E-2</v>
      </c>
      <c r="C247" s="15">
        <v>-2.3300000000000001E-2</v>
      </c>
      <c r="D247" s="15">
        <v>-2.7099999999999999E-2</v>
      </c>
      <c r="E247" s="15">
        <v>-3.8100000000000002E-2</v>
      </c>
      <c r="F247" s="15">
        <v>-2.3099999999999999E-2</v>
      </c>
      <c r="G247" s="15">
        <v>-2.8399999999999998E-2</v>
      </c>
      <c r="H247" s="15">
        <v>-2.98E-2</v>
      </c>
      <c r="I247" s="15">
        <v>-3.0800000000000001E-2</v>
      </c>
      <c r="J247" s="15">
        <v>8.6E-3</v>
      </c>
      <c r="K247" s="15">
        <v>-5.3E-3</v>
      </c>
      <c r="L247" s="15">
        <v>-4.5400000000000003E-2</v>
      </c>
      <c r="M247" s="15">
        <v>-3.0600000000000002E-2</v>
      </c>
      <c r="N247" s="15">
        <v>-1.6500000000000001E-2</v>
      </c>
      <c r="O247" s="15">
        <v>-3.1200000000000002E-2</v>
      </c>
      <c r="P247" s="15">
        <v>-2.07E-2</v>
      </c>
      <c r="Q247" s="15">
        <v>-2.5600000000000001E-2</v>
      </c>
      <c r="R247" s="7"/>
    </row>
    <row r="248" spans="1:18" x14ac:dyDescent="0.25">
      <c r="A248">
        <v>199407</v>
      </c>
      <c r="B248" s="15">
        <v>3.4000000000000002E-2</v>
      </c>
      <c r="C248" s="15">
        <v>8.199999999999999E-3</v>
      </c>
      <c r="D248" s="15">
        <v>3.1300000000000001E-2</v>
      </c>
      <c r="E248" s="15">
        <v>1.44E-2</v>
      </c>
      <c r="F248" s="15">
        <v>2.3799999999999998E-2</v>
      </c>
      <c r="G248" s="15">
        <v>3.9199999999999999E-2</v>
      </c>
      <c r="H248" s="15">
        <v>1.38E-2</v>
      </c>
      <c r="I248" s="15">
        <v>2.75E-2</v>
      </c>
      <c r="J248" s="15">
        <v>6.5599999999999992E-2</v>
      </c>
      <c r="K248" s="15">
        <v>-7.3000000000000001E-3</v>
      </c>
      <c r="L248" s="15">
        <v>4.7E-2</v>
      </c>
      <c r="M248" s="15">
        <v>3.7100000000000001E-2</v>
      </c>
      <c r="N248" s="15">
        <v>9.7000000000000003E-3</v>
      </c>
      <c r="O248" s="15">
        <v>5.16E-2</v>
      </c>
      <c r="P248" s="15">
        <v>9.1000000000000004E-3</v>
      </c>
      <c r="Q248" s="15">
        <v>2.8300000000000002E-2</v>
      </c>
      <c r="R248" s="7"/>
    </row>
    <row r="249" spans="1:18" x14ac:dyDescent="0.25">
      <c r="A249">
        <v>199408</v>
      </c>
      <c r="B249" s="15">
        <v>6.5500000000000003E-2</v>
      </c>
      <c r="C249" s="15">
        <v>4.3400000000000001E-2</v>
      </c>
      <c r="D249" s="15">
        <v>-2.0999999999999999E-3</v>
      </c>
      <c r="E249" s="15">
        <v>5.1900000000000002E-2</v>
      </c>
      <c r="F249" s="15">
        <v>4.58E-2</v>
      </c>
      <c r="G249" s="15">
        <v>6.2100000000000002E-2</v>
      </c>
      <c r="H249" s="15">
        <v>0.107</v>
      </c>
      <c r="I249" s="15">
        <v>5.8400000000000001E-2</v>
      </c>
      <c r="J249" s="15">
        <v>5.2900000000000003E-2</v>
      </c>
      <c r="K249" s="15">
        <v>3.3799999999999997E-2</v>
      </c>
      <c r="L249" s="15">
        <v>6.59E-2</v>
      </c>
      <c r="M249" s="15">
        <v>-1.23E-2</v>
      </c>
      <c r="N249" s="15">
        <v>3.2500000000000001E-2</v>
      </c>
      <c r="O249" s="15">
        <v>6.6E-3</v>
      </c>
      <c r="P249" s="15">
        <v>4.1100000000000005E-2</v>
      </c>
      <c r="Q249" s="15">
        <v>3.5299999999999998E-2</v>
      </c>
      <c r="R249" s="7"/>
    </row>
    <row r="250" spans="1:18" x14ac:dyDescent="0.25">
      <c r="A250">
        <v>199409</v>
      </c>
      <c r="B250" s="15">
        <v>9.0000000000000011E-3</v>
      </c>
      <c r="C250" s="15">
        <v>5.6299999999999996E-2</v>
      </c>
      <c r="D250" s="15">
        <v>-2.06E-2</v>
      </c>
      <c r="E250" s="15">
        <v>-3.49E-2</v>
      </c>
      <c r="F250" s="15">
        <v>-1.6399999999999998E-2</v>
      </c>
      <c r="G250" s="15">
        <v>-7.8000000000000005E-3</v>
      </c>
      <c r="H250" s="15">
        <v>6.3E-3</v>
      </c>
      <c r="I250" s="15">
        <v>-3.1899999999999998E-2</v>
      </c>
      <c r="J250" s="15">
        <v>6.3E-3</v>
      </c>
      <c r="K250" s="15">
        <v>-2.5699999999999997E-2</v>
      </c>
      <c r="L250" s="15">
        <v>-1.6E-2</v>
      </c>
      <c r="M250" s="15">
        <v>-5.3200000000000004E-2</v>
      </c>
      <c r="N250" s="15">
        <v>-6.3799999999999996E-2</v>
      </c>
      <c r="O250" s="15">
        <v>-2.7699999999999999E-2</v>
      </c>
      <c r="P250" s="15">
        <v>-2.6099999999999998E-2</v>
      </c>
      <c r="Q250" s="15">
        <v>-4.7699999999999992E-2</v>
      </c>
      <c r="R250" s="7"/>
    </row>
    <row r="251" spans="1:18" x14ac:dyDescent="0.25">
      <c r="A251">
        <v>199410</v>
      </c>
      <c r="B251" s="15">
        <v>2.5600000000000001E-2</v>
      </c>
      <c r="C251" s="15">
        <v>-8.48E-2</v>
      </c>
      <c r="D251" s="15">
        <v>7.3700000000000002E-2</v>
      </c>
      <c r="E251" s="15">
        <v>1.47E-2</v>
      </c>
      <c r="F251" s="15">
        <v>-3.0000000000000001E-3</v>
      </c>
      <c r="G251" s="15">
        <v>-1E-4</v>
      </c>
      <c r="H251" s="15">
        <v>2.4300000000000002E-2</v>
      </c>
      <c r="I251" s="15">
        <v>8.199999999999999E-3</v>
      </c>
      <c r="J251" s="15">
        <v>-3.7200000000000004E-2</v>
      </c>
      <c r="K251" s="15">
        <v>1.61E-2</v>
      </c>
      <c r="L251" s="15">
        <v>4.5499999999999999E-2</v>
      </c>
      <c r="M251" s="15">
        <v>-1.66E-2</v>
      </c>
      <c r="N251" s="15">
        <v>2.18E-2</v>
      </c>
      <c r="O251" s="15">
        <v>1.5700000000000002E-2</v>
      </c>
      <c r="P251" s="15">
        <v>1.2500000000000001E-2</v>
      </c>
      <c r="Q251" s="15">
        <v>3.3E-3</v>
      </c>
      <c r="R251" s="7"/>
    </row>
    <row r="252" spans="1:18" x14ac:dyDescent="0.25">
      <c r="A252">
        <v>199411</v>
      </c>
      <c r="B252" s="15">
        <v>-9.4999999999999998E-3</v>
      </c>
      <c r="C252" s="15">
        <v>-9.4299999999999995E-2</v>
      </c>
      <c r="D252" s="15">
        <v>-5.0999999999999997E-2</v>
      </c>
      <c r="E252" s="15">
        <v>-3.6699999999999997E-2</v>
      </c>
      <c r="F252" s="15">
        <v>-4.7400000000000005E-2</v>
      </c>
      <c r="G252" s="15">
        <v>-7.690000000000001E-2</v>
      </c>
      <c r="H252" s="15">
        <v>1.0200000000000001E-2</v>
      </c>
      <c r="I252" s="15">
        <v>-3.9900000000000005E-2</v>
      </c>
      <c r="J252" s="15">
        <v>-8.4700000000000011E-2</v>
      </c>
      <c r="K252" s="15">
        <v>-3.5799999999999998E-2</v>
      </c>
      <c r="L252" s="15">
        <v>-3.6400000000000002E-2</v>
      </c>
      <c r="M252" s="15">
        <v>-4.7199999999999999E-2</v>
      </c>
      <c r="N252" s="15">
        <v>-3.8300000000000001E-2</v>
      </c>
      <c r="O252" s="15">
        <v>2.7000000000000001E-3</v>
      </c>
      <c r="P252" s="15">
        <v>-3.3000000000000002E-2</v>
      </c>
      <c r="Q252" s="15">
        <v>-5.3699999999999998E-2</v>
      </c>
      <c r="R252" s="7"/>
    </row>
    <row r="253" spans="1:18" x14ac:dyDescent="0.25">
      <c r="A253">
        <v>199412</v>
      </c>
      <c r="B253" s="15">
        <v>1.41E-2</v>
      </c>
      <c r="C253" s="15">
        <v>2.5000000000000001E-2</v>
      </c>
      <c r="D253" s="15">
        <v>-6.9999999999999993E-3</v>
      </c>
      <c r="E253" s="15">
        <v>9.8999999999999991E-3</v>
      </c>
      <c r="F253" s="15">
        <v>9.0000000000000011E-3</v>
      </c>
      <c r="G253" s="15">
        <v>3.5799999999999998E-2</v>
      </c>
      <c r="H253" s="15">
        <v>2.8999999999999998E-3</v>
      </c>
      <c r="I253" s="15">
        <v>6.8000000000000005E-3</v>
      </c>
      <c r="J253" s="15">
        <v>4.41E-2</v>
      </c>
      <c r="K253" s="15">
        <v>1.1599999999999999E-2</v>
      </c>
      <c r="L253" s="15">
        <v>3.7100000000000001E-2</v>
      </c>
      <c r="M253" s="15">
        <v>4.4800000000000006E-2</v>
      </c>
      <c r="N253" s="15">
        <v>2.1499999999999998E-2</v>
      </c>
      <c r="O253" s="15">
        <v>3.4999999999999996E-3</v>
      </c>
      <c r="P253" s="15">
        <v>-4.1100000000000005E-2</v>
      </c>
      <c r="Q253" s="15">
        <v>1.3500000000000002E-2</v>
      </c>
      <c r="R253" s="7"/>
    </row>
    <row r="254" spans="1:18" x14ac:dyDescent="0.25">
      <c r="A254">
        <v>199501</v>
      </c>
      <c r="B254" s="15">
        <v>2.4900000000000002E-2</v>
      </c>
      <c r="C254" s="15">
        <v>-6.1799999999999994E-2</v>
      </c>
      <c r="D254" s="15">
        <v>2.3999999999999998E-3</v>
      </c>
      <c r="E254" s="15">
        <v>-2.9900000000000003E-2</v>
      </c>
      <c r="F254" s="15">
        <v>1.23E-2</v>
      </c>
      <c r="G254" s="15">
        <v>-2.5600000000000001E-2</v>
      </c>
      <c r="H254" s="15">
        <v>5.8700000000000002E-2</v>
      </c>
      <c r="I254" s="15">
        <v>1.2699999999999999E-2</v>
      </c>
      <c r="J254" s="15">
        <v>-6.0499999999999998E-2</v>
      </c>
      <c r="K254" s="15">
        <v>2.5099999999999997E-2</v>
      </c>
      <c r="L254" s="15">
        <v>-2E-3</v>
      </c>
      <c r="M254" s="15">
        <v>-5.79E-2</v>
      </c>
      <c r="N254" s="15">
        <v>0.02</v>
      </c>
      <c r="O254" s="15">
        <v>6.2100000000000002E-2</v>
      </c>
      <c r="P254" s="15">
        <v>1.5600000000000001E-2</v>
      </c>
      <c r="Q254" s="15">
        <v>5.6500000000000002E-2</v>
      </c>
      <c r="R254" s="7"/>
    </row>
    <row r="255" spans="1:18" x14ac:dyDescent="0.25">
      <c r="A255">
        <v>199502</v>
      </c>
      <c r="B255" s="15">
        <v>2.69E-2</v>
      </c>
      <c r="C255" s="15">
        <v>4.3099999999999999E-2</v>
      </c>
      <c r="D255" s="15">
        <v>4.7300000000000002E-2</v>
      </c>
      <c r="E255" s="15">
        <v>2.5099999999999997E-2</v>
      </c>
      <c r="F255" s="15">
        <v>5.0499999999999996E-2</v>
      </c>
      <c r="G255" s="15">
        <v>6.0499999999999998E-2</v>
      </c>
      <c r="H255" s="15">
        <v>1.7500000000000002E-2</v>
      </c>
      <c r="I255" s="15">
        <v>2.7999999999999997E-2</v>
      </c>
      <c r="J255" s="15">
        <v>3.44E-2</v>
      </c>
      <c r="K255" s="15">
        <v>4.2500000000000003E-2</v>
      </c>
      <c r="L255" s="15">
        <v>6.8600000000000008E-2</v>
      </c>
      <c r="M255" s="15">
        <v>4.6300000000000001E-2</v>
      </c>
      <c r="N255" s="15">
        <v>6.8699999999999997E-2</v>
      </c>
      <c r="O255" s="15">
        <v>8.199999999999999E-3</v>
      </c>
      <c r="P255" s="15">
        <v>2.8500000000000001E-2</v>
      </c>
      <c r="Q255" s="15">
        <v>4.9100000000000005E-2</v>
      </c>
      <c r="R255" s="7"/>
    </row>
    <row r="256" spans="1:18" x14ac:dyDescent="0.25">
      <c r="A256">
        <v>199503</v>
      </c>
      <c r="B256" s="15">
        <v>3.1099999999999999E-2</v>
      </c>
      <c r="C256" s="15">
        <v>0.1075</v>
      </c>
      <c r="D256" s="15">
        <v>5.1299999999999998E-2</v>
      </c>
      <c r="E256" s="15">
        <v>1E-4</v>
      </c>
      <c r="F256" s="15">
        <v>3.7200000000000004E-2</v>
      </c>
      <c r="G256" s="15">
        <v>5.8799999999999998E-2</v>
      </c>
      <c r="H256" s="15">
        <v>1.9299999999999998E-2</v>
      </c>
      <c r="I256" s="15">
        <v>3.4000000000000002E-3</v>
      </c>
      <c r="J256" s="15">
        <v>2.2400000000000003E-2</v>
      </c>
      <c r="K256" s="15">
        <v>4.4699999999999997E-2</v>
      </c>
      <c r="L256" s="15">
        <v>4.1700000000000001E-2</v>
      </c>
      <c r="M256" s="15">
        <v>1.2699999999999999E-2</v>
      </c>
      <c r="N256" s="15">
        <v>4.5700000000000005E-2</v>
      </c>
      <c r="O256" s="15">
        <v>-1.7500000000000002E-2</v>
      </c>
      <c r="P256" s="15">
        <v>4.3299999999999998E-2</v>
      </c>
      <c r="Q256" s="15">
        <v>1.18E-2</v>
      </c>
      <c r="R256" s="7"/>
    </row>
    <row r="257" spans="1:18" x14ac:dyDescent="0.25">
      <c r="A257">
        <v>199504</v>
      </c>
      <c r="B257" s="15">
        <v>3.6499999999999998E-2</v>
      </c>
      <c r="C257" s="15">
        <v>-1.4199999999999999E-2</v>
      </c>
      <c r="D257" s="15">
        <v>2.29E-2</v>
      </c>
      <c r="E257" s="15">
        <v>-7.1999999999999998E-3</v>
      </c>
      <c r="F257" s="15">
        <v>1.8100000000000002E-2</v>
      </c>
      <c r="G257" s="15">
        <v>3.1600000000000003E-2</v>
      </c>
      <c r="H257" s="15">
        <v>3.4700000000000002E-2</v>
      </c>
      <c r="I257" s="15">
        <v>-1.4000000000000002E-3</v>
      </c>
      <c r="J257" s="15">
        <v>1.5E-3</v>
      </c>
      <c r="K257" s="15">
        <v>1.1599999999999999E-2</v>
      </c>
      <c r="L257" s="15">
        <v>7.9600000000000004E-2</v>
      </c>
      <c r="M257" s="15">
        <v>1.7600000000000001E-2</v>
      </c>
      <c r="N257" s="15">
        <v>3.5200000000000002E-2</v>
      </c>
      <c r="O257" s="15">
        <v>2.3799999999999998E-2</v>
      </c>
      <c r="P257" s="15">
        <v>-2.2499999999999999E-2</v>
      </c>
      <c r="Q257" s="15">
        <v>1.7899999999999999E-2</v>
      </c>
      <c r="R257" s="7"/>
    </row>
    <row r="258" spans="1:18" x14ac:dyDescent="0.25">
      <c r="A258">
        <v>199505</v>
      </c>
      <c r="B258" s="15">
        <v>5.0799999999999998E-2</v>
      </c>
      <c r="C258" s="15">
        <v>-9.4999999999999998E-3</v>
      </c>
      <c r="D258" s="15">
        <v>4.1700000000000001E-2</v>
      </c>
      <c r="E258" s="15">
        <v>1.54E-2</v>
      </c>
      <c r="F258" s="15">
        <v>2.53E-2</v>
      </c>
      <c r="G258" s="15">
        <v>2.9500000000000002E-2</v>
      </c>
      <c r="H258" s="15">
        <v>3.0899999999999997E-2</v>
      </c>
      <c r="I258" s="15">
        <v>1.66E-2</v>
      </c>
      <c r="J258" s="15">
        <v>1.67E-2</v>
      </c>
      <c r="K258" s="15">
        <v>4.9100000000000005E-2</v>
      </c>
      <c r="L258" s="15">
        <v>3.5299999999999998E-2</v>
      </c>
      <c r="M258" s="15">
        <v>4.99E-2</v>
      </c>
      <c r="N258" s="15">
        <v>2.1700000000000001E-2</v>
      </c>
      <c r="O258" s="15">
        <v>6.0199999999999997E-2</v>
      </c>
      <c r="P258" s="15">
        <v>3.6000000000000004E-2</v>
      </c>
      <c r="Q258" s="15">
        <v>6.2199999999999998E-2</v>
      </c>
      <c r="R258" s="7"/>
    </row>
    <row r="259" spans="1:18" x14ac:dyDescent="0.25">
      <c r="A259">
        <v>199506</v>
      </c>
      <c r="B259" s="15">
        <v>1.7899999999999999E-2</v>
      </c>
      <c r="C259" s="15">
        <v>9.300000000000001E-3</v>
      </c>
      <c r="D259" s="15">
        <v>-3.0899999999999997E-2</v>
      </c>
      <c r="E259" s="15">
        <v>2.5899999999999999E-2</v>
      </c>
      <c r="F259" s="15">
        <v>8.0000000000000002E-3</v>
      </c>
      <c r="G259" s="15">
        <v>1.4800000000000001E-2</v>
      </c>
      <c r="H259" s="15">
        <v>3.0200000000000001E-2</v>
      </c>
      <c r="I259" s="15">
        <v>3.1600000000000003E-2</v>
      </c>
      <c r="J259" s="15">
        <v>6.6299999999999998E-2</v>
      </c>
      <c r="K259" s="15">
        <v>4.8999999999999998E-3</v>
      </c>
      <c r="L259" s="15">
        <v>6.2400000000000004E-2</v>
      </c>
      <c r="M259" s="15">
        <v>1.1599999999999999E-2</v>
      </c>
      <c r="N259" s="15">
        <v>4.2300000000000004E-2</v>
      </c>
      <c r="O259" s="15">
        <v>-4.5000000000000005E-3</v>
      </c>
      <c r="P259" s="15">
        <v>5.2499999999999998E-2</v>
      </c>
      <c r="Q259" s="15">
        <v>1.77E-2</v>
      </c>
      <c r="R259" s="7"/>
    </row>
    <row r="260" spans="1:18" x14ac:dyDescent="0.25">
      <c r="A260">
        <v>199507</v>
      </c>
      <c r="B260" s="15">
        <v>5.5000000000000005E-3</v>
      </c>
      <c r="C260" s="15">
        <v>5.5599999999999997E-2</v>
      </c>
      <c r="D260" s="15">
        <v>2.2000000000000002E-2</v>
      </c>
      <c r="E260" s="15">
        <v>6.2400000000000004E-2</v>
      </c>
      <c r="F260" s="15">
        <v>2.7999999999999997E-2</v>
      </c>
      <c r="G260" s="15">
        <v>2.64E-2</v>
      </c>
      <c r="H260" s="15">
        <v>2.5699999999999997E-2</v>
      </c>
      <c r="I260" s="15">
        <v>4.4600000000000001E-2</v>
      </c>
      <c r="J260" s="15">
        <v>6.4699999999999994E-2</v>
      </c>
      <c r="K260" s="15">
        <v>3.5400000000000001E-2</v>
      </c>
      <c r="L260" s="15">
        <v>7.4900000000000008E-2</v>
      </c>
      <c r="M260" s="15">
        <v>2.2000000000000002E-2</v>
      </c>
      <c r="N260" s="15">
        <v>7.6600000000000001E-2</v>
      </c>
      <c r="O260" s="15">
        <v>-3.7000000000000002E-3</v>
      </c>
      <c r="P260" s="15">
        <v>3.1200000000000002E-2</v>
      </c>
      <c r="Q260" s="15">
        <v>4.1900000000000007E-2</v>
      </c>
      <c r="R260" s="7"/>
    </row>
    <row r="261" spans="1:18" x14ac:dyDescent="0.25">
      <c r="A261">
        <v>199508</v>
      </c>
      <c r="B261" s="15">
        <v>1.1999999999999999E-3</v>
      </c>
      <c r="C261" s="15">
        <v>1.04E-2</v>
      </c>
      <c r="D261" s="15">
        <v>-1.6299999999999999E-2</v>
      </c>
      <c r="E261" s="15">
        <v>1.6000000000000001E-3</v>
      </c>
      <c r="F261" s="15">
        <v>9.1999999999999998E-3</v>
      </c>
      <c r="G261" s="15">
        <v>-7.000000000000001E-4</v>
      </c>
      <c r="H261" s="15">
        <v>2E-3</v>
      </c>
      <c r="I261" s="15">
        <v>-1.6399999999999998E-2</v>
      </c>
      <c r="J261" s="15">
        <v>-5.9999999999999995E-4</v>
      </c>
      <c r="K261" s="15">
        <v>-1.24E-2</v>
      </c>
      <c r="L261" s="15">
        <v>-1.7000000000000001E-3</v>
      </c>
      <c r="M261" s="15">
        <v>8.3000000000000001E-3</v>
      </c>
      <c r="N261" s="15">
        <v>-2.7000000000000001E-3</v>
      </c>
      <c r="O261" s="15">
        <v>9.8999999999999991E-3</v>
      </c>
      <c r="P261" s="15">
        <v>-3.1E-2</v>
      </c>
      <c r="Q261" s="15">
        <v>5.2000000000000005E-2</v>
      </c>
      <c r="R261" s="7"/>
    </row>
    <row r="262" spans="1:18" x14ac:dyDescent="0.25">
      <c r="A262">
        <v>199509</v>
      </c>
      <c r="B262" s="15">
        <v>8.1500000000000003E-2</v>
      </c>
      <c r="C262" s="15">
        <v>2.8999999999999998E-3</v>
      </c>
      <c r="D262" s="15">
        <v>1.24E-2</v>
      </c>
      <c r="E262" s="15">
        <v>1.7399999999999999E-2</v>
      </c>
      <c r="F262" s="15">
        <v>1E-3</v>
      </c>
      <c r="G262" s="15">
        <v>2.53E-2</v>
      </c>
      <c r="H262" s="15">
        <v>7.8799999999999995E-2</v>
      </c>
      <c r="I262" s="15">
        <v>1.9599999999999999E-2</v>
      </c>
      <c r="J262" s="15">
        <v>-4.1100000000000005E-2</v>
      </c>
      <c r="K262" s="15">
        <v>-4.07E-2</v>
      </c>
      <c r="L262" s="15">
        <v>1.3000000000000001E-2</v>
      </c>
      <c r="M262" s="15">
        <v>-3.9000000000000003E-3</v>
      </c>
      <c r="N262" s="15">
        <v>3.7900000000000003E-2</v>
      </c>
      <c r="O262" s="15">
        <v>6.2699999999999992E-2</v>
      </c>
      <c r="P262" s="15">
        <v>3.9100000000000003E-2</v>
      </c>
      <c r="Q262" s="15">
        <v>5.7599999999999998E-2</v>
      </c>
      <c r="R262" s="7"/>
    </row>
    <row r="263" spans="1:18" x14ac:dyDescent="0.25">
      <c r="A263">
        <v>199510</v>
      </c>
      <c r="B263" s="15">
        <v>1.8000000000000002E-2</v>
      </c>
      <c r="C263" s="15">
        <v>-8.6099999999999996E-2</v>
      </c>
      <c r="D263" s="15">
        <v>-1.9E-3</v>
      </c>
      <c r="E263" s="15">
        <v>-5.2699999999999997E-2</v>
      </c>
      <c r="F263" s="15">
        <v>-1.9599999999999999E-2</v>
      </c>
      <c r="G263" s="15">
        <v>-5.5899999999999998E-2</v>
      </c>
      <c r="H263" s="15">
        <v>3.1200000000000002E-2</v>
      </c>
      <c r="I263" s="15">
        <v>-2.3599999999999999E-2</v>
      </c>
      <c r="J263" s="15">
        <v>-5.9400000000000001E-2</v>
      </c>
      <c r="K263" s="15">
        <v>-6.7199999999999996E-2</v>
      </c>
      <c r="L263" s="15">
        <v>9.5999999999999992E-3</v>
      </c>
      <c r="M263" s="15">
        <v>-5.2699999999999997E-2</v>
      </c>
      <c r="N263" s="15">
        <v>-2.1499999999999998E-2</v>
      </c>
      <c r="O263" s="15">
        <v>1.4800000000000001E-2</v>
      </c>
      <c r="P263" s="15">
        <v>-6.7000000000000004E-2</v>
      </c>
      <c r="Q263" s="15">
        <v>-1.9299999999999998E-2</v>
      </c>
      <c r="R263" s="7"/>
    </row>
    <row r="264" spans="1:18" x14ac:dyDescent="0.25">
      <c r="A264">
        <v>199511</v>
      </c>
      <c r="B264" s="15">
        <v>4.3099999999999999E-2</v>
      </c>
      <c r="C264" s="15">
        <v>8.1000000000000003E-2</v>
      </c>
      <c r="D264" s="15">
        <v>4.8799999999999996E-2</v>
      </c>
      <c r="E264" s="15">
        <v>2.3900000000000001E-2</v>
      </c>
      <c r="F264" s="15">
        <v>5.5500000000000001E-2</v>
      </c>
      <c r="G264" s="15">
        <v>6.3700000000000007E-2</v>
      </c>
      <c r="H264" s="15">
        <v>5.3800000000000001E-2</v>
      </c>
      <c r="I264" s="15">
        <v>7.2700000000000001E-2</v>
      </c>
      <c r="J264" s="15">
        <v>8.1099999999999992E-2</v>
      </c>
      <c r="K264" s="15">
        <v>7.2900000000000006E-2</v>
      </c>
      <c r="L264" s="15">
        <v>1E-3</v>
      </c>
      <c r="M264" s="15">
        <v>5.4100000000000002E-2</v>
      </c>
      <c r="N264" s="15">
        <v>7.4900000000000008E-2</v>
      </c>
      <c r="O264" s="15">
        <v>1.5800000000000002E-2</v>
      </c>
      <c r="P264" s="15">
        <v>5.91E-2</v>
      </c>
      <c r="Q264" s="15">
        <v>6.7599999999999993E-2</v>
      </c>
      <c r="R264" s="7"/>
    </row>
    <row r="265" spans="1:18" x14ac:dyDescent="0.25">
      <c r="A265">
        <v>199512</v>
      </c>
      <c r="B265" s="15">
        <v>1.52E-2</v>
      </c>
      <c r="C265" s="15">
        <v>2.5699999999999997E-2</v>
      </c>
      <c r="D265" s="15">
        <v>5.7200000000000001E-2</v>
      </c>
      <c r="E265" s="15">
        <v>2.29E-2</v>
      </c>
      <c r="F265" s="15">
        <v>-1.3100000000000001E-2</v>
      </c>
      <c r="G265" s="15">
        <v>2.0799999999999999E-2</v>
      </c>
      <c r="H265" s="15">
        <v>4.0599999999999997E-2</v>
      </c>
      <c r="I265" s="15">
        <v>1.9799999999999998E-2</v>
      </c>
      <c r="J265" s="15">
        <v>-4.0999999999999995E-3</v>
      </c>
      <c r="K265" s="15">
        <v>-5.7999999999999996E-3</v>
      </c>
      <c r="L265" s="15">
        <v>-2.07E-2</v>
      </c>
      <c r="M265" s="15">
        <v>4.3700000000000003E-2</v>
      </c>
      <c r="N265" s="15">
        <v>1.09E-2</v>
      </c>
      <c r="O265" s="15">
        <v>5.0900000000000001E-2</v>
      </c>
      <c r="P265" s="15">
        <v>-1.9900000000000001E-2</v>
      </c>
      <c r="Q265" s="15">
        <v>1.2500000000000001E-2</v>
      </c>
      <c r="R265" s="7"/>
    </row>
    <row r="266" spans="1:18" x14ac:dyDescent="0.25">
      <c r="A266">
        <v>199601</v>
      </c>
      <c r="B266" s="15">
        <v>3.1200000000000002E-2</v>
      </c>
      <c r="C266" s="15">
        <v>0.1406</v>
      </c>
      <c r="D266" s="15">
        <v>-4.5999999999999999E-3</v>
      </c>
      <c r="E266" s="15">
        <v>-0.03</v>
      </c>
      <c r="F266" s="15">
        <v>3.1400000000000004E-2</v>
      </c>
      <c r="G266" s="15">
        <v>5.5500000000000001E-2</v>
      </c>
      <c r="H266" s="15">
        <v>5.4000000000000006E-2</v>
      </c>
      <c r="I266" s="15">
        <v>1.4199999999999999E-2</v>
      </c>
      <c r="J266" s="15">
        <v>3.9E-2</v>
      </c>
      <c r="K266" s="15">
        <v>1.2199999999999999E-2</v>
      </c>
      <c r="L266" s="15">
        <v>3.4300000000000004E-2</v>
      </c>
      <c r="M266" s="15">
        <v>3.1099999999999999E-2</v>
      </c>
      <c r="N266" s="15">
        <v>7.8000000000000005E-3</v>
      </c>
      <c r="O266" s="15">
        <v>1.8600000000000002E-2</v>
      </c>
      <c r="P266" s="15">
        <v>2.0999999999999999E-3</v>
      </c>
      <c r="Q266" s="15">
        <v>3.9E-2</v>
      </c>
      <c r="R266" s="7"/>
    </row>
    <row r="267" spans="1:18" x14ac:dyDescent="0.25">
      <c r="A267">
        <v>199602</v>
      </c>
      <c r="B267" s="15">
        <v>3.2899999999999999E-2</v>
      </c>
      <c r="C267" s="15">
        <v>2.2099999999999998E-2</v>
      </c>
      <c r="D267" s="15">
        <v>1.0500000000000001E-2</v>
      </c>
      <c r="E267" s="15">
        <v>2.2599999999999999E-2</v>
      </c>
      <c r="F267" s="15">
        <v>1.03E-2</v>
      </c>
      <c r="G267" s="15">
        <v>3.15E-2</v>
      </c>
      <c r="H267" s="15">
        <v>-1.1299999999999999E-2</v>
      </c>
      <c r="I267" s="15">
        <v>-1.9299999999999998E-2</v>
      </c>
      <c r="J267" s="15">
        <v>-7.0999999999999995E-3</v>
      </c>
      <c r="K267" s="15">
        <v>5.9500000000000004E-2</v>
      </c>
      <c r="L267" s="15">
        <v>4.7899999999999998E-2</v>
      </c>
      <c r="M267" s="15">
        <v>1.8100000000000002E-2</v>
      </c>
      <c r="N267" s="15">
        <v>3.3300000000000003E-2</v>
      </c>
      <c r="O267" s="15">
        <v>-2.6499999999999999E-2</v>
      </c>
      <c r="P267" s="15">
        <v>5.8600000000000006E-2</v>
      </c>
      <c r="Q267" s="15">
        <v>2.1299999999999999E-2</v>
      </c>
      <c r="R267" s="7"/>
    </row>
    <row r="268" spans="1:18" x14ac:dyDescent="0.25">
      <c r="A268">
        <v>199603</v>
      </c>
      <c r="B268" s="15">
        <v>-1.4800000000000001E-2</v>
      </c>
      <c r="C268" s="15">
        <v>4.0000000000000002E-4</v>
      </c>
      <c r="D268" s="15">
        <v>4.9299999999999997E-2</v>
      </c>
      <c r="E268" s="15">
        <v>7.9600000000000004E-2</v>
      </c>
      <c r="F268" s="15">
        <v>9.1000000000000004E-3</v>
      </c>
      <c r="G268" s="15">
        <v>5.6600000000000004E-2</v>
      </c>
      <c r="H268" s="15">
        <v>3.2000000000000002E-3</v>
      </c>
      <c r="I268" s="15">
        <v>4.1500000000000002E-2</v>
      </c>
      <c r="J268" s="15">
        <v>5.4299999999999994E-2</v>
      </c>
      <c r="K268" s="15">
        <v>1.55E-2</v>
      </c>
      <c r="L268" s="15">
        <v>-2.2799999999999997E-2</v>
      </c>
      <c r="M268" s="15">
        <v>6.6400000000000001E-2</v>
      </c>
      <c r="N268" s="15">
        <v>3.44E-2</v>
      </c>
      <c r="O268" s="15">
        <v>-5.1000000000000004E-3</v>
      </c>
      <c r="P268" s="15">
        <v>6.4100000000000004E-2</v>
      </c>
      <c r="Q268" s="15">
        <v>0.01</v>
      </c>
      <c r="R268" s="7"/>
    </row>
    <row r="269" spans="1:18" x14ac:dyDescent="0.25">
      <c r="A269">
        <v>199604</v>
      </c>
      <c r="B269" s="15">
        <v>-4.5000000000000005E-3</v>
      </c>
      <c r="C269" s="15">
        <v>8.8999999999999999E-3</v>
      </c>
      <c r="D269" s="15">
        <v>3.6699999999999997E-2</v>
      </c>
      <c r="E269" s="15">
        <v>4.6600000000000003E-2</v>
      </c>
      <c r="F269" s="15">
        <v>4.5100000000000001E-2</v>
      </c>
      <c r="G269" s="15">
        <v>-1.1000000000000001E-2</v>
      </c>
      <c r="H269" s="15">
        <v>-7.8000000000000005E-3</v>
      </c>
      <c r="I269" s="15">
        <v>2.07E-2</v>
      </c>
      <c r="J269" s="15">
        <v>1.9799999999999998E-2</v>
      </c>
      <c r="K269" s="15">
        <v>5.1299999999999998E-2</v>
      </c>
      <c r="L269" s="15">
        <v>6.7199999999999996E-2</v>
      </c>
      <c r="M269" s="15">
        <v>3.2500000000000001E-2</v>
      </c>
      <c r="N269" s="15">
        <v>1.8500000000000003E-2</v>
      </c>
      <c r="O269" s="15">
        <v>-2.6600000000000002E-2</v>
      </c>
      <c r="P269" s="15">
        <v>4.4400000000000002E-2</v>
      </c>
      <c r="Q269" s="15">
        <v>-1.06E-2</v>
      </c>
      <c r="R269" s="7"/>
    </row>
    <row r="270" spans="1:18" x14ac:dyDescent="0.25">
      <c r="A270">
        <v>199605</v>
      </c>
      <c r="B270" s="15">
        <v>7.1399999999999991E-2</v>
      </c>
      <c r="C270" s="15">
        <v>4.2000000000000003E-2</v>
      </c>
      <c r="D270" s="15">
        <v>4.1999999999999997E-3</v>
      </c>
      <c r="E270" s="15">
        <v>6.8600000000000008E-2</v>
      </c>
      <c r="F270" s="15">
        <v>3.2300000000000002E-2</v>
      </c>
      <c r="G270" s="15">
        <v>-4.4000000000000003E-3</v>
      </c>
      <c r="H270" s="15">
        <v>4.5999999999999999E-2</v>
      </c>
      <c r="I270" s="15">
        <v>3.3599999999999998E-2</v>
      </c>
      <c r="J270" s="15">
        <v>-1.1999999999999999E-3</v>
      </c>
      <c r="K270" s="15">
        <v>1.34E-2</v>
      </c>
      <c r="L270" s="15">
        <v>3.5200000000000002E-2</v>
      </c>
      <c r="M270" s="15">
        <v>1.6299999999999999E-2</v>
      </c>
      <c r="N270" s="15">
        <v>8.8000000000000005E-3</v>
      </c>
      <c r="O270" s="15">
        <v>1.32E-2</v>
      </c>
      <c r="P270" s="15">
        <v>4.1500000000000002E-2</v>
      </c>
      <c r="Q270" s="15">
        <v>1.44E-2</v>
      </c>
      <c r="R270" s="7"/>
    </row>
    <row r="271" spans="1:18" x14ac:dyDescent="0.25">
      <c r="A271">
        <v>199606</v>
      </c>
      <c r="B271" s="15">
        <v>3.9100000000000003E-2</v>
      </c>
      <c r="C271" s="15">
        <v>-0.1047</v>
      </c>
      <c r="D271" s="15">
        <v>9.8999999999999991E-3</v>
      </c>
      <c r="E271" s="15">
        <v>2.9999999999999997E-4</v>
      </c>
      <c r="F271" s="15">
        <v>-3.5999999999999999E-3</v>
      </c>
      <c r="G271" s="15">
        <v>-2.3700000000000002E-2</v>
      </c>
      <c r="H271" s="15">
        <v>1.9299999999999998E-2</v>
      </c>
      <c r="I271" s="15">
        <v>8.8999999999999999E-3</v>
      </c>
      <c r="J271" s="15">
        <v>-5.5599999999999997E-2</v>
      </c>
      <c r="K271" s="15">
        <v>-2.3E-3</v>
      </c>
      <c r="L271" s="15">
        <v>-4.5499999999999999E-2</v>
      </c>
      <c r="M271" s="15">
        <v>-5.1200000000000002E-2</v>
      </c>
      <c r="N271" s="15">
        <v>-4.5999999999999999E-3</v>
      </c>
      <c r="O271" s="15">
        <v>5.2499999999999998E-2</v>
      </c>
      <c r="P271" s="15">
        <v>-1.6399999999999998E-2</v>
      </c>
      <c r="Q271" s="15">
        <v>6.8000000000000005E-3</v>
      </c>
      <c r="R271" s="7"/>
    </row>
    <row r="272" spans="1:18" x14ac:dyDescent="0.25">
      <c r="A272">
        <v>199607</v>
      </c>
      <c r="B272" s="15">
        <v>-4.3499999999999997E-2</v>
      </c>
      <c r="C272" s="15">
        <v>-3.15E-2</v>
      </c>
      <c r="D272" s="15">
        <v>-4.5499999999999999E-2</v>
      </c>
      <c r="E272" s="15">
        <v>-4.4800000000000006E-2</v>
      </c>
      <c r="F272" s="15">
        <v>-6.1900000000000004E-2</v>
      </c>
      <c r="G272" s="15">
        <v>-3.2099999999999997E-2</v>
      </c>
      <c r="H272" s="15">
        <v>-3.61E-2</v>
      </c>
      <c r="I272" s="15">
        <v>-4.8000000000000001E-2</v>
      </c>
      <c r="J272" s="15">
        <v>-5.7200000000000001E-2</v>
      </c>
      <c r="K272" s="15">
        <v>-7.46E-2</v>
      </c>
      <c r="L272" s="15">
        <v>-6.1399999999999996E-2</v>
      </c>
      <c r="M272" s="15">
        <v>-4.4900000000000002E-2</v>
      </c>
      <c r="N272" s="15">
        <v>-4.9000000000000002E-2</v>
      </c>
      <c r="O272" s="15">
        <v>-5.8099999999999999E-2</v>
      </c>
      <c r="P272" s="15">
        <v>-7.4299999999999991E-2</v>
      </c>
      <c r="Q272" s="15">
        <v>-2.46E-2</v>
      </c>
      <c r="R272" s="7"/>
    </row>
    <row r="273" spans="1:18" x14ac:dyDescent="0.25">
      <c r="A273">
        <v>199608</v>
      </c>
      <c r="B273" s="15">
        <v>1.11E-2</v>
      </c>
      <c r="C273" s="15">
        <v>2.98E-2</v>
      </c>
      <c r="D273" s="15">
        <v>2.8900000000000002E-2</v>
      </c>
      <c r="E273" s="15">
        <v>5.16E-2</v>
      </c>
      <c r="F273" s="15">
        <v>2.6000000000000002E-2</v>
      </c>
      <c r="G273" s="15">
        <v>4.0500000000000001E-2</v>
      </c>
      <c r="H273" s="15">
        <v>3.3E-3</v>
      </c>
      <c r="I273" s="15">
        <v>3.5099999999999999E-2</v>
      </c>
      <c r="J273" s="15">
        <v>5.7599999999999998E-2</v>
      </c>
      <c r="K273" s="15">
        <v>6.2E-2</v>
      </c>
      <c r="L273" s="15">
        <v>4.7199999999999999E-2</v>
      </c>
      <c r="M273" s="15">
        <v>0.03</v>
      </c>
      <c r="N273" s="15">
        <v>3.1699999999999999E-2</v>
      </c>
      <c r="O273" s="15">
        <v>2.8900000000000002E-2</v>
      </c>
      <c r="P273" s="15">
        <v>6.7900000000000002E-2</v>
      </c>
      <c r="Q273" s="15">
        <v>4.2599999999999999E-2</v>
      </c>
      <c r="R273" s="7"/>
    </row>
    <row r="274" spans="1:18" x14ac:dyDescent="0.25">
      <c r="A274">
        <v>199609</v>
      </c>
      <c r="B274" s="15">
        <v>4.6199999999999998E-2</v>
      </c>
      <c r="C274" s="15">
        <v>-2.9399999999999999E-2</v>
      </c>
      <c r="D274" s="15">
        <v>3.9699999999999999E-2</v>
      </c>
      <c r="E274" s="15">
        <v>4.6900000000000004E-2</v>
      </c>
      <c r="F274" s="15">
        <v>4.8600000000000004E-2</v>
      </c>
      <c r="G274" s="15">
        <v>5.7599999999999998E-2</v>
      </c>
      <c r="H274" s="15">
        <v>6.8000000000000005E-2</v>
      </c>
      <c r="I274" s="15">
        <v>6.4500000000000002E-2</v>
      </c>
      <c r="J274" s="15">
        <v>2.0499999999999997E-2</v>
      </c>
      <c r="K274" s="15">
        <v>2.4900000000000002E-2</v>
      </c>
      <c r="L274" s="15">
        <v>0.10580000000000001</v>
      </c>
      <c r="M274" s="15">
        <v>-2.5999999999999999E-3</v>
      </c>
      <c r="N274" s="15">
        <v>3.4700000000000002E-2</v>
      </c>
      <c r="O274" s="15">
        <v>6.8000000000000005E-3</v>
      </c>
      <c r="P274" s="15">
        <v>2.6200000000000001E-2</v>
      </c>
      <c r="Q274" s="15">
        <v>5.8400000000000001E-2</v>
      </c>
      <c r="R274" s="7"/>
    </row>
    <row r="275" spans="1:18" x14ac:dyDescent="0.25">
      <c r="A275">
        <v>199610</v>
      </c>
      <c r="B275" s="15">
        <v>1.37E-2</v>
      </c>
      <c r="C275" s="15">
        <v>-1.4800000000000001E-2</v>
      </c>
      <c r="D275" s="15">
        <v>6.2199999999999998E-2</v>
      </c>
      <c r="E275" s="15">
        <v>-2.7000000000000001E-3</v>
      </c>
      <c r="F275" s="15">
        <v>-1.9599999999999999E-2</v>
      </c>
      <c r="G275" s="15">
        <v>1.06E-2</v>
      </c>
      <c r="H275" s="15">
        <v>1.8799999999999997E-2</v>
      </c>
      <c r="I275" s="15">
        <v>1.0700000000000001E-2</v>
      </c>
      <c r="J275" s="15">
        <v>-8.0000000000000002E-3</v>
      </c>
      <c r="K275" s="15">
        <v>-1.1699999999999999E-2</v>
      </c>
      <c r="L275" s="15">
        <v>8.8999999999999999E-3</v>
      </c>
      <c r="M275" s="15">
        <v>4.5899999999999996E-2</v>
      </c>
      <c r="N275" s="15">
        <v>1.7600000000000001E-2</v>
      </c>
      <c r="O275" s="15">
        <v>3.6000000000000004E-2</v>
      </c>
      <c r="P275" s="15">
        <v>-2.3399999999999997E-2</v>
      </c>
      <c r="Q275" s="15">
        <v>5.4699999999999999E-2</v>
      </c>
      <c r="R275" s="7"/>
    </row>
    <row r="276" spans="1:18" x14ac:dyDescent="0.25">
      <c r="A276">
        <v>199611</v>
      </c>
      <c r="B276" s="15">
        <v>4.1100000000000005E-2</v>
      </c>
      <c r="C276" s="15">
        <v>2.3599999999999999E-2</v>
      </c>
      <c r="D276" s="15">
        <v>5.3899999999999997E-2</v>
      </c>
      <c r="E276" s="15">
        <v>1.2999999999999999E-3</v>
      </c>
      <c r="F276" s="15">
        <v>5.6500000000000002E-2</v>
      </c>
      <c r="G276" s="15">
        <v>4.7400000000000005E-2</v>
      </c>
      <c r="H276" s="15">
        <v>8.5199999999999998E-2</v>
      </c>
      <c r="I276" s="15">
        <v>2.2599999999999999E-2</v>
      </c>
      <c r="J276" s="15">
        <v>8.0199999999999994E-2</v>
      </c>
      <c r="K276" s="15">
        <v>6.2100000000000002E-2</v>
      </c>
      <c r="L276" s="15">
        <v>0.125</v>
      </c>
      <c r="M276" s="15">
        <v>5.9299999999999999E-2</v>
      </c>
      <c r="N276" s="15">
        <v>6.3700000000000007E-2</v>
      </c>
      <c r="O276" s="15">
        <v>2.6099999999999998E-2</v>
      </c>
      <c r="P276" s="15">
        <v>3.2599999999999997E-2</v>
      </c>
      <c r="Q276" s="15">
        <v>8.3800000000000013E-2</v>
      </c>
      <c r="R276" s="7"/>
    </row>
    <row r="277" spans="1:18" x14ac:dyDescent="0.25">
      <c r="A277">
        <v>199612</v>
      </c>
      <c r="B277" s="15">
        <v>-8.1000000000000013E-3</v>
      </c>
      <c r="C277" s="15">
        <v>-1.66E-2</v>
      </c>
      <c r="D277" s="15">
        <v>6.5000000000000006E-3</v>
      </c>
      <c r="E277" s="15">
        <v>2.12E-2</v>
      </c>
      <c r="F277" s="15">
        <v>-2.0099999999999996E-2</v>
      </c>
      <c r="G277" s="15">
        <v>-1.83E-2</v>
      </c>
      <c r="H277" s="15">
        <v>-1.7600000000000001E-2</v>
      </c>
      <c r="I277" s="15">
        <v>-5.6000000000000008E-3</v>
      </c>
      <c r="J277" s="15">
        <v>-1.4800000000000001E-2</v>
      </c>
      <c r="K277" s="15">
        <v>1.2199999999999999E-2</v>
      </c>
      <c r="L277" s="15">
        <v>-2.4700000000000003E-2</v>
      </c>
      <c r="M277" s="15">
        <v>-2.5699999999999997E-2</v>
      </c>
      <c r="N277" s="15">
        <v>1.15E-2</v>
      </c>
      <c r="O277" s="15">
        <v>1.2999999999999999E-3</v>
      </c>
      <c r="P277" s="15">
        <v>-4.1599999999999998E-2</v>
      </c>
      <c r="Q277" s="15">
        <v>-1.67E-2</v>
      </c>
      <c r="R277" s="7"/>
    </row>
    <row r="278" spans="1:18" x14ac:dyDescent="0.25">
      <c r="A278">
        <v>199701</v>
      </c>
      <c r="B278" s="15">
        <v>7.1199999999999999E-2</v>
      </c>
      <c r="C278" s="15">
        <v>-3.1400000000000004E-2</v>
      </c>
      <c r="D278" s="15">
        <v>4.1200000000000001E-2</v>
      </c>
      <c r="E278" s="15">
        <v>5.3399999999999996E-2</v>
      </c>
      <c r="F278" s="15">
        <v>4.4400000000000002E-2</v>
      </c>
      <c r="G278" s="15">
        <v>4.2500000000000003E-2</v>
      </c>
      <c r="H278" s="15">
        <v>9.9299999999999999E-2</v>
      </c>
      <c r="I278" s="15">
        <v>3.7000000000000005E-2</v>
      </c>
      <c r="J278" s="15">
        <v>4.9100000000000005E-2</v>
      </c>
      <c r="K278" s="15">
        <v>3.6400000000000002E-2</v>
      </c>
      <c r="L278" s="15">
        <v>8.5699999999999998E-2</v>
      </c>
      <c r="M278" s="15">
        <v>2.41E-2</v>
      </c>
      <c r="N278" s="15">
        <v>2.0099999999999996E-2</v>
      </c>
      <c r="O278" s="15">
        <v>9.1999999999999998E-3</v>
      </c>
      <c r="P278" s="15">
        <v>5.1999999999999998E-3</v>
      </c>
      <c r="Q278" s="15">
        <v>6.6299999999999998E-2</v>
      </c>
      <c r="R278" s="7"/>
    </row>
    <row r="279" spans="1:18" x14ac:dyDescent="0.25">
      <c r="A279">
        <v>199702</v>
      </c>
      <c r="B279" s="15">
        <v>2.76E-2</v>
      </c>
      <c r="C279" s="15">
        <v>0.14929999999999999</v>
      </c>
      <c r="D279" s="15">
        <v>-5.7099999999999998E-2</v>
      </c>
      <c r="E279" s="15">
        <v>2.7000000000000003E-2</v>
      </c>
      <c r="F279" s="15">
        <v>2.2200000000000001E-2</v>
      </c>
      <c r="G279" s="15">
        <v>8.8000000000000005E-3</v>
      </c>
      <c r="H279" s="15">
        <v>2.8799999999999999E-2</v>
      </c>
      <c r="I279" s="15">
        <v>-1.6000000000000001E-3</v>
      </c>
      <c r="J279" s="15">
        <v>5.1999999999999998E-3</v>
      </c>
      <c r="K279" s="15">
        <v>-2.7000000000000003E-2</v>
      </c>
      <c r="L279" s="15">
        <v>-5.5199999999999999E-2</v>
      </c>
      <c r="M279" s="15">
        <v>5.3E-3</v>
      </c>
      <c r="N279" s="15">
        <v>-1.54E-2</v>
      </c>
      <c r="O279" s="15">
        <v>-5.6999999999999993E-3</v>
      </c>
      <c r="P279" s="15">
        <v>3.7599999999999995E-2</v>
      </c>
      <c r="Q279" s="15">
        <v>3.9599999999999996E-2</v>
      </c>
      <c r="R279" s="7"/>
    </row>
    <row r="280" spans="1:18" x14ac:dyDescent="0.25">
      <c r="A280">
        <v>199703</v>
      </c>
      <c r="B280" s="15">
        <v>-4.0500000000000001E-2</v>
      </c>
      <c r="C280" s="15">
        <v>-0.10400000000000001</v>
      </c>
      <c r="D280" s="15">
        <v>4.9500000000000002E-2</v>
      </c>
      <c r="E280" s="15">
        <v>-4.0800000000000003E-2</v>
      </c>
      <c r="F280" s="15">
        <v>-6.0599999999999994E-2</v>
      </c>
      <c r="G280" s="15">
        <v>-2.1099999999999997E-2</v>
      </c>
      <c r="H280" s="15">
        <v>-7.2900000000000006E-2</v>
      </c>
      <c r="I280" s="15">
        <v>-4.3400000000000001E-2</v>
      </c>
      <c r="J280" s="15">
        <v>-4.6100000000000002E-2</v>
      </c>
      <c r="K280" s="15">
        <v>-3.9900000000000005E-2</v>
      </c>
      <c r="L280" s="15">
        <v>-4.6100000000000002E-2</v>
      </c>
      <c r="M280" s="15">
        <v>-4.2599999999999999E-2</v>
      </c>
      <c r="N280" s="15">
        <v>-8.1000000000000013E-3</v>
      </c>
      <c r="O280" s="15">
        <v>-2.7799999999999998E-2</v>
      </c>
      <c r="P280" s="15">
        <v>1.1000000000000001E-3</v>
      </c>
      <c r="Q280" s="15">
        <v>-6.54E-2</v>
      </c>
      <c r="R280" s="7"/>
    </row>
    <row r="281" spans="1:18" x14ac:dyDescent="0.25">
      <c r="A281">
        <v>199704</v>
      </c>
      <c r="B281" s="15">
        <v>7.4999999999999997E-2</v>
      </c>
      <c r="C281" s="15">
        <v>-4.5899999999999996E-2</v>
      </c>
      <c r="D281" s="15">
        <v>5.0000000000000001E-4</v>
      </c>
      <c r="E281" s="15">
        <v>-3.3700000000000001E-2</v>
      </c>
      <c r="F281" s="15">
        <v>5.6600000000000004E-2</v>
      </c>
      <c r="G281" s="15">
        <v>3.1899999999999998E-2</v>
      </c>
      <c r="H281" s="15">
        <v>7.6200000000000004E-2</v>
      </c>
      <c r="I281" s="15">
        <v>6.7099999999999993E-2</v>
      </c>
      <c r="J281" s="15">
        <v>2.1000000000000001E-2</v>
      </c>
      <c r="K281" s="15">
        <v>5.0999999999999997E-2</v>
      </c>
      <c r="L281" s="15">
        <v>7.1800000000000003E-2</v>
      </c>
      <c r="M281" s="15">
        <v>4.6399999999999997E-2</v>
      </c>
      <c r="N281" s="15">
        <v>4.0999999999999995E-2</v>
      </c>
      <c r="O281" s="15">
        <v>-1.3899999999999999E-2</v>
      </c>
      <c r="P281" s="15">
        <v>2.18E-2</v>
      </c>
      <c r="Q281" s="15">
        <v>5.9800000000000006E-2</v>
      </c>
      <c r="R281" s="7"/>
    </row>
    <row r="282" spans="1:18" x14ac:dyDescent="0.25">
      <c r="A282">
        <v>199705</v>
      </c>
      <c r="B282" s="15">
        <v>4.6900000000000004E-2</v>
      </c>
      <c r="C282" s="15">
        <v>8.0700000000000008E-2</v>
      </c>
      <c r="D282" s="15">
        <v>7.3700000000000002E-2</v>
      </c>
      <c r="E282" s="15">
        <v>5.79E-2</v>
      </c>
      <c r="F282" s="15">
        <v>6.6299999999999998E-2</v>
      </c>
      <c r="G282" s="15">
        <v>4.5400000000000003E-2</v>
      </c>
      <c r="H282" s="15">
        <v>7.0499999999999993E-2</v>
      </c>
      <c r="I282" s="15">
        <v>6.5000000000000002E-2</v>
      </c>
      <c r="J282" s="15">
        <v>8.1000000000000003E-2</v>
      </c>
      <c r="K282" s="15">
        <v>0.10529999999999999</v>
      </c>
      <c r="L282" s="15">
        <v>9.6600000000000005E-2</v>
      </c>
      <c r="M282" s="15">
        <v>5.3899999999999997E-2</v>
      </c>
      <c r="N282" s="15">
        <v>6.4899999999999999E-2</v>
      </c>
      <c r="O282" s="15">
        <v>3.7900000000000003E-2</v>
      </c>
      <c r="P282" s="15">
        <v>5.2499999999999998E-2</v>
      </c>
      <c r="Q282" s="15">
        <v>5.7800000000000004E-2</v>
      </c>
      <c r="R282" s="7"/>
    </row>
    <row r="283" spans="1:18" x14ac:dyDescent="0.25">
      <c r="A283">
        <v>199706</v>
      </c>
      <c r="B283" s="15">
        <v>3.1899999999999998E-2</v>
      </c>
      <c r="C283" s="15">
        <v>2.6099999999999998E-2</v>
      </c>
      <c r="D283" s="15">
        <v>1.23E-2</v>
      </c>
      <c r="E283" s="15">
        <v>3.49E-2</v>
      </c>
      <c r="F283" s="15">
        <v>4.4199999999999996E-2</v>
      </c>
      <c r="G283" s="15">
        <v>6.7000000000000004E-2</v>
      </c>
      <c r="H283" s="15">
        <v>8.2599999999999993E-2</v>
      </c>
      <c r="I283" s="15">
        <v>4.7899999999999998E-2</v>
      </c>
      <c r="J283" s="15">
        <v>4.3200000000000002E-2</v>
      </c>
      <c r="K283" s="15">
        <v>3.61E-2</v>
      </c>
      <c r="L283" s="15">
        <v>1.8799999999999997E-2</v>
      </c>
      <c r="M283" s="15">
        <v>2.8300000000000002E-2</v>
      </c>
      <c r="N283" s="15">
        <v>3.56E-2</v>
      </c>
      <c r="O283" s="15">
        <v>3.0600000000000002E-2</v>
      </c>
      <c r="P283" s="15">
        <v>5.9200000000000003E-2</v>
      </c>
      <c r="Q283" s="15">
        <v>6.0499999999999998E-2</v>
      </c>
      <c r="R283" s="7"/>
    </row>
    <row r="284" spans="1:18" x14ac:dyDescent="0.25">
      <c r="A284">
        <v>199707</v>
      </c>
      <c r="B284" s="15">
        <v>3.6200000000000003E-2</v>
      </c>
      <c r="C284" s="15">
        <v>1.3999999999999999E-2</v>
      </c>
      <c r="D284" s="15">
        <v>7.1500000000000008E-2</v>
      </c>
      <c r="E284" s="15">
        <v>2.92E-2</v>
      </c>
      <c r="F284" s="15">
        <v>3.0999999999999999E-3</v>
      </c>
      <c r="G284" s="15">
        <v>6.8199999999999997E-2</v>
      </c>
      <c r="H284" s="15">
        <v>3.0299999999999997E-2</v>
      </c>
      <c r="I284" s="15">
        <v>8.7799999999999989E-2</v>
      </c>
      <c r="J284" s="15">
        <v>0.10349999999999999</v>
      </c>
      <c r="K284" s="15">
        <v>2.8900000000000002E-2</v>
      </c>
      <c r="L284" s="15">
        <v>0.1641</v>
      </c>
      <c r="M284" s="15">
        <v>8.1699999999999995E-2</v>
      </c>
      <c r="N284" s="15">
        <v>7.8100000000000003E-2</v>
      </c>
      <c r="O284" s="15">
        <v>2.81E-2</v>
      </c>
      <c r="P284" s="15">
        <v>8.9399999999999993E-2</v>
      </c>
      <c r="Q284" s="15">
        <v>0.1057</v>
      </c>
      <c r="R284" s="7"/>
    </row>
    <row r="285" spans="1:18" x14ac:dyDescent="0.25">
      <c r="A285">
        <v>199708</v>
      </c>
      <c r="B285" s="15">
        <v>-8.3599999999999994E-2</v>
      </c>
      <c r="C285" s="15">
        <v>3.3E-3</v>
      </c>
      <c r="D285" s="15">
        <v>3.8E-3</v>
      </c>
      <c r="E285" s="15">
        <v>-3.7999999999999999E-2</v>
      </c>
      <c r="F285" s="15">
        <v>-2.4300000000000002E-2</v>
      </c>
      <c r="G285" s="15">
        <v>-4.5599999999999995E-2</v>
      </c>
      <c r="H285" s="15">
        <v>-7.6100000000000001E-2</v>
      </c>
      <c r="I285" s="15">
        <v>-6.3700000000000007E-2</v>
      </c>
      <c r="J285" s="15">
        <v>-1.84E-2</v>
      </c>
      <c r="K285" s="15">
        <v>2.5600000000000001E-2</v>
      </c>
      <c r="L285" s="15">
        <v>-1.6899999999999998E-2</v>
      </c>
      <c r="M285" s="15">
        <v>1.0800000000000001E-2</v>
      </c>
      <c r="N285" s="15">
        <v>-5.1900000000000002E-2</v>
      </c>
      <c r="O285" s="15">
        <v>-1.1599999999999999E-2</v>
      </c>
      <c r="P285" s="15">
        <v>-3.2500000000000001E-2</v>
      </c>
      <c r="Q285" s="15">
        <v>-5.6799999999999996E-2</v>
      </c>
      <c r="R285" s="7"/>
    </row>
    <row r="286" spans="1:18" x14ac:dyDescent="0.25">
      <c r="A286">
        <v>199709</v>
      </c>
      <c r="B286" s="15">
        <v>7.17E-2</v>
      </c>
      <c r="C286" s="15">
        <v>5.1500000000000004E-2</v>
      </c>
      <c r="D286" s="15">
        <v>6.2199999999999998E-2</v>
      </c>
      <c r="E286" s="15">
        <v>5.9200000000000003E-2</v>
      </c>
      <c r="F286" s="15">
        <v>4.4800000000000006E-2</v>
      </c>
      <c r="G286" s="15">
        <v>4.5999999999999999E-3</v>
      </c>
      <c r="H286" s="15">
        <v>5.8499999999999996E-2</v>
      </c>
      <c r="I286" s="15">
        <v>5.5E-2</v>
      </c>
      <c r="J286" s="15">
        <v>1.1899999999999999E-2</v>
      </c>
      <c r="K286" s="15">
        <v>1.1399999999999999E-2</v>
      </c>
      <c r="L286" s="15">
        <v>4.5400000000000003E-2</v>
      </c>
      <c r="M286" s="15">
        <v>5.4100000000000002E-2</v>
      </c>
      <c r="N286" s="15">
        <v>6.0999999999999999E-2</v>
      </c>
      <c r="O286" s="15">
        <v>4.6399999999999997E-2</v>
      </c>
      <c r="P286" s="15">
        <v>4.6500000000000007E-2</v>
      </c>
      <c r="Q286" s="15">
        <v>8.2400000000000001E-2</v>
      </c>
      <c r="R286" s="7"/>
    </row>
    <row r="287" spans="1:18" x14ac:dyDescent="0.25">
      <c r="A287">
        <v>199710</v>
      </c>
      <c r="B287" s="15">
        <v>-3.5099999999999999E-2</v>
      </c>
      <c r="C287" s="15">
        <v>-0.1353</v>
      </c>
      <c r="D287" s="15">
        <v>-1.9299999999999998E-2</v>
      </c>
      <c r="E287" s="15">
        <v>-6.8900000000000003E-2</v>
      </c>
      <c r="F287" s="15">
        <v>-3.85E-2</v>
      </c>
      <c r="G287" s="15">
        <v>-3.9300000000000002E-2</v>
      </c>
      <c r="H287" s="15">
        <v>5.8999999999999999E-3</v>
      </c>
      <c r="I287" s="15">
        <v>-1.0200000000000001E-2</v>
      </c>
      <c r="J287" s="15">
        <v>-7.6999999999999999E-2</v>
      </c>
      <c r="K287" s="15">
        <v>-4.6100000000000002E-2</v>
      </c>
      <c r="L287" s="15">
        <v>-0.1012</v>
      </c>
      <c r="M287" s="15">
        <v>-3.1699999999999999E-2</v>
      </c>
      <c r="N287" s="15">
        <v>-5.8200000000000002E-2</v>
      </c>
      <c r="O287" s="15">
        <v>9.300000000000001E-3</v>
      </c>
      <c r="P287" s="15">
        <v>-2.75E-2</v>
      </c>
      <c r="Q287" s="15">
        <v>-2.07E-2</v>
      </c>
      <c r="R287" s="7"/>
    </row>
    <row r="288" spans="1:18" x14ac:dyDescent="0.25">
      <c r="A288">
        <v>199711</v>
      </c>
      <c r="B288" s="15">
        <v>7.2900000000000006E-2</v>
      </c>
      <c r="C288" s="15">
        <v>-8.8100000000000012E-2</v>
      </c>
      <c r="D288" s="15">
        <v>-3.5299999999999998E-2</v>
      </c>
      <c r="E288" s="15">
        <v>5.1000000000000004E-3</v>
      </c>
      <c r="F288" s="15">
        <v>1.67E-2</v>
      </c>
      <c r="G288" s="15">
        <v>0.03</v>
      </c>
      <c r="H288" s="15">
        <v>4.7699999999999992E-2</v>
      </c>
      <c r="I288" s="15">
        <v>2.4500000000000001E-2</v>
      </c>
      <c r="J288" s="15">
        <v>-3.4599999999999999E-2</v>
      </c>
      <c r="K288" s="15">
        <v>1.8200000000000001E-2</v>
      </c>
      <c r="L288" s="15">
        <v>2.7999999999999997E-2</v>
      </c>
      <c r="M288" s="15">
        <v>-2.1299999999999999E-2</v>
      </c>
      <c r="N288" s="15">
        <v>1.9099999999999999E-2</v>
      </c>
      <c r="O288" s="15">
        <v>7.1399999999999991E-2</v>
      </c>
      <c r="P288" s="15">
        <v>6.9699999999999998E-2</v>
      </c>
      <c r="Q288" s="15">
        <v>3.6000000000000004E-2</v>
      </c>
      <c r="R288" s="7"/>
    </row>
    <row r="289" spans="1:18" x14ac:dyDescent="0.25">
      <c r="A289">
        <v>199712</v>
      </c>
      <c r="B289" s="15">
        <v>3.6600000000000001E-2</v>
      </c>
      <c r="C289" s="15">
        <v>-5.5599999999999997E-2</v>
      </c>
      <c r="D289" s="15">
        <v>-1.26E-2</v>
      </c>
      <c r="E289" s="15">
        <v>-5.5800000000000002E-2</v>
      </c>
      <c r="F289" s="15">
        <v>9.0000000000000011E-3</v>
      </c>
      <c r="G289" s="15">
        <v>-2.9999999999999997E-4</v>
      </c>
      <c r="H289" s="15">
        <v>4.4600000000000001E-2</v>
      </c>
      <c r="I289" s="15">
        <v>3.7400000000000003E-2</v>
      </c>
      <c r="J289" s="15">
        <v>1.7000000000000001E-2</v>
      </c>
      <c r="K289" s="15">
        <v>7.9000000000000008E-3</v>
      </c>
      <c r="L289" s="15">
        <v>-3.5900000000000001E-2</v>
      </c>
      <c r="M289" s="15">
        <v>4.3799999999999999E-2</v>
      </c>
      <c r="N289" s="15">
        <v>4.4000000000000003E-3</v>
      </c>
      <c r="O289" s="15">
        <v>7.9399999999999998E-2</v>
      </c>
      <c r="P289" s="15">
        <v>-1.34E-2</v>
      </c>
      <c r="Q289" s="15">
        <v>5.7099999999999998E-2</v>
      </c>
      <c r="R289" s="7"/>
    </row>
    <row r="290" spans="1:18" x14ac:dyDescent="0.25">
      <c r="A290">
        <v>199801</v>
      </c>
      <c r="B290" s="15">
        <v>-2.6200000000000001E-2</v>
      </c>
      <c r="C290" s="15">
        <v>-5.8999999999999999E-3</v>
      </c>
      <c r="D290" s="15">
        <v>-5.67E-2</v>
      </c>
      <c r="E290" s="15">
        <v>-5.0000000000000001E-4</v>
      </c>
      <c r="F290" s="15">
        <v>2.4199999999999999E-2</v>
      </c>
      <c r="G290" s="15">
        <v>-2.7900000000000001E-2</v>
      </c>
      <c r="H290" s="15">
        <v>4.7899999999999998E-2</v>
      </c>
      <c r="I290" s="15">
        <v>1.37E-2</v>
      </c>
      <c r="J290" s="15">
        <v>2.3700000000000002E-2</v>
      </c>
      <c r="K290" s="15">
        <v>-2.29E-2</v>
      </c>
      <c r="L290" s="15">
        <v>4.3899999999999995E-2</v>
      </c>
      <c r="M290" s="15">
        <v>3.2000000000000002E-3</v>
      </c>
      <c r="N290" s="15">
        <v>5.8999999999999999E-3</v>
      </c>
      <c r="O290" s="15">
        <v>-4.4000000000000004E-2</v>
      </c>
      <c r="P290" s="15">
        <v>1.26E-2</v>
      </c>
      <c r="Q290" s="15">
        <v>-2.6200000000000001E-2</v>
      </c>
      <c r="R290" s="7"/>
    </row>
    <row r="291" spans="1:18" x14ac:dyDescent="0.25">
      <c r="A291">
        <v>199802</v>
      </c>
      <c r="B291" s="15">
        <v>4.3700000000000003E-2</v>
      </c>
      <c r="C291" s="15">
        <v>3.9900000000000005E-2</v>
      </c>
      <c r="D291" s="15">
        <v>6.9099999999999995E-2</v>
      </c>
      <c r="E291" s="15">
        <v>9.74E-2</v>
      </c>
      <c r="F291" s="15">
        <v>8.2699999999999996E-2</v>
      </c>
      <c r="G291" s="15">
        <v>7.690000000000001E-2</v>
      </c>
      <c r="H291" s="15">
        <v>5.4699999999999999E-2</v>
      </c>
      <c r="I291" s="15">
        <v>8.7400000000000005E-2</v>
      </c>
      <c r="J291" s="15">
        <v>5.8200000000000002E-2</v>
      </c>
      <c r="K291" s="15">
        <v>8.5099999999999995E-2</v>
      </c>
      <c r="L291" s="15">
        <v>8.0100000000000005E-2</v>
      </c>
      <c r="M291" s="15">
        <v>0.12770000000000001</v>
      </c>
      <c r="N291" s="15">
        <v>7.5399999999999995E-2</v>
      </c>
      <c r="O291" s="15">
        <v>2.63E-2</v>
      </c>
      <c r="P291" s="15">
        <v>0.11749999999999999</v>
      </c>
      <c r="Q291" s="15">
        <v>8.9499999999999996E-2</v>
      </c>
      <c r="R291" s="7"/>
    </row>
    <row r="292" spans="1:18" x14ac:dyDescent="0.25">
      <c r="A292">
        <v>199803</v>
      </c>
      <c r="B292" s="15">
        <v>8.3499999999999991E-2</v>
      </c>
      <c r="C292" s="15">
        <v>9.6300000000000011E-2</v>
      </c>
      <c r="D292" s="15">
        <v>4.6100000000000002E-2</v>
      </c>
      <c r="E292" s="15">
        <v>5.2900000000000003E-2</v>
      </c>
      <c r="F292" s="15">
        <v>5.2699999999999997E-2</v>
      </c>
      <c r="G292" s="15">
        <v>5.5099999999999996E-2</v>
      </c>
      <c r="H292" s="15">
        <v>2.4700000000000003E-2</v>
      </c>
      <c r="I292" s="15">
        <v>8.2100000000000006E-2</v>
      </c>
      <c r="J292" s="15">
        <v>3.3700000000000001E-2</v>
      </c>
      <c r="K292" s="15">
        <v>4.36E-2</v>
      </c>
      <c r="L292" s="15">
        <v>-8.8999999999999999E-3</v>
      </c>
      <c r="M292" s="15">
        <v>6.0400000000000002E-2</v>
      </c>
      <c r="N292" s="15">
        <v>3.4599999999999999E-2</v>
      </c>
      <c r="O292" s="15">
        <v>6.7500000000000004E-2</v>
      </c>
      <c r="P292" s="15">
        <v>7.1099999999999997E-2</v>
      </c>
      <c r="Q292" s="15">
        <v>5.9500000000000004E-2</v>
      </c>
      <c r="R292" s="7"/>
    </row>
    <row r="293" spans="1:18" x14ac:dyDescent="0.25">
      <c r="A293">
        <v>199804</v>
      </c>
      <c r="B293" s="15">
        <v>-3.4300000000000004E-2</v>
      </c>
      <c r="C293" s="15">
        <v>3.32E-2</v>
      </c>
      <c r="D293" s="15">
        <v>3.8100000000000002E-2</v>
      </c>
      <c r="E293" s="15">
        <v>2.2700000000000001E-2</v>
      </c>
      <c r="F293" s="15">
        <v>3.27E-2</v>
      </c>
      <c r="G293" s="15">
        <v>2.7699999999999999E-2</v>
      </c>
      <c r="H293" s="15">
        <v>8.3999999999999995E-3</v>
      </c>
      <c r="I293" s="15">
        <v>-1.2999999999999999E-3</v>
      </c>
      <c r="J293" s="15">
        <v>3.5699999999999996E-2</v>
      </c>
      <c r="K293" s="15">
        <v>-2.8999999999999998E-2</v>
      </c>
      <c r="L293" s="15">
        <v>4.6799999999999994E-2</v>
      </c>
      <c r="M293" s="15">
        <v>1.5900000000000001E-2</v>
      </c>
      <c r="N293" s="15">
        <v>-1.3100000000000001E-2</v>
      </c>
      <c r="O293" s="15">
        <v>-2.52E-2</v>
      </c>
      <c r="P293" s="15">
        <v>-3.2000000000000002E-3</v>
      </c>
      <c r="Q293" s="15">
        <v>2.0299999999999999E-2</v>
      </c>
      <c r="R293" s="7"/>
    </row>
    <row r="294" spans="1:18" x14ac:dyDescent="0.25">
      <c r="A294">
        <v>199805</v>
      </c>
      <c r="B294" s="15">
        <v>1.89E-2</v>
      </c>
      <c r="C294" s="15">
        <v>-0.1072</v>
      </c>
      <c r="D294" s="15">
        <v>-4.0899999999999999E-2</v>
      </c>
      <c r="E294" s="15">
        <v>-1.41E-2</v>
      </c>
      <c r="F294" s="15">
        <v>-3.49E-2</v>
      </c>
      <c r="G294" s="15">
        <v>1.1200000000000002E-2</v>
      </c>
      <c r="H294" s="15">
        <v>-1.4800000000000001E-2</v>
      </c>
      <c r="I294" s="15">
        <v>1.1699999999999999E-2</v>
      </c>
      <c r="J294" s="15">
        <v>-7.2300000000000003E-2</v>
      </c>
      <c r="K294" s="15">
        <v>-3.44E-2</v>
      </c>
      <c r="L294" s="15">
        <v>-6.08E-2</v>
      </c>
      <c r="M294" s="15">
        <v>9.6699999999999994E-2</v>
      </c>
      <c r="N294" s="15">
        <v>-3.6900000000000002E-2</v>
      </c>
      <c r="O294" s="15">
        <v>-8.8000000000000005E-3</v>
      </c>
      <c r="P294" s="15">
        <v>2.8199999999999999E-2</v>
      </c>
      <c r="Q294" s="15">
        <v>-2.2799999999999997E-2</v>
      </c>
      <c r="R294" s="7"/>
    </row>
    <row r="295" spans="1:18" x14ac:dyDescent="0.25">
      <c r="A295">
        <v>199806</v>
      </c>
      <c r="B295" s="15">
        <v>3.8399999999999997E-2</v>
      </c>
      <c r="C295" s="15">
        <v>-3.9800000000000002E-2</v>
      </c>
      <c r="D295" s="15">
        <v>-1.23E-2</v>
      </c>
      <c r="E295" s="15">
        <v>-8.9999999999999998E-4</v>
      </c>
      <c r="F295" s="15">
        <v>-8.0000000000000004E-4</v>
      </c>
      <c r="G295" s="15">
        <v>-3.5099999999999999E-2</v>
      </c>
      <c r="H295" s="15">
        <v>7.3300000000000004E-2</v>
      </c>
      <c r="I295" s="15">
        <v>1.2699999999999999E-2</v>
      </c>
      <c r="J295" s="15">
        <v>-1.7299999999999999E-2</v>
      </c>
      <c r="K295" s="15">
        <v>-6.9400000000000003E-2</v>
      </c>
      <c r="L295" s="15">
        <v>2.76E-2</v>
      </c>
      <c r="M295" s="15">
        <v>2.9300000000000003E-2</v>
      </c>
      <c r="N295" s="15">
        <v>-8.3000000000000001E-3</v>
      </c>
      <c r="O295" s="15">
        <v>2.81E-2</v>
      </c>
      <c r="P295" s="15">
        <v>6.3E-2</v>
      </c>
      <c r="Q295" s="15">
        <v>3.6799999999999999E-2</v>
      </c>
      <c r="R295" s="7"/>
    </row>
    <row r="296" spans="1:18" x14ac:dyDescent="0.25">
      <c r="A296">
        <v>199807</v>
      </c>
      <c r="B296" s="15">
        <v>-6.13E-2</v>
      </c>
      <c r="C296" s="15">
        <v>-2.2400000000000003E-2</v>
      </c>
      <c r="D296" s="15">
        <v>-6.8499999999999991E-2</v>
      </c>
      <c r="E296" s="15">
        <v>-0.1042</v>
      </c>
      <c r="F296" s="15">
        <v>-3.2000000000000002E-3</v>
      </c>
      <c r="G296" s="15">
        <v>-9.2300000000000007E-2</v>
      </c>
      <c r="H296" s="15">
        <v>-1.1999999999999999E-3</v>
      </c>
      <c r="I296" s="15">
        <v>-3.73E-2</v>
      </c>
      <c r="J296" s="15">
        <v>-6.3299999999999995E-2</v>
      </c>
      <c r="K296" s="15">
        <v>-6.9199999999999998E-2</v>
      </c>
      <c r="L296" s="15">
        <v>9.7999999999999997E-3</v>
      </c>
      <c r="M296" s="15">
        <v>-1.6000000000000001E-3</v>
      </c>
      <c r="N296" s="15">
        <v>-5.7800000000000004E-2</v>
      </c>
      <c r="O296" s="15">
        <v>-5.4000000000000006E-2</v>
      </c>
      <c r="P296" s="15">
        <v>-2.3799999999999998E-2</v>
      </c>
      <c r="Q296" s="15">
        <v>-1.18E-2</v>
      </c>
      <c r="R296" s="7"/>
    </row>
    <row r="297" spans="1:18" x14ac:dyDescent="0.25">
      <c r="A297">
        <v>199808</v>
      </c>
      <c r="B297" s="15">
        <v>-0.14710000000000001</v>
      </c>
      <c r="C297" s="15">
        <v>-0.21260000000000001</v>
      </c>
      <c r="D297" s="15">
        <v>-0.1047</v>
      </c>
      <c r="E297" s="15">
        <v>-0.20569999999999999</v>
      </c>
      <c r="F297" s="15">
        <v>-0.14080000000000001</v>
      </c>
      <c r="G297" s="15">
        <v>-0.11210000000000001</v>
      </c>
      <c r="H297" s="15">
        <v>-9.820000000000001E-2</v>
      </c>
      <c r="I297" s="15">
        <v>-0.16440000000000002</v>
      </c>
      <c r="J297" s="15">
        <v>-0.185</v>
      </c>
      <c r="K297" s="15">
        <v>-0.19359999999999999</v>
      </c>
      <c r="L297" s="15">
        <v>-0.14749999999999999</v>
      </c>
      <c r="M297" s="15">
        <v>-0.19489999999999999</v>
      </c>
      <c r="N297" s="15">
        <v>-0.17600000000000002</v>
      </c>
      <c r="O297" s="15">
        <v>1.9599999999999999E-2</v>
      </c>
      <c r="P297" s="15">
        <v>-0.1356</v>
      </c>
      <c r="Q297" s="15">
        <v>-0.22010000000000002</v>
      </c>
      <c r="R297" s="7"/>
    </row>
    <row r="298" spans="1:18" x14ac:dyDescent="0.25">
      <c r="A298">
        <v>199809</v>
      </c>
      <c r="B298" s="15">
        <v>-7.000000000000001E-4</v>
      </c>
      <c r="C298" s="15">
        <v>0.22510000000000002</v>
      </c>
      <c r="D298" s="15">
        <v>0.1368</v>
      </c>
      <c r="E298" s="15">
        <v>4.8999999999999998E-3</v>
      </c>
      <c r="F298" s="15">
        <v>-3.0499999999999999E-2</v>
      </c>
      <c r="G298" s="15">
        <v>6.4000000000000003E-3</v>
      </c>
      <c r="H298" s="15">
        <v>0.1047</v>
      </c>
      <c r="I298" s="15">
        <v>8.9999999999999998E-4</v>
      </c>
      <c r="J298" s="15">
        <v>9.1499999999999998E-2</v>
      </c>
      <c r="K298" s="15">
        <v>-2.63E-2</v>
      </c>
      <c r="L298" s="15">
        <v>0.1061</v>
      </c>
      <c r="M298" s="15">
        <v>1.52E-2</v>
      </c>
      <c r="N298" s="15">
        <v>4.41E-2</v>
      </c>
      <c r="O298" s="15">
        <v>8.1500000000000003E-2</v>
      </c>
      <c r="P298" s="15">
        <v>5.9999999999999995E-4</v>
      </c>
      <c r="Q298" s="15">
        <v>2.1299999999999999E-2</v>
      </c>
      <c r="R298" s="7"/>
    </row>
    <row r="299" spans="1:18" x14ac:dyDescent="0.25">
      <c r="A299">
        <v>199810</v>
      </c>
      <c r="B299" s="15">
        <v>0.12390000000000001</v>
      </c>
      <c r="C299" s="15">
        <v>1.2E-2</v>
      </c>
      <c r="D299" s="15">
        <v>1.1699999999999999E-2</v>
      </c>
      <c r="E299" s="15">
        <v>5.2400000000000002E-2</v>
      </c>
      <c r="F299" s="15">
        <v>9.8100000000000007E-2</v>
      </c>
      <c r="G299" s="15">
        <v>1.32E-2</v>
      </c>
      <c r="H299" s="15">
        <v>6.4699999999999994E-2</v>
      </c>
      <c r="I299" s="15">
        <v>0.1094</v>
      </c>
      <c r="J299" s="15">
        <v>8.2200000000000009E-2</v>
      </c>
      <c r="K299" s="15">
        <v>0.11410000000000001</v>
      </c>
      <c r="L299" s="15">
        <v>0.10050000000000001</v>
      </c>
      <c r="M299" s="15">
        <v>0.11720000000000001</v>
      </c>
      <c r="N299" s="15">
        <v>0.10730000000000001</v>
      </c>
      <c r="O299" s="15">
        <v>-1.78E-2</v>
      </c>
      <c r="P299" s="15">
        <v>0.12429999999999999</v>
      </c>
      <c r="Q299" s="15">
        <v>0.10060000000000001</v>
      </c>
      <c r="R299" s="7"/>
    </row>
    <row r="300" spans="1:18" x14ac:dyDescent="0.25">
      <c r="A300">
        <v>199811</v>
      </c>
      <c r="B300" s="15">
        <v>4.9100000000000005E-2</v>
      </c>
      <c r="C300" s="15">
        <v>1.67E-2</v>
      </c>
      <c r="D300" s="15">
        <v>2.2000000000000001E-3</v>
      </c>
      <c r="E300" s="15">
        <v>6.2300000000000001E-2</v>
      </c>
      <c r="F300" s="15">
        <v>2.9300000000000003E-2</v>
      </c>
      <c r="G300" s="15">
        <v>4.0500000000000001E-2</v>
      </c>
      <c r="H300" s="15">
        <v>5.6500000000000002E-2</v>
      </c>
      <c r="I300" s="15">
        <v>8.1300000000000011E-2</v>
      </c>
      <c r="J300" s="15">
        <v>-2.1000000000000001E-2</v>
      </c>
      <c r="K300" s="15">
        <v>3.1899999999999998E-2</v>
      </c>
      <c r="L300" s="15">
        <v>8.4399999999999989E-2</v>
      </c>
      <c r="M300" s="15">
        <v>5.5300000000000002E-2</v>
      </c>
      <c r="N300" s="15">
        <v>4.8099999999999997E-2</v>
      </c>
      <c r="O300" s="15">
        <v>1.34E-2</v>
      </c>
      <c r="P300" s="15">
        <v>9.5399999999999985E-2</v>
      </c>
      <c r="Q300" s="15">
        <v>6.2600000000000003E-2</v>
      </c>
      <c r="R300" s="7"/>
    </row>
    <row r="301" spans="1:18" x14ac:dyDescent="0.25">
      <c r="A301">
        <v>199812</v>
      </c>
      <c r="B301" s="15">
        <v>-9.1999999999999998E-3</v>
      </c>
      <c r="C301" s="15">
        <v>6.9400000000000003E-2</v>
      </c>
      <c r="D301" s="15">
        <v>-1.4199999999999999E-2</v>
      </c>
      <c r="E301" s="15">
        <v>4.4000000000000004E-2</v>
      </c>
      <c r="F301" s="15">
        <v>1.0700000000000001E-2</v>
      </c>
      <c r="G301" s="15">
        <v>-4.9100000000000005E-2</v>
      </c>
      <c r="H301" s="15">
        <v>3.3500000000000002E-2</v>
      </c>
      <c r="I301" s="15">
        <v>0.11410000000000001</v>
      </c>
      <c r="J301" s="15">
        <v>-7.7000000000000002E-3</v>
      </c>
      <c r="K301" s="15">
        <v>-5.04E-2</v>
      </c>
      <c r="L301" s="15">
        <v>0.1193</v>
      </c>
      <c r="M301" s="15">
        <v>4.7300000000000002E-2</v>
      </c>
      <c r="N301" s="15">
        <v>-1.7600000000000001E-2</v>
      </c>
      <c r="O301" s="15">
        <v>2.86E-2</v>
      </c>
      <c r="P301" s="15">
        <v>9.11E-2</v>
      </c>
      <c r="Q301" s="15">
        <v>3.1699999999999999E-2</v>
      </c>
      <c r="R301" s="7"/>
    </row>
    <row r="302" spans="1:18" x14ac:dyDescent="0.25">
      <c r="A302">
        <v>199901</v>
      </c>
      <c r="B302" s="15">
        <v>-2.6699999999999998E-2</v>
      </c>
      <c r="C302" s="15">
        <v>5.9200000000000003E-2</v>
      </c>
      <c r="D302" s="15">
        <v>-5.4400000000000004E-2</v>
      </c>
      <c r="E302" s="15">
        <v>2.4500000000000001E-2</v>
      </c>
      <c r="F302" s="15">
        <v>-6.8999999999999999E-3</v>
      </c>
      <c r="G302" s="15">
        <v>-4.8499999999999995E-2</v>
      </c>
      <c r="H302" s="15">
        <v>-1.49E-2</v>
      </c>
      <c r="I302" s="15">
        <v>5.8499999999999996E-2</v>
      </c>
      <c r="J302" s="15">
        <v>3.6900000000000002E-2</v>
      </c>
      <c r="K302" s="15">
        <v>-4.0000000000000001E-3</v>
      </c>
      <c r="L302" s="15">
        <v>0.11230000000000001</v>
      </c>
      <c r="M302" s="15">
        <v>7.8700000000000006E-2</v>
      </c>
      <c r="N302" s="15">
        <v>-6.3E-3</v>
      </c>
      <c r="O302" s="15">
        <v>-6.2400000000000004E-2</v>
      </c>
      <c r="P302" s="15">
        <v>3.4500000000000003E-2</v>
      </c>
      <c r="Q302" s="15">
        <v>3.2000000000000002E-3</v>
      </c>
      <c r="R302" s="7"/>
    </row>
    <row r="303" spans="1:18" x14ac:dyDescent="0.25">
      <c r="A303">
        <v>199902</v>
      </c>
      <c r="B303" s="15">
        <v>-2.7200000000000002E-2</v>
      </c>
      <c r="C303" s="15">
        <v>2.0299999999999999E-2</v>
      </c>
      <c r="D303" s="15">
        <v>-3.3300000000000003E-2</v>
      </c>
      <c r="E303" s="15">
        <v>-9.7000000000000003E-3</v>
      </c>
      <c r="F303" s="15">
        <v>-3.61E-2</v>
      </c>
      <c r="G303" s="15">
        <v>1.55E-2</v>
      </c>
      <c r="H303" s="15">
        <v>-2.9999999999999997E-4</v>
      </c>
      <c r="I303" s="15">
        <v>-4.9400000000000006E-2</v>
      </c>
      <c r="J303" s="15">
        <v>-5.2900000000000003E-2</v>
      </c>
      <c r="K303" s="15">
        <v>-2.06E-2</v>
      </c>
      <c r="L303" s="15">
        <v>-0.1074</v>
      </c>
      <c r="M303" s="15">
        <v>-4.2000000000000003E-2</v>
      </c>
      <c r="N303" s="15">
        <v>1.1699999999999999E-2</v>
      </c>
      <c r="O303" s="15">
        <v>-3.6200000000000003E-2</v>
      </c>
      <c r="P303" s="15">
        <v>7.000000000000001E-4</v>
      </c>
      <c r="Q303" s="15">
        <v>6.4000000000000003E-3</v>
      </c>
      <c r="R303" s="7"/>
    </row>
    <row r="304" spans="1:18" x14ac:dyDescent="0.25">
      <c r="A304">
        <v>199903</v>
      </c>
      <c r="B304" s="15">
        <v>-2.5600000000000001E-2</v>
      </c>
      <c r="C304" s="15">
        <v>0.13449999999999998</v>
      </c>
      <c r="D304" s="15">
        <v>0.14099999999999999</v>
      </c>
      <c r="E304" s="15">
        <v>-6.8999999999999999E-3</v>
      </c>
      <c r="F304" s="15">
        <v>-1.4199999999999999E-2</v>
      </c>
      <c r="G304" s="15">
        <v>3.7100000000000001E-2</v>
      </c>
      <c r="H304" s="15">
        <v>1.6500000000000001E-2</v>
      </c>
      <c r="I304" s="15">
        <v>4.7500000000000001E-2</v>
      </c>
      <c r="J304" s="15">
        <v>-2.5399999999999999E-2</v>
      </c>
      <c r="K304" s="15">
        <v>3.8900000000000004E-2</v>
      </c>
      <c r="L304" s="15">
        <v>5.2999999999999999E-2</v>
      </c>
      <c r="M304" s="15">
        <v>-1.6E-2</v>
      </c>
      <c r="N304" s="15">
        <v>3.4099999999999998E-2</v>
      </c>
      <c r="O304" s="15">
        <v>-1.6399999999999998E-2</v>
      </c>
      <c r="P304" s="15">
        <v>3.8100000000000002E-2</v>
      </c>
      <c r="Q304" s="15">
        <v>3.0099999999999998E-2</v>
      </c>
      <c r="R304" s="7"/>
    </row>
    <row r="305" spans="1:18" x14ac:dyDescent="0.25">
      <c r="A305">
        <v>199904</v>
      </c>
      <c r="B305" s="15">
        <v>3.4000000000000002E-2</v>
      </c>
      <c r="C305" s="15">
        <v>0.22339999999999999</v>
      </c>
      <c r="D305" s="15">
        <v>0.15640000000000001</v>
      </c>
      <c r="E305" s="15">
        <v>8.5099999999999995E-2</v>
      </c>
      <c r="F305" s="15">
        <v>0.13320000000000001</v>
      </c>
      <c r="G305" s="15">
        <v>0.2225</v>
      </c>
      <c r="H305" s="15">
        <v>-5.8099999999999999E-2</v>
      </c>
      <c r="I305" s="15">
        <v>1.0200000000000001E-2</v>
      </c>
      <c r="J305" s="15">
        <v>0.30670000000000003</v>
      </c>
      <c r="K305" s="15">
        <v>0.16370000000000001</v>
      </c>
      <c r="L305" s="15">
        <v>4.1200000000000001E-2</v>
      </c>
      <c r="M305" s="15">
        <v>8.5699999999999998E-2</v>
      </c>
      <c r="N305" s="15">
        <v>0.1305</v>
      </c>
      <c r="O305" s="15">
        <v>7.3499999999999996E-2</v>
      </c>
      <c r="P305" s="15">
        <v>-4.0000000000000002E-4</v>
      </c>
      <c r="Q305" s="15">
        <v>6.3299999999999995E-2</v>
      </c>
      <c r="R305" s="7"/>
    </row>
    <row r="306" spans="1:18" x14ac:dyDescent="0.25">
      <c r="A306">
        <v>199905</v>
      </c>
      <c r="B306" s="15">
        <v>1.43E-2</v>
      </c>
      <c r="C306" s="15">
        <v>-0.106</v>
      </c>
      <c r="D306" s="15">
        <v>-2.76E-2</v>
      </c>
      <c r="E306" s="15">
        <v>-1.6500000000000001E-2</v>
      </c>
      <c r="F306" s="15">
        <v>-2.8999999999999998E-2</v>
      </c>
      <c r="G306" s="15">
        <v>-6.0599999999999994E-2</v>
      </c>
      <c r="H306" s="15">
        <v>-0.02</v>
      </c>
      <c r="I306" s="15">
        <v>-2.6800000000000001E-2</v>
      </c>
      <c r="J306" s="15">
        <v>-7.3599999999999999E-2</v>
      </c>
      <c r="K306" s="15">
        <v>-1.5E-3</v>
      </c>
      <c r="L306" s="15">
        <v>-5.5000000000000005E-3</v>
      </c>
      <c r="M306" s="15">
        <v>-5.3699999999999998E-2</v>
      </c>
      <c r="N306" s="15">
        <v>-3.4700000000000002E-2</v>
      </c>
      <c r="O306" s="15">
        <v>6.7199999999999996E-2</v>
      </c>
      <c r="P306" s="15">
        <v>-4.0800000000000003E-2</v>
      </c>
      <c r="Q306" s="15">
        <v>-3.8599999999999995E-2</v>
      </c>
      <c r="R306" s="7"/>
    </row>
    <row r="307" spans="1:18" x14ac:dyDescent="0.25">
      <c r="A307">
        <v>199906</v>
      </c>
      <c r="B307" s="15">
        <v>-1.8600000000000002E-2</v>
      </c>
      <c r="C307" s="15">
        <v>-8.4900000000000003E-2</v>
      </c>
      <c r="D307" s="15">
        <v>2.3999999999999998E-3</v>
      </c>
      <c r="E307" s="15">
        <v>2.0400000000000001E-2</v>
      </c>
      <c r="F307" s="15">
        <v>4.4000000000000004E-2</v>
      </c>
      <c r="G307" s="15">
        <v>3.1099999999999999E-2</v>
      </c>
      <c r="H307" s="15">
        <v>4.0300000000000002E-2</v>
      </c>
      <c r="I307" s="15">
        <v>-4.5000000000000005E-3</v>
      </c>
      <c r="J307" s="15">
        <v>8.8000000000000009E-2</v>
      </c>
      <c r="K307" s="15">
        <v>1.7600000000000001E-2</v>
      </c>
      <c r="L307" s="15">
        <v>0.11560000000000001</v>
      </c>
      <c r="M307" s="15">
        <v>-4.5999999999999999E-3</v>
      </c>
      <c r="N307" s="15">
        <v>3.1200000000000002E-2</v>
      </c>
      <c r="O307" s="15">
        <v>-4.4800000000000006E-2</v>
      </c>
      <c r="P307" s="15">
        <v>8.0199999999999994E-2</v>
      </c>
      <c r="Q307" s="15">
        <v>2.7799999999999998E-2</v>
      </c>
      <c r="R307" s="7"/>
    </row>
    <row r="308" spans="1:18" x14ac:dyDescent="0.25">
      <c r="A308">
        <v>199907</v>
      </c>
      <c r="B308" s="15">
        <v>-1.5100000000000001E-2</v>
      </c>
      <c r="C308" s="15">
        <v>-9.4399999999999998E-2</v>
      </c>
      <c r="D308" s="15">
        <v>2.35E-2</v>
      </c>
      <c r="E308" s="15">
        <v>-8.0299999999999996E-2</v>
      </c>
      <c r="F308" s="15">
        <v>-3.4599999999999999E-2</v>
      </c>
      <c r="G308" s="15">
        <v>-1.1999999999999999E-3</v>
      </c>
      <c r="H308" s="15">
        <v>-5.5800000000000002E-2</v>
      </c>
      <c r="I308" s="15">
        <v>-1.6500000000000001E-2</v>
      </c>
      <c r="J308" s="15">
        <v>-1.1399999999999999E-2</v>
      </c>
      <c r="K308" s="15">
        <v>-8.6E-3</v>
      </c>
      <c r="L308" s="15">
        <v>1.8600000000000002E-2</v>
      </c>
      <c r="M308" s="15">
        <v>-7.1800000000000003E-2</v>
      </c>
      <c r="N308" s="15">
        <v>-1.3600000000000001E-2</v>
      </c>
      <c r="O308" s="15">
        <v>-4.4000000000000003E-3</v>
      </c>
      <c r="P308" s="15">
        <v>-6.0899999999999996E-2</v>
      </c>
      <c r="Q308" s="15">
        <v>-5.7099999999999998E-2</v>
      </c>
      <c r="R308" s="7"/>
    </row>
    <row r="309" spans="1:18" x14ac:dyDescent="0.25">
      <c r="A309">
        <v>199908</v>
      </c>
      <c r="B309" s="15">
        <v>-2.9399999999999999E-2</v>
      </c>
      <c r="C309" s="15">
        <v>5.3499999999999999E-2</v>
      </c>
      <c r="D309" s="15">
        <v>1.32E-2</v>
      </c>
      <c r="E309" s="15">
        <v>-0.1106</v>
      </c>
      <c r="F309" s="15">
        <v>-4.9100000000000005E-2</v>
      </c>
      <c r="G309" s="15">
        <v>-5.8799999999999998E-2</v>
      </c>
      <c r="H309" s="15">
        <v>3.8900000000000004E-2</v>
      </c>
      <c r="I309" s="15">
        <v>-3.9199999999999999E-2</v>
      </c>
      <c r="J309" s="15">
        <v>-4.7999999999999996E-3</v>
      </c>
      <c r="K309" s="15">
        <v>-6.4299999999999996E-2</v>
      </c>
      <c r="L309" s="15">
        <v>7.1800000000000003E-2</v>
      </c>
      <c r="M309" s="15">
        <v>3.1E-2</v>
      </c>
      <c r="N309" s="15">
        <v>-4.7599999999999996E-2</v>
      </c>
      <c r="O309" s="15">
        <v>5.5000000000000005E-3</v>
      </c>
      <c r="P309" s="15">
        <v>-6.0599999999999994E-2</v>
      </c>
      <c r="Q309" s="15">
        <v>-5.1699999999999996E-2</v>
      </c>
      <c r="R309" s="7"/>
    </row>
    <row r="310" spans="1:18" x14ac:dyDescent="0.25">
      <c r="A310">
        <v>199909</v>
      </c>
      <c r="B310" s="15">
        <v>-9.4499999999999987E-2</v>
      </c>
      <c r="C310" s="15">
        <v>-3.9699999999999999E-2</v>
      </c>
      <c r="D310" s="15">
        <v>-3.6600000000000001E-2</v>
      </c>
      <c r="E310" s="15">
        <v>3.0999999999999999E-3</v>
      </c>
      <c r="F310" s="15">
        <v>-9.0299999999999991E-2</v>
      </c>
      <c r="G310" s="15">
        <v>-5.5199999999999999E-2</v>
      </c>
      <c r="H310" s="15">
        <v>-7.4999999999999997E-2</v>
      </c>
      <c r="I310" s="15">
        <v>-1.6200000000000003E-2</v>
      </c>
      <c r="J310" s="15">
        <v>-2.4700000000000003E-2</v>
      </c>
      <c r="K310" s="15">
        <v>-3.04E-2</v>
      </c>
      <c r="L310" s="15">
        <v>-1.6E-2</v>
      </c>
      <c r="M310" s="15">
        <v>-6.1900000000000004E-2</v>
      </c>
      <c r="N310" s="15">
        <v>-6.4899999999999999E-2</v>
      </c>
      <c r="O310" s="15">
        <v>-4.3299999999999998E-2</v>
      </c>
      <c r="P310" s="15">
        <v>1.43E-2</v>
      </c>
      <c r="Q310" s="15">
        <v>-5.5300000000000002E-2</v>
      </c>
      <c r="R310" s="7"/>
    </row>
    <row r="311" spans="1:18" x14ac:dyDescent="0.25">
      <c r="A311">
        <v>199910</v>
      </c>
      <c r="B311" s="15">
        <v>0.12520000000000001</v>
      </c>
      <c r="C311" s="15">
        <v>9.8299999999999998E-2</v>
      </c>
      <c r="D311" s="15">
        <v>-2.4900000000000002E-2</v>
      </c>
      <c r="E311" s="15">
        <v>8.8000000000000005E-3</v>
      </c>
      <c r="F311" s="15">
        <v>-1.67E-2</v>
      </c>
      <c r="G311" s="15">
        <v>2.2599999999999999E-2</v>
      </c>
      <c r="H311" s="15">
        <v>0.1051</v>
      </c>
      <c r="I311" s="15">
        <v>4.99E-2</v>
      </c>
      <c r="J311" s="15">
        <v>1.0200000000000001E-2</v>
      </c>
      <c r="K311" s="15">
        <v>-7.0999999999999995E-3</v>
      </c>
      <c r="L311" s="15">
        <v>4.9699999999999994E-2</v>
      </c>
      <c r="M311" s="15">
        <v>3.4599999999999999E-2</v>
      </c>
      <c r="N311" s="15">
        <v>1.7399999999999999E-2</v>
      </c>
      <c r="O311" s="15">
        <v>2.2099999999999998E-2</v>
      </c>
      <c r="P311" s="15">
        <v>4.2599999999999999E-2</v>
      </c>
      <c r="Q311" s="15">
        <v>0.1416</v>
      </c>
      <c r="R311" s="7"/>
    </row>
    <row r="312" spans="1:18" x14ac:dyDescent="0.25">
      <c r="A312">
        <v>199911</v>
      </c>
      <c r="B312" s="15">
        <v>1.1200000000000002E-2</v>
      </c>
      <c r="C312" s="15">
        <v>1.4000000000000002E-3</v>
      </c>
      <c r="D312" s="15">
        <v>3.5499999999999997E-2</v>
      </c>
      <c r="E312" s="15">
        <v>-7.5899999999999995E-2</v>
      </c>
      <c r="F312" s="15">
        <v>-1.8700000000000001E-2</v>
      </c>
      <c r="G312" s="15">
        <v>-5.6999999999999993E-3</v>
      </c>
      <c r="H312" s="15">
        <v>3.2000000000000002E-3</v>
      </c>
      <c r="I312" s="15">
        <v>2.5699999999999997E-2</v>
      </c>
      <c r="J312" s="15">
        <v>7.2900000000000006E-2</v>
      </c>
      <c r="K312" s="15">
        <v>-3.9399999999999998E-2</v>
      </c>
      <c r="L312" s="15">
        <v>8.1600000000000006E-2</v>
      </c>
      <c r="M312" s="15">
        <v>-2.4E-2</v>
      </c>
      <c r="N312" s="15">
        <v>-4.6199999999999998E-2</v>
      </c>
      <c r="O312" s="15">
        <v>-7.3899999999999993E-2</v>
      </c>
      <c r="P312" s="15">
        <v>4.6399999999999997E-2</v>
      </c>
      <c r="Q312" s="15">
        <v>-3.6699999999999997E-2</v>
      </c>
      <c r="R312" s="7"/>
    </row>
    <row r="313" spans="1:18" x14ac:dyDescent="0.25">
      <c r="A313">
        <v>199912</v>
      </c>
      <c r="B313" s="15">
        <v>-7.1199999999999999E-2</v>
      </c>
      <c r="C313" s="15">
        <v>0.13639999999999999</v>
      </c>
      <c r="D313" s="15">
        <v>7.8000000000000005E-3</v>
      </c>
      <c r="E313" s="15">
        <v>3.6299999999999999E-2</v>
      </c>
      <c r="F313" s="15">
        <v>1.5600000000000001E-2</v>
      </c>
      <c r="G313" s="15">
        <v>6.83E-2</v>
      </c>
      <c r="H313" s="15">
        <v>-8.3100000000000007E-2</v>
      </c>
      <c r="I313" s="15">
        <v>0.16010000000000002</v>
      </c>
      <c r="J313" s="15">
        <v>0.22359999999999999</v>
      </c>
      <c r="K313" s="15">
        <v>4.2000000000000003E-2</v>
      </c>
      <c r="L313" s="15">
        <v>0.16089999999999999</v>
      </c>
      <c r="M313" s="15">
        <v>3.8399999999999997E-2</v>
      </c>
      <c r="N313" s="15">
        <v>2.0099999999999996E-2</v>
      </c>
      <c r="O313" s="15">
        <v>-2.2799999999999997E-2</v>
      </c>
      <c r="P313" s="15">
        <v>2.9700000000000001E-2</v>
      </c>
      <c r="Q313" s="15">
        <v>-1.0800000000000001E-2</v>
      </c>
      <c r="R313" s="7"/>
    </row>
    <row r="314" spans="1:18" x14ac:dyDescent="0.25">
      <c r="A314">
        <v>200001</v>
      </c>
      <c r="B314" s="15">
        <v>-5.0799999999999998E-2</v>
      </c>
      <c r="C314" s="15">
        <v>0.215</v>
      </c>
      <c r="D314" s="15">
        <v>2.1299999999999999E-2</v>
      </c>
      <c r="E314" s="15">
        <v>-0.1103</v>
      </c>
      <c r="F314" s="15">
        <v>-8.09E-2</v>
      </c>
      <c r="G314" s="15">
        <v>-8.9099999999999999E-2</v>
      </c>
      <c r="H314" s="15">
        <v>3.5699999999999996E-2</v>
      </c>
      <c r="I314" s="15">
        <v>-0.1492</v>
      </c>
      <c r="J314" s="15">
        <v>-2.4199999999999999E-2</v>
      </c>
      <c r="K314" s="15">
        <v>-9.4800000000000009E-2</v>
      </c>
      <c r="L314" s="15">
        <v>-1.6000000000000001E-3</v>
      </c>
      <c r="M314" s="15">
        <v>-8.6999999999999994E-3</v>
      </c>
      <c r="N314" s="15">
        <v>-9.6199999999999994E-2</v>
      </c>
      <c r="O314" s="15">
        <v>6.0299999999999999E-2</v>
      </c>
      <c r="P314" s="15">
        <v>-0.12720000000000001</v>
      </c>
      <c r="Q314" s="15">
        <v>-4.53E-2</v>
      </c>
      <c r="R314" s="7"/>
    </row>
    <row r="315" spans="1:18" x14ac:dyDescent="0.25">
      <c r="A315">
        <v>200002</v>
      </c>
      <c r="B315" s="15">
        <v>-9.4499999999999987E-2</v>
      </c>
      <c r="C315" s="15">
        <v>-3.8300000000000001E-2</v>
      </c>
      <c r="D315" s="15">
        <v>-4.9200000000000001E-2</v>
      </c>
      <c r="E315" s="15">
        <v>-9.6500000000000002E-2</v>
      </c>
      <c r="F315" s="15">
        <v>-4.8899999999999999E-2</v>
      </c>
      <c r="G315" s="15">
        <v>-7.5399999999999995E-2</v>
      </c>
      <c r="H315" s="15">
        <v>-0.10199999999999999</v>
      </c>
      <c r="I315" s="15">
        <v>-1.3100000000000001E-2</v>
      </c>
      <c r="J315" s="15">
        <v>7.2300000000000003E-2</v>
      </c>
      <c r="K315" s="15">
        <v>-0.11410000000000001</v>
      </c>
      <c r="L315" s="15">
        <v>0.19899999999999998</v>
      </c>
      <c r="M315" s="15">
        <v>-7.9299999999999995E-2</v>
      </c>
      <c r="N315" s="15">
        <v>-6.2300000000000001E-2</v>
      </c>
      <c r="O315" s="15">
        <v>-7.1599999999999997E-2</v>
      </c>
      <c r="P315" s="15">
        <v>-6.3899999999999998E-2</v>
      </c>
      <c r="Q315" s="15">
        <v>-8.7899999999999992E-2</v>
      </c>
      <c r="R315" s="7"/>
    </row>
    <row r="316" spans="1:18" x14ac:dyDescent="0.25">
      <c r="A316">
        <v>200003</v>
      </c>
      <c r="B316" s="15">
        <v>4.6199999999999998E-2</v>
      </c>
      <c r="C316" s="15">
        <v>-3.4700000000000002E-2</v>
      </c>
      <c r="D316" s="15">
        <v>0.12970000000000001</v>
      </c>
      <c r="E316" s="15">
        <v>0.20850000000000002</v>
      </c>
      <c r="F316" s="15">
        <v>2.98E-2</v>
      </c>
      <c r="G316" s="15">
        <v>0.1278</v>
      </c>
      <c r="H316" s="15">
        <v>1.06E-2</v>
      </c>
      <c r="I316" s="15">
        <v>0.12240000000000001</v>
      </c>
      <c r="J316" s="15">
        <v>3.4300000000000004E-2</v>
      </c>
      <c r="K316" s="15">
        <v>0.1346</v>
      </c>
      <c r="L316" s="15">
        <v>8.0100000000000005E-2</v>
      </c>
      <c r="M316" s="15">
        <v>0.1033</v>
      </c>
      <c r="N316" s="15">
        <v>0.1148</v>
      </c>
      <c r="O316" s="15">
        <v>5.9400000000000001E-2</v>
      </c>
      <c r="P316" s="15">
        <v>0.15130000000000002</v>
      </c>
      <c r="Q316" s="15">
        <v>0.16969999999999999</v>
      </c>
      <c r="R316" s="7"/>
    </row>
    <row r="317" spans="1:18" x14ac:dyDescent="0.25">
      <c r="A317">
        <v>200004</v>
      </c>
      <c r="B317" s="15">
        <v>-2.9999999999999997E-4</v>
      </c>
      <c r="C317" s="15">
        <v>-0.11509999999999999</v>
      </c>
      <c r="D317" s="15">
        <v>-1.4999999999999999E-2</v>
      </c>
      <c r="E317" s="15">
        <v>4.1599999999999998E-2</v>
      </c>
      <c r="F317" s="15">
        <v>1.43E-2</v>
      </c>
      <c r="G317" s="15">
        <v>-4.4800000000000006E-2</v>
      </c>
      <c r="H317" s="15">
        <v>0.09</v>
      </c>
      <c r="I317" s="15">
        <v>-6.1600000000000002E-2</v>
      </c>
      <c r="J317" s="15">
        <v>-8.0000000000000002E-3</v>
      </c>
      <c r="K317" s="15">
        <v>2.1400000000000002E-2</v>
      </c>
      <c r="L317" s="15">
        <v>-3.2000000000000001E-2</v>
      </c>
      <c r="M317" s="15">
        <v>0.10050000000000001</v>
      </c>
      <c r="N317" s="15">
        <v>4.8399999999999999E-2</v>
      </c>
      <c r="O317" s="15">
        <v>7.4800000000000005E-2</v>
      </c>
      <c r="P317" s="15">
        <v>-3.1400000000000004E-2</v>
      </c>
      <c r="Q317" s="15">
        <v>-3.6900000000000002E-2</v>
      </c>
      <c r="R317" s="7"/>
    </row>
    <row r="318" spans="1:18" x14ac:dyDescent="0.25">
      <c r="A318">
        <v>200005</v>
      </c>
      <c r="B318" s="15">
        <v>0.1308</v>
      </c>
      <c r="C318" s="15">
        <v>-8.0399999999999985E-2</v>
      </c>
      <c r="D318" s="15">
        <v>0.10400000000000001</v>
      </c>
      <c r="E318" s="15">
        <v>-5.0300000000000004E-2</v>
      </c>
      <c r="F318" s="15">
        <v>-9.0000000000000011E-3</v>
      </c>
      <c r="G318" s="15">
        <v>6.6E-3</v>
      </c>
      <c r="H318" s="15">
        <v>6.7000000000000004E-2</v>
      </c>
      <c r="I318" s="15">
        <v>-0.10009999999999999</v>
      </c>
      <c r="J318" s="15">
        <v>-4.8399999999999999E-2</v>
      </c>
      <c r="K318" s="15">
        <v>-2.5399999999999999E-2</v>
      </c>
      <c r="L318" s="15">
        <v>-9.3900000000000011E-2</v>
      </c>
      <c r="M318" s="15">
        <v>-0.13689999999999999</v>
      </c>
      <c r="N318" s="15">
        <v>-2.0899999999999998E-2</v>
      </c>
      <c r="O318" s="15">
        <v>3.9699999999999999E-2</v>
      </c>
      <c r="P318" s="15">
        <v>-1.78E-2</v>
      </c>
      <c r="Q318" s="15">
        <v>4.9800000000000004E-2</v>
      </c>
      <c r="R318" s="7"/>
    </row>
    <row r="319" spans="1:18" x14ac:dyDescent="0.25">
      <c r="A319">
        <v>200006</v>
      </c>
      <c r="B319" s="15">
        <v>3.8599999999999995E-2</v>
      </c>
      <c r="C319" s="15">
        <v>6.6000000000000003E-2</v>
      </c>
      <c r="D319" s="15">
        <v>-6.6699999999999995E-2</v>
      </c>
      <c r="E319" s="15">
        <v>-7.9299999999999995E-2</v>
      </c>
      <c r="F319" s="15">
        <v>-1.84E-2</v>
      </c>
      <c r="G319" s="15">
        <v>-6.3099999999999989E-2</v>
      </c>
      <c r="H319" s="15">
        <v>8.4199999999999997E-2</v>
      </c>
      <c r="I319" s="15">
        <v>-6.8000000000000005E-3</v>
      </c>
      <c r="J319" s="15">
        <v>0.16010000000000002</v>
      </c>
      <c r="K319" s="15">
        <v>-6.25E-2</v>
      </c>
      <c r="L319" s="15">
        <v>0.1065</v>
      </c>
      <c r="M319" s="15">
        <v>-0.11259999999999999</v>
      </c>
      <c r="N319" s="15">
        <v>-5.7999999999999996E-2</v>
      </c>
      <c r="O319" s="15">
        <v>-4.7199999999999999E-2</v>
      </c>
      <c r="P319" s="15">
        <v>-2.4199999999999999E-2</v>
      </c>
      <c r="Q319" s="15">
        <v>-4.2599999999999999E-2</v>
      </c>
      <c r="R319" s="7"/>
    </row>
    <row r="320" spans="1:18" x14ac:dyDescent="0.25">
      <c r="A320">
        <v>200007</v>
      </c>
      <c r="B320" s="15">
        <v>1.8200000000000001E-2</v>
      </c>
      <c r="C320" s="15">
        <v>-4.8799999999999996E-2</v>
      </c>
      <c r="D320" s="15">
        <v>-1.3100000000000001E-2</v>
      </c>
      <c r="E320" s="15">
        <v>5.3699999999999998E-2</v>
      </c>
      <c r="F320" s="15">
        <v>-3.7499999999999999E-2</v>
      </c>
      <c r="G320" s="15">
        <v>1.2199999999999999E-2</v>
      </c>
      <c r="H320" s="15">
        <v>-7.1099999999999997E-2</v>
      </c>
      <c r="I320" s="15">
        <v>-1E-3</v>
      </c>
      <c r="J320" s="15">
        <v>-6.2E-2</v>
      </c>
      <c r="K320" s="15">
        <v>4.0300000000000002E-2</v>
      </c>
      <c r="L320" s="15">
        <v>-2.0199999999999999E-2</v>
      </c>
      <c r="M320" s="15">
        <v>5.7999999999999996E-2</v>
      </c>
      <c r="N320" s="15">
        <v>8.4900000000000003E-2</v>
      </c>
      <c r="O320" s="15">
        <v>4.2099999999999999E-2</v>
      </c>
      <c r="P320" s="15">
        <v>-3.3799999999999997E-2</v>
      </c>
      <c r="Q320" s="15">
        <v>8.6400000000000005E-2</v>
      </c>
      <c r="R320" s="7"/>
    </row>
    <row r="321" spans="1:18" x14ac:dyDescent="0.25">
      <c r="A321">
        <v>200008</v>
      </c>
      <c r="B321" s="15">
        <v>-5.9400000000000001E-2</v>
      </c>
      <c r="C321" s="15">
        <v>5.5099999999999996E-2</v>
      </c>
      <c r="D321" s="15">
        <v>9.5500000000000002E-2</v>
      </c>
      <c r="E321" s="15">
        <v>1.9099999999999999E-2</v>
      </c>
      <c r="F321" s="15">
        <v>5.1100000000000007E-2</v>
      </c>
      <c r="G321" s="15">
        <v>2.76E-2</v>
      </c>
      <c r="H321" s="15">
        <v>1.0700000000000001E-2</v>
      </c>
      <c r="I321" s="15">
        <v>-7.4999999999999997E-3</v>
      </c>
      <c r="J321" s="15">
        <v>0.2505</v>
      </c>
      <c r="K321" s="15">
        <v>8.77E-2</v>
      </c>
      <c r="L321" s="15">
        <v>0.14360000000000001</v>
      </c>
      <c r="M321" s="15">
        <v>5.7099999999999998E-2</v>
      </c>
      <c r="N321" s="15">
        <v>3.5000000000000003E-2</v>
      </c>
      <c r="O321" s="15">
        <v>0.1176</v>
      </c>
      <c r="P321" s="15">
        <v>-4.9500000000000002E-2</v>
      </c>
      <c r="Q321" s="15">
        <v>0.1011</v>
      </c>
      <c r="R321" s="7"/>
    </row>
    <row r="322" spans="1:18" x14ac:dyDescent="0.25">
      <c r="A322">
        <v>200009</v>
      </c>
      <c r="B322" s="15">
        <v>5.2699999999999997E-2</v>
      </c>
      <c r="C322" s="15">
        <v>-7.6299999999999993E-2</v>
      </c>
      <c r="D322" s="15">
        <v>4.7899999999999998E-2</v>
      </c>
      <c r="E322" s="15">
        <v>4.0000000000000001E-3</v>
      </c>
      <c r="F322" s="15">
        <v>-0.125</v>
      </c>
      <c r="G322" s="15">
        <v>-3.39E-2</v>
      </c>
      <c r="H322" s="15">
        <v>5.28E-2</v>
      </c>
      <c r="I322" s="15">
        <v>2.81E-2</v>
      </c>
      <c r="J322" s="15">
        <v>-0.12269999999999999</v>
      </c>
      <c r="K322" s="15">
        <v>-5.7699999999999994E-2</v>
      </c>
      <c r="L322" s="15">
        <v>-0.1832</v>
      </c>
      <c r="M322" s="15">
        <v>-4.6500000000000007E-2</v>
      </c>
      <c r="N322" s="15">
        <v>3.2000000000000001E-2</v>
      </c>
      <c r="O322" s="15">
        <v>9.1600000000000001E-2</v>
      </c>
      <c r="P322" s="15">
        <v>1.3999999999999999E-2</v>
      </c>
      <c r="Q322" s="15">
        <v>2.4799999999999999E-2</v>
      </c>
      <c r="R322" s="7"/>
    </row>
    <row r="323" spans="1:18" x14ac:dyDescent="0.25">
      <c r="A323">
        <v>200010</v>
      </c>
      <c r="B323" s="15">
        <v>7.6700000000000004E-2</v>
      </c>
      <c r="C323" s="15">
        <v>-2.35E-2</v>
      </c>
      <c r="D323" s="15">
        <v>-3.5200000000000002E-2</v>
      </c>
      <c r="E323" s="15">
        <v>2.76E-2</v>
      </c>
      <c r="F323" s="15">
        <v>8.3999999999999995E-3</v>
      </c>
      <c r="G323" s="15">
        <v>2.12E-2</v>
      </c>
      <c r="H323" s="15">
        <v>5.9500000000000004E-2</v>
      </c>
      <c r="I323" s="15">
        <v>-6.08E-2</v>
      </c>
      <c r="J323" s="15">
        <v>-0.1215</v>
      </c>
      <c r="K323" s="15">
        <v>3.7100000000000001E-2</v>
      </c>
      <c r="L323" s="15">
        <v>-5.5E-2</v>
      </c>
      <c r="M323" s="15">
        <v>3.3099999999999997E-2</v>
      </c>
      <c r="N323" s="15">
        <v>0.1105</v>
      </c>
      <c r="O323" s="15">
        <v>-1.8100000000000002E-2</v>
      </c>
      <c r="P323" s="15">
        <v>1.34E-2</v>
      </c>
      <c r="Q323" s="15">
        <v>-5.1000000000000004E-3</v>
      </c>
      <c r="R323" s="7"/>
    </row>
    <row r="324" spans="1:18" x14ac:dyDescent="0.25">
      <c r="A324">
        <v>200011</v>
      </c>
      <c r="B324" s="15">
        <v>4.3799999999999999E-2</v>
      </c>
      <c r="C324" s="15">
        <v>4.9800000000000004E-2</v>
      </c>
      <c r="D324" s="15">
        <v>-4.1799999999999997E-2</v>
      </c>
      <c r="E324" s="15">
        <v>3.4000000000000002E-2</v>
      </c>
      <c r="F324" s="15">
        <v>-4.8399999999999999E-2</v>
      </c>
      <c r="G324" s="15">
        <v>1.11E-2</v>
      </c>
      <c r="H324" s="15">
        <v>2.86E-2</v>
      </c>
      <c r="I324" s="15">
        <v>-5.4800000000000001E-2</v>
      </c>
      <c r="J324" s="15">
        <v>-0.15679999999999999</v>
      </c>
      <c r="K324" s="15">
        <v>-7.6999999999999999E-2</v>
      </c>
      <c r="L324" s="15">
        <v>-0.23370000000000002</v>
      </c>
      <c r="M324" s="15">
        <v>-0.1283</v>
      </c>
      <c r="N324" s="15">
        <v>-2.9999999999999997E-4</v>
      </c>
      <c r="O324" s="15">
        <v>3.0600000000000002E-2</v>
      </c>
      <c r="P324" s="15">
        <v>1.95E-2</v>
      </c>
      <c r="Q324" s="15">
        <v>-5.1699999999999996E-2</v>
      </c>
      <c r="R324" s="7"/>
    </row>
    <row r="325" spans="1:18" x14ac:dyDescent="0.25">
      <c r="A325">
        <v>200012</v>
      </c>
      <c r="B325" s="15">
        <v>2.1400000000000002E-2</v>
      </c>
      <c r="C325" s="15">
        <v>9.4800000000000009E-2</v>
      </c>
      <c r="D325" s="15">
        <v>9.4399999999999998E-2</v>
      </c>
      <c r="E325" s="15">
        <v>0.13159999999999999</v>
      </c>
      <c r="F325" s="15">
        <v>4.7300000000000002E-2</v>
      </c>
      <c r="G325" s="15">
        <v>0.1002</v>
      </c>
      <c r="H325" s="15">
        <v>3.7100000000000001E-2</v>
      </c>
      <c r="I325" s="15">
        <v>0.1399</v>
      </c>
      <c r="J325" s="15">
        <v>1.9400000000000001E-2</v>
      </c>
      <c r="K325" s="15">
        <v>9.7699999999999995E-2</v>
      </c>
      <c r="L325" s="15">
        <v>-7.0499999999999993E-2</v>
      </c>
      <c r="M325" s="15">
        <v>-6.5000000000000006E-3</v>
      </c>
      <c r="N325" s="15">
        <v>1.77E-2</v>
      </c>
      <c r="O325" s="15">
        <v>6.6000000000000003E-2</v>
      </c>
      <c r="P325" s="15">
        <v>2.3700000000000002E-2</v>
      </c>
      <c r="Q325" s="15">
        <v>9.9700000000000011E-2</v>
      </c>
      <c r="R325" s="7"/>
    </row>
    <row r="326" spans="1:18" x14ac:dyDescent="0.25">
      <c r="A326">
        <v>200101</v>
      </c>
      <c r="B326" s="15">
        <v>-4.7100000000000003E-2</v>
      </c>
      <c r="C326" s="15">
        <v>1.6299999999999999E-2</v>
      </c>
      <c r="D326" s="15">
        <v>-3.61E-2</v>
      </c>
      <c r="E326" s="15">
        <v>4.36E-2</v>
      </c>
      <c r="F326" s="15">
        <v>0.10099999999999999</v>
      </c>
      <c r="G326" s="15">
        <v>-0.05</v>
      </c>
      <c r="H326" s="15">
        <v>-8.4199999999999997E-2</v>
      </c>
      <c r="I326" s="15">
        <v>3.1300000000000001E-2</v>
      </c>
      <c r="J326" s="15">
        <v>6.1500000000000006E-2</v>
      </c>
      <c r="K326" s="15">
        <v>1.61E-2</v>
      </c>
      <c r="L326" s="15">
        <v>0.12939999999999999</v>
      </c>
      <c r="M326" s="15">
        <v>0.13489999999999999</v>
      </c>
      <c r="N326" s="15">
        <v>-2.8999999999999998E-3</v>
      </c>
      <c r="O326" s="15">
        <v>-0.10769999999999999</v>
      </c>
      <c r="P326" s="15">
        <v>8.4900000000000003E-2</v>
      </c>
      <c r="Q326" s="15">
        <v>-4.8999999999999998E-3</v>
      </c>
      <c r="R326" s="7"/>
    </row>
    <row r="327" spans="1:18" x14ac:dyDescent="0.25">
      <c r="A327">
        <v>200102</v>
      </c>
      <c r="B327" s="15">
        <v>-1.66E-2</v>
      </c>
      <c r="C327" s="15">
        <v>4.58E-2</v>
      </c>
      <c r="D327" s="15">
        <v>-1.34E-2</v>
      </c>
      <c r="E327" s="15">
        <v>-0.1007</v>
      </c>
      <c r="F327" s="15">
        <v>8.5000000000000006E-3</v>
      </c>
      <c r="G327" s="15">
        <v>-2.4399999999999998E-2</v>
      </c>
      <c r="H327" s="15">
        <v>2.3999999999999998E-3</v>
      </c>
      <c r="I327" s="15">
        <v>-4.3099999999999999E-2</v>
      </c>
      <c r="J327" s="15">
        <v>-0.2384</v>
      </c>
      <c r="K327" s="15">
        <v>2.0000000000000001E-4</v>
      </c>
      <c r="L327" s="15">
        <v>-0.28989999999999999</v>
      </c>
      <c r="M327" s="15">
        <v>-8.3999999999999995E-3</v>
      </c>
      <c r="N327" s="15">
        <v>-2.5999999999999999E-3</v>
      </c>
      <c r="O327" s="15">
        <v>6.1600000000000002E-2</v>
      </c>
      <c r="P327" s="15">
        <v>-5.0599999999999999E-2</v>
      </c>
      <c r="Q327" s="15">
        <v>-5.1299999999999998E-2</v>
      </c>
      <c r="R327" s="7"/>
    </row>
    <row r="328" spans="1:18" x14ac:dyDescent="0.25">
      <c r="A328">
        <v>200103</v>
      </c>
      <c r="B328" s="15">
        <v>-5.8600000000000006E-2</v>
      </c>
      <c r="C328" s="15">
        <v>9.1000000000000004E-3</v>
      </c>
      <c r="D328" s="15">
        <v>-1.1399999999999999E-2</v>
      </c>
      <c r="E328" s="15">
        <v>-1.47E-2</v>
      </c>
      <c r="F328" s="15">
        <v>-3.3599999999999998E-2</v>
      </c>
      <c r="G328" s="15">
        <v>-4.4000000000000004E-2</v>
      </c>
      <c r="H328" s="15">
        <v>-6.9900000000000004E-2</v>
      </c>
      <c r="I328" s="15">
        <v>-2.0000000000000001E-4</v>
      </c>
      <c r="J328" s="15">
        <v>-8.3800000000000013E-2</v>
      </c>
      <c r="K328" s="15">
        <v>-2.4E-2</v>
      </c>
      <c r="L328" s="15">
        <v>-0.1234</v>
      </c>
      <c r="M328" s="15">
        <v>-2.23E-2</v>
      </c>
      <c r="N328" s="15">
        <v>-6.0199999999999997E-2</v>
      </c>
      <c r="O328" s="15">
        <v>1.24E-2</v>
      </c>
      <c r="P328" s="15">
        <v>-3.1E-2</v>
      </c>
      <c r="Q328" s="15">
        <v>-3.32E-2</v>
      </c>
      <c r="R328" s="7"/>
    </row>
    <row r="329" spans="1:18" x14ac:dyDescent="0.25">
      <c r="A329">
        <v>200104</v>
      </c>
      <c r="B329" s="15">
        <v>-1.44E-2</v>
      </c>
      <c r="C329" s="15">
        <v>7.8E-2</v>
      </c>
      <c r="D329" s="15">
        <v>9.9900000000000003E-2</v>
      </c>
      <c r="E329" s="15">
        <v>6.93E-2</v>
      </c>
      <c r="F329" s="15">
        <v>3.9E-2</v>
      </c>
      <c r="G329" s="15">
        <v>6.3700000000000007E-2</v>
      </c>
      <c r="H329" s="15">
        <v>3.5499999999999997E-2</v>
      </c>
      <c r="I329" s="15">
        <v>5.5999999999999994E-2</v>
      </c>
      <c r="J329" s="15">
        <v>0.1333</v>
      </c>
      <c r="K329" s="15">
        <v>6.8400000000000002E-2</v>
      </c>
      <c r="L329" s="15">
        <v>0.16920000000000002</v>
      </c>
      <c r="M329" s="15">
        <v>8.7300000000000003E-2</v>
      </c>
      <c r="N329" s="15">
        <v>7.8E-2</v>
      </c>
      <c r="O329" s="15">
        <v>5.5300000000000002E-2</v>
      </c>
      <c r="P329" s="15">
        <v>4.2199999999999994E-2</v>
      </c>
      <c r="Q329" s="15">
        <v>4.0999999999999995E-2</v>
      </c>
      <c r="R329" s="7"/>
    </row>
    <row r="330" spans="1:18" x14ac:dyDescent="0.25">
      <c r="A330">
        <v>200105</v>
      </c>
      <c r="B330" s="15">
        <v>3.6900000000000002E-2</v>
      </c>
      <c r="C330" s="15">
        <v>5.8499999999999996E-2</v>
      </c>
      <c r="D330" s="15">
        <v>-1.04E-2</v>
      </c>
      <c r="E330" s="15">
        <v>3.7699999999999997E-2</v>
      </c>
      <c r="F330" s="15">
        <v>6.3399999999999998E-2</v>
      </c>
      <c r="G330" s="15">
        <v>9.3999999999999986E-3</v>
      </c>
      <c r="H330" s="15">
        <v>2.69E-2</v>
      </c>
      <c r="I330" s="15">
        <v>3.7000000000000005E-2</v>
      </c>
      <c r="J330" s="15">
        <v>2E-3</v>
      </c>
      <c r="K330" s="15">
        <v>5.57E-2</v>
      </c>
      <c r="L330" s="15">
        <v>-5.5099999999999996E-2</v>
      </c>
      <c r="M330" s="15">
        <v>-2.8799999999999999E-2</v>
      </c>
      <c r="N330" s="15">
        <v>3.85E-2</v>
      </c>
      <c r="O330" s="15">
        <v>2.3999999999999998E-3</v>
      </c>
      <c r="P330" s="15">
        <v>1.03E-2</v>
      </c>
      <c r="Q330" s="15">
        <v>3.6600000000000001E-2</v>
      </c>
      <c r="R330" s="7"/>
    </row>
    <row r="331" spans="1:18" x14ac:dyDescent="0.25">
      <c r="A331">
        <v>200106</v>
      </c>
      <c r="B331" s="15">
        <v>-2.46E-2</v>
      </c>
      <c r="C331" s="15">
        <v>-5.9000000000000004E-2</v>
      </c>
      <c r="D331" s="15">
        <v>-7.4999999999999997E-2</v>
      </c>
      <c r="E331" s="15">
        <v>-1.15E-2</v>
      </c>
      <c r="F331" s="15">
        <v>3.7000000000000002E-3</v>
      </c>
      <c r="G331" s="15">
        <v>-2.9600000000000001E-2</v>
      </c>
      <c r="H331" s="15">
        <v>-4.3700000000000003E-2</v>
      </c>
      <c r="I331" s="15">
        <v>-1.84E-2</v>
      </c>
      <c r="J331" s="15">
        <v>-7.2999999999999995E-2</v>
      </c>
      <c r="K331" s="15">
        <v>-1.2199999999999999E-2</v>
      </c>
      <c r="L331" s="15">
        <v>-1.23E-2</v>
      </c>
      <c r="M331" s="15">
        <v>4.9699999999999994E-2</v>
      </c>
      <c r="N331" s="15">
        <v>-8.4499999999999992E-2</v>
      </c>
      <c r="O331" s="15">
        <v>-6.0499999999999998E-2</v>
      </c>
      <c r="P331" s="15">
        <v>-2.87E-2</v>
      </c>
      <c r="Q331" s="15">
        <v>6.9999999999999993E-3</v>
      </c>
      <c r="R331" s="7"/>
    </row>
    <row r="332" spans="1:18" x14ac:dyDescent="0.25">
      <c r="A332">
        <v>200107</v>
      </c>
      <c r="B332" s="15">
        <v>2.6000000000000002E-2</v>
      </c>
      <c r="C332" s="15">
        <v>-8.2200000000000009E-2</v>
      </c>
      <c r="D332" s="15">
        <v>-2.3399999999999997E-2</v>
      </c>
      <c r="E332" s="15">
        <v>1.26E-2</v>
      </c>
      <c r="F332" s="15">
        <v>-2.12E-2</v>
      </c>
      <c r="G332" s="15">
        <v>-3.3599999999999998E-2</v>
      </c>
      <c r="H332" s="15">
        <v>3.27E-2</v>
      </c>
      <c r="I332" s="15">
        <v>4.36E-2</v>
      </c>
      <c r="J332" s="15">
        <v>-2.1899999999999999E-2</v>
      </c>
      <c r="K332" s="15">
        <v>-1.78E-2</v>
      </c>
      <c r="L332" s="15">
        <v>-3.9599999999999996E-2</v>
      </c>
      <c r="M332" s="15">
        <v>5.3099999999999994E-2</v>
      </c>
      <c r="N332" s="15">
        <v>2.07E-2</v>
      </c>
      <c r="O332" s="15">
        <v>-3.8300000000000001E-2</v>
      </c>
      <c r="P332" s="15">
        <v>4.8799999999999996E-2</v>
      </c>
      <c r="Q332" s="15">
        <v>-6.7000000000000002E-3</v>
      </c>
      <c r="R332" s="7"/>
    </row>
    <row r="333" spans="1:18" x14ac:dyDescent="0.25">
      <c r="A333">
        <v>200108</v>
      </c>
      <c r="B333" s="15">
        <v>4.1500000000000002E-2</v>
      </c>
      <c r="C333" s="15">
        <v>3.4300000000000004E-2</v>
      </c>
      <c r="D333" s="15">
        <v>-4.6600000000000003E-2</v>
      </c>
      <c r="E333" s="15">
        <v>-4.3799999999999999E-2</v>
      </c>
      <c r="F333" s="15">
        <v>5.1999999999999998E-3</v>
      </c>
      <c r="G333" s="15">
        <v>-1.3300000000000001E-2</v>
      </c>
      <c r="H333" s="15">
        <v>-2.7200000000000002E-2</v>
      </c>
      <c r="I333" s="15">
        <v>-3.9699999999999999E-2</v>
      </c>
      <c r="J333" s="15">
        <v>-6.1799999999999994E-2</v>
      </c>
      <c r="K333" s="15">
        <v>-1.0800000000000001E-2</v>
      </c>
      <c r="L333" s="15">
        <v>-9.8699999999999996E-2</v>
      </c>
      <c r="M333" s="15">
        <v>-0.12920000000000001</v>
      </c>
      <c r="N333" s="15">
        <v>-4.7599999999999996E-2</v>
      </c>
      <c r="O333" s="15">
        <v>5.1999999999999998E-3</v>
      </c>
      <c r="P333" s="15">
        <v>-7.7300000000000008E-2</v>
      </c>
      <c r="Q333" s="15">
        <v>-5.4299999999999994E-2</v>
      </c>
      <c r="R333" s="7"/>
    </row>
    <row r="334" spans="1:18" x14ac:dyDescent="0.25">
      <c r="A334">
        <v>200109</v>
      </c>
      <c r="B334" s="15">
        <v>-1.9799999999999998E-2</v>
      </c>
      <c r="C334" s="15">
        <v>-4.9699999999999994E-2</v>
      </c>
      <c r="D334" s="15">
        <v>-6.4600000000000005E-2</v>
      </c>
      <c r="E334" s="15">
        <v>-0.17579999999999998</v>
      </c>
      <c r="F334" s="15">
        <v>-0.1673</v>
      </c>
      <c r="G334" s="15">
        <v>-9.1700000000000004E-2</v>
      </c>
      <c r="H334" s="15">
        <v>1.2199999999999999E-2</v>
      </c>
      <c r="I334" s="15">
        <v>-0.14550000000000002</v>
      </c>
      <c r="J334" s="15">
        <v>-0.2205</v>
      </c>
      <c r="K334" s="15">
        <v>-0.16829999999999998</v>
      </c>
      <c r="L334" s="15">
        <v>-0.2432</v>
      </c>
      <c r="M334" s="15">
        <v>-0.15279999999999999</v>
      </c>
      <c r="N334" s="15">
        <v>-0.18690000000000001</v>
      </c>
      <c r="O334" s="15">
        <v>-6.5799999999999997E-2</v>
      </c>
      <c r="P334" s="15">
        <v>-8.6899999999999991E-2</v>
      </c>
      <c r="Q334" s="15">
        <v>-5.7000000000000002E-2</v>
      </c>
      <c r="R334" s="7"/>
    </row>
    <row r="335" spans="1:18" x14ac:dyDescent="0.25">
      <c r="A335">
        <v>200110</v>
      </c>
      <c r="B335" s="15">
        <v>1.3500000000000002E-2</v>
      </c>
      <c r="C335" s="15">
        <v>1.8799999999999997E-2</v>
      </c>
      <c r="D335" s="15">
        <v>2.4900000000000002E-2</v>
      </c>
      <c r="E335" s="15">
        <v>7.2599999999999998E-2</v>
      </c>
      <c r="F335" s="15">
        <v>6.3600000000000004E-2</v>
      </c>
      <c r="G335" s="15">
        <v>3.3700000000000001E-2</v>
      </c>
      <c r="H335" s="15">
        <v>6.4000000000000003E-3</v>
      </c>
      <c r="I335" s="15">
        <v>2.8799999999999999E-2</v>
      </c>
      <c r="J335" s="15">
        <v>2.4300000000000002E-2</v>
      </c>
      <c r="K335" s="15">
        <v>7.4400000000000008E-2</v>
      </c>
      <c r="L335" s="15">
        <v>0.18479999999999999</v>
      </c>
      <c r="M335" s="15">
        <v>1.5E-3</v>
      </c>
      <c r="N335" s="15">
        <v>5.16E-2</v>
      </c>
      <c r="O335" s="15">
        <v>1.8700000000000001E-2</v>
      </c>
      <c r="P335" s="15">
        <v>3.6200000000000003E-2</v>
      </c>
      <c r="Q335" s="15">
        <v>-1.52E-2</v>
      </c>
      <c r="R335" s="7"/>
    </row>
    <row r="336" spans="1:18" x14ac:dyDescent="0.25">
      <c r="A336">
        <v>200111</v>
      </c>
      <c r="B336" s="15">
        <v>7.0999999999999995E-3</v>
      </c>
      <c r="C336" s="15">
        <v>-6.5000000000000006E-3</v>
      </c>
      <c r="D336" s="15">
        <v>-5.9800000000000006E-2</v>
      </c>
      <c r="E336" s="15">
        <v>9.5899999999999999E-2</v>
      </c>
      <c r="F336" s="15">
        <v>6.4299999999999996E-2</v>
      </c>
      <c r="G336" s="15">
        <v>0.10890000000000001</v>
      </c>
      <c r="H336" s="15">
        <v>3.4000000000000002E-2</v>
      </c>
      <c r="I336" s="15">
        <v>0.16260000000000002</v>
      </c>
      <c r="J336" s="15">
        <v>0.1575</v>
      </c>
      <c r="K336" s="15">
        <v>9.3100000000000002E-2</v>
      </c>
      <c r="L336" s="15">
        <v>0.19219999999999998</v>
      </c>
      <c r="M336" s="15">
        <v>0.16930000000000001</v>
      </c>
      <c r="N336" s="15">
        <v>8.6699999999999999E-2</v>
      </c>
      <c r="O336" s="15">
        <v>-1.54E-2</v>
      </c>
      <c r="P336" s="15">
        <v>0.1012</v>
      </c>
      <c r="Q336" s="15">
        <v>6.8600000000000008E-2</v>
      </c>
      <c r="R336" s="7"/>
    </row>
    <row r="337" spans="1:18" x14ac:dyDescent="0.25">
      <c r="A337">
        <v>200112</v>
      </c>
      <c r="B337" s="15">
        <v>2.2700000000000001E-2</v>
      </c>
      <c r="C337" s="15">
        <v>4.5599999999999995E-2</v>
      </c>
      <c r="D337" s="15">
        <v>5.6299999999999996E-2</v>
      </c>
      <c r="E337" s="15">
        <v>7.5899999999999995E-2</v>
      </c>
      <c r="F337" s="15">
        <v>3.8800000000000001E-2</v>
      </c>
      <c r="G337" s="15">
        <v>-1.1399999999999999E-2</v>
      </c>
      <c r="H337" s="15">
        <v>-2.92E-2</v>
      </c>
      <c r="I337" s="15">
        <v>7.4299999999999991E-2</v>
      </c>
      <c r="J337" s="15">
        <v>-2.6200000000000001E-2</v>
      </c>
      <c r="K337" s="15">
        <v>7.0000000000000007E-2</v>
      </c>
      <c r="L337" s="15">
        <v>-2.0099999999999996E-2</v>
      </c>
      <c r="M337" s="15">
        <v>-2.0799999999999999E-2</v>
      </c>
      <c r="N337" s="15">
        <v>3.8100000000000002E-2</v>
      </c>
      <c r="O337" s="15">
        <v>4.0399999999999998E-2</v>
      </c>
      <c r="P337" s="15">
        <v>4.2000000000000003E-2</v>
      </c>
      <c r="Q337" s="15">
        <v>3.15E-2</v>
      </c>
      <c r="R337" s="7"/>
    </row>
    <row r="338" spans="1:18" x14ac:dyDescent="0.25">
      <c r="A338">
        <v>200201</v>
      </c>
      <c r="B338" s="15">
        <v>-2.0000000000000001E-4</v>
      </c>
      <c r="C338" s="15">
        <v>-6.0999999999999995E-3</v>
      </c>
      <c r="D338" s="15">
        <v>-2.8500000000000001E-2</v>
      </c>
      <c r="E338" s="15">
        <v>5.2999999999999999E-2</v>
      </c>
      <c r="F338" s="15">
        <v>2.0199999999999999E-2</v>
      </c>
      <c r="G338" s="15">
        <v>-1.5800000000000002E-2</v>
      </c>
      <c r="H338" s="15">
        <v>-4.0999999999999995E-3</v>
      </c>
      <c r="I338" s="15">
        <v>5.9999999999999995E-4</v>
      </c>
      <c r="J338" s="15">
        <v>-2.5000000000000001E-3</v>
      </c>
      <c r="K338" s="15">
        <v>-5.7999999999999996E-3</v>
      </c>
      <c r="L338" s="15">
        <v>4.4500000000000005E-2</v>
      </c>
      <c r="M338" s="15">
        <v>2.5099999999999997E-2</v>
      </c>
      <c r="N338" s="15">
        <v>6.7500000000000004E-2</v>
      </c>
      <c r="O338" s="15">
        <v>-4.3400000000000001E-2</v>
      </c>
      <c r="P338" s="15">
        <v>3.4300000000000004E-2</v>
      </c>
      <c r="Q338" s="15">
        <v>-1.3500000000000002E-2</v>
      </c>
      <c r="R338" s="7"/>
    </row>
    <row r="339" spans="1:18" x14ac:dyDescent="0.25">
      <c r="A339">
        <v>200202</v>
      </c>
      <c r="B339" s="15">
        <v>3.6299999999999999E-2</v>
      </c>
      <c r="C339" s="15">
        <v>3.2400000000000005E-2</v>
      </c>
      <c r="D339" s="15">
        <v>5.5199999999999999E-2</v>
      </c>
      <c r="E339" s="15">
        <v>4.0000000000000002E-4</v>
      </c>
      <c r="F339" s="15">
        <v>4.9000000000000002E-2</v>
      </c>
      <c r="G339" s="15">
        <v>4.3899999999999995E-2</v>
      </c>
      <c r="H339" s="15">
        <v>1.1699999999999999E-2</v>
      </c>
      <c r="I339" s="15">
        <v>1.89E-2</v>
      </c>
      <c r="J339" s="15">
        <v>2.0000000000000001E-4</v>
      </c>
      <c r="K339" s="15">
        <v>7.4400000000000008E-2</v>
      </c>
      <c r="L339" s="15">
        <v>-0.1303</v>
      </c>
      <c r="M339" s="15">
        <v>2.3900000000000001E-2</v>
      </c>
      <c r="N339" s="15">
        <v>4.9000000000000002E-2</v>
      </c>
      <c r="O339" s="15">
        <v>-3.7000000000000002E-3</v>
      </c>
      <c r="P339" s="15">
        <v>4.0000000000000001E-3</v>
      </c>
      <c r="Q339" s="15">
        <v>-1.11E-2</v>
      </c>
      <c r="R339" s="7"/>
    </row>
    <row r="340" spans="1:18" x14ac:dyDescent="0.25">
      <c r="A340">
        <v>200203</v>
      </c>
      <c r="B340" s="15">
        <v>4.0800000000000003E-2</v>
      </c>
      <c r="C340" s="15">
        <v>9.3000000000000013E-2</v>
      </c>
      <c r="D340" s="15">
        <v>7.6999999999999999E-2</v>
      </c>
      <c r="E340" s="15">
        <v>4.2500000000000003E-2</v>
      </c>
      <c r="F340" s="15">
        <v>5.3699999999999998E-2</v>
      </c>
      <c r="G340" s="15">
        <v>5.1200000000000002E-2</v>
      </c>
      <c r="H340" s="15">
        <v>-2.9999999999999997E-4</v>
      </c>
      <c r="I340" s="15">
        <v>-1.0200000000000001E-2</v>
      </c>
      <c r="J340" s="15">
        <v>6.0400000000000002E-2</v>
      </c>
      <c r="K340" s="15">
        <v>9.64E-2</v>
      </c>
      <c r="L340" s="15">
        <v>9.8900000000000002E-2</v>
      </c>
      <c r="M340" s="15">
        <v>7.5800000000000006E-2</v>
      </c>
      <c r="N340" s="15">
        <v>3.0800000000000001E-2</v>
      </c>
      <c r="O340" s="15">
        <v>0.10279999999999999</v>
      </c>
      <c r="P340" s="15">
        <v>2.4700000000000003E-2</v>
      </c>
      <c r="Q340" s="15">
        <v>6.2100000000000002E-2</v>
      </c>
      <c r="R340" s="7"/>
    </row>
    <row r="341" spans="1:18" x14ac:dyDescent="0.25">
      <c r="A341">
        <v>200204</v>
      </c>
      <c r="B341" s="15">
        <v>2.8399999999999998E-2</v>
      </c>
      <c r="C341" s="15">
        <v>-8.5000000000000006E-3</v>
      </c>
      <c r="D341" s="15">
        <v>-4.9200000000000001E-2</v>
      </c>
      <c r="E341" s="15">
        <v>3.6799999999999999E-2</v>
      </c>
      <c r="F341" s="15">
        <v>2.41E-2</v>
      </c>
      <c r="G341" s="15">
        <v>-5.1299999999999998E-2</v>
      </c>
      <c r="H341" s="15">
        <v>-6.5599999999999992E-2</v>
      </c>
      <c r="I341" s="15">
        <v>-4.0000000000000001E-3</v>
      </c>
      <c r="J341" s="15">
        <v>-7.1099999999999997E-2</v>
      </c>
      <c r="K341" s="15">
        <v>3.4000000000000002E-2</v>
      </c>
      <c r="L341" s="15">
        <v>-7.2099999999999997E-2</v>
      </c>
      <c r="M341" s="15">
        <v>1.2699999999999999E-2</v>
      </c>
      <c r="N341" s="15">
        <v>-3.4000000000000002E-2</v>
      </c>
      <c r="O341" s="15">
        <v>-4.0999999999999995E-3</v>
      </c>
      <c r="P341" s="15">
        <v>-1.67E-2</v>
      </c>
      <c r="Q341" s="15">
        <v>-1.11E-2</v>
      </c>
      <c r="R341" s="7"/>
    </row>
    <row r="342" spans="1:18" x14ac:dyDescent="0.25">
      <c r="A342">
        <v>200205</v>
      </c>
      <c r="B342" s="15">
        <v>7.8000000000000005E-3</v>
      </c>
      <c r="C342" s="15">
        <v>6.2400000000000004E-2</v>
      </c>
      <c r="D342" s="15">
        <v>-1.21E-2</v>
      </c>
      <c r="E342" s="15">
        <v>-1.3300000000000001E-2</v>
      </c>
      <c r="F342" s="15">
        <v>-7.0999999999999995E-3</v>
      </c>
      <c r="G342" s="15">
        <v>1.5800000000000002E-2</v>
      </c>
      <c r="H342" s="15">
        <v>-1.26E-2</v>
      </c>
      <c r="I342" s="15">
        <v>-3.0699999999999998E-2</v>
      </c>
      <c r="J342" s="15">
        <v>2.8000000000000004E-3</v>
      </c>
      <c r="K342" s="15">
        <v>-2.6600000000000002E-2</v>
      </c>
      <c r="L342" s="15">
        <v>-3.1600000000000003E-2</v>
      </c>
      <c r="M342" s="15">
        <v>1.4499999999999999E-2</v>
      </c>
      <c r="N342" s="15">
        <v>7.000000000000001E-4</v>
      </c>
      <c r="O342" s="15">
        <v>-6.9099999999999995E-2</v>
      </c>
      <c r="P342" s="15">
        <v>-3.5999999999999999E-3</v>
      </c>
      <c r="Q342" s="15">
        <v>-1.5E-3</v>
      </c>
      <c r="R342" s="7"/>
    </row>
    <row r="343" spans="1:18" x14ac:dyDescent="0.25">
      <c r="A343">
        <v>200206</v>
      </c>
      <c r="B343" s="15">
        <v>-2.0099999999999996E-2</v>
      </c>
      <c r="C343" s="15">
        <v>-8.1699999999999995E-2</v>
      </c>
      <c r="D343" s="15">
        <v>-8.9999999999999998E-4</v>
      </c>
      <c r="E343" s="15">
        <v>-2.06E-2</v>
      </c>
      <c r="F343" s="15">
        <v>-5.2600000000000001E-2</v>
      </c>
      <c r="G343" s="15">
        <v>-1.3500000000000002E-2</v>
      </c>
      <c r="H343" s="15">
        <v>-9.7599999999999992E-2</v>
      </c>
      <c r="I343" s="15">
        <v>-5.2900000000000003E-2</v>
      </c>
      <c r="J343" s="15">
        <v>-5.2999999999999999E-2</v>
      </c>
      <c r="K343" s="15">
        <v>-2.5399999999999999E-2</v>
      </c>
      <c r="L343" s="15">
        <v>-0.159</v>
      </c>
      <c r="M343" s="15">
        <v>-8.1099999999999992E-2</v>
      </c>
      <c r="N343" s="15">
        <v>3.7000000000000002E-3</v>
      </c>
      <c r="O343" s="15">
        <v>-5.7999999999999996E-2</v>
      </c>
      <c r="P343" s="15">
        <v>-4.2000000000000003E-2</v>
      </c>
      <c r="Q343" s="15">
        <v>-4.82E-2</v>
      </c>
      <c r="R343" s="7"/>
    </row>
    <row r="344" spans="1:18" x14ac:dyDescent="0.25">
      <c r="A344">
        <v>200207</v>
      </c>
      <c r="B344" s="15">
        <v>-8.3800000000000013E-2</v>
      </c>
      <c r="C344" s="15">
        <v>-0.1439</v>
      </c>
      <c r="D344" s="15">
        <v>-0.1183</v>
      </c>
      <c r="E344" s="15">
        <v>-0.1188</v>
      </c>
      <c r="F344" s="15">
        <v>-0.1027</v>
      </c>
      <c r="G344" s="15">
        <v>-9.5100000000000004E-2</v>
      </c>
      <c r="H344" s="15">
        <v>-1.72E-2</v>
      </c>
      <c r="I344" s="15">
        <v>-0.1288</v>
      </c>
      <c r="J344" s="15">
        <v>-0.20379999999999998</v>
      </c>
      <c r="K344" s="15">
        <v>-0.13970000000000002</v>
      </c>
      <c r="L344" s="15">
        <v>-9.3800000000000008E-2</v>
      </c>
      <c r="M344" s="15">
        <v>-0.12140000000000001</v>
      </c>
      <c r="N344" s="15">
        <v>-8.1900000000000001E-2</v>
      </c>
      <c r="O344" s="15">
        <v>-0.12130000000000001</v>
      </c>
      <c r="P344" s="15">
        <v>-0.1116</v>
      </c>
      <c r="Q344" s="15">
        <v>-7.0400000000000004E-2</v>
      </c>
      <c r="R344" s="7"/>
    </row>
    <row r="345" spans="1:18" x14ac:dyDescent="0.25">
      <c r="A345">
        <v>200208</v>
      </c>
      <c r="B345" s="15">
        <v>6.3E-3</v>
      </c>
      <c r="C345" s="15">
        <v>7.6600000000000001E-2</v>
      </c>
      <c r="D345" s="15">
        <v>5.6000000000000008E-3</v>
      </c>
      <c r="E345" s="15">
        <v>-1.2699999999999999E-2</v>
      </c>
      <c r="F345" s="15">
        <v>3.73E-2</v>
      </c>
      <c r="G345" s="15">
        <v>1.77E-2</v>
      </c>
      <c r="H345" s="15">
        <v>2.58E-2</v>
      </c>
      <c r="I345" s="15">
        <v>2.0400000000000001E-2</v>
      </c>
      <c r="J345" s="15">
        <v>-4.8799999999999996E-2</v>
      </c>
      <c r="K345" s="15">
        <v>3.0099999999999998E-2</v>
      </c>
      <c r="L345" s="15">
        <v>-3.5000000000000003E-2</v>
      </c>
      <c r="M345" s="15">
        <v>-2.5000000000000001E-3</v>
      </c>
      <c r="N345" s="15">
        <v>-4.8399999999999999E-2</v>
      </c>
      <c r="O345" s="15">
        <v>3.4099999999999998E-2</v>
      </c>
      <c r="P345" s="15">
        <v>5.6999999999999993E-3</v>
      </c>
      <c r="Q345" s="15">
        <v>2.2599999999999999E-2</v>
      </c>
      <c r="R345" s="7"/>
    </row>
    <row r="346" spans="1:18" x14ac:dyDescent="0.25">
      <c r="A346">
        <v>200209</v>
      </c>
      <c r="B346" s="15">
        <v>-4.7199999999999999E-2</v>
      </c>
      <c r="C346" s="15">
        <v>-7.8299999999999995E-2</v>
      </c>
      <c r="D346" s="15">
        <v>-8.1300000000000011E-2</v>
      </c>
      <c r="E346" s="15">
        <v>-6.08E-2</v>
      </c>
      <c r="F346" s="15">
        <v>-0.11210000000000001</v>
      </c>
      <c r="G346" s="15">
        <v>-0.10539999999999999</v>
      </c>
      <c r="H346" s="15">
        <v>-7.690000000000001E-2</v>
      </c>
      <c r="I346" s="15">
        <v>-0.1246</v>
      </c>
      <c r="J346" s="15">
        <v>-0.18469999999999998</v>
      </c>
      <c r="K346" s="15">
        <v>-8.1699999999999995E-2</v>
      </c>
      <c r="L346" s="15">
        <v>-0.1646</v>
      </c>
      <c r="M346" s="15">
        <v>-0.10199999999999999</v>
      </c>
      <c r="N346" s="15">
        <v>-6.6400000000000001E-2</v>
      </c>
      <c r="O346" s="15">
        <v>-0.1084</v>
      </c>
      <c r="P346" s="15">
        <v>-9.3900000000000011E-2</v>
      </c>
      <c r="Q346" s="15">
        <v>-0.1041</v>
      </c>
      <c r="R346" s="7"/>
    </row>
    <row r="347" spans="1:18" x14ac:dyDescent="0.25">
      <c r="A347">
        <v>200210</v>
      </c>
      <c r="B347" s="15">
        <v>4.9200000000000001E-2</v>
      </c>
      <c r="C347" s="15">
        <v>-6.5299999999999997E-2</v>
      </c>
      <c r="D347" s="15">
        <v>3.1300000000000001E-2</v>
      </c>
      <c r="E347" s="15">
        <v>8.8800000000000004E-2</v>
      </c>
      <c r="F347" s="15">
        <v>3.8300000000000001E-2</v>
      </c>
      <c r="G347" s="15">
        <v>5.4400000000000004E-2</v>
      </c>
      <c r="H347" s="15">
        <v>6.93E-2</v>
      </c>
      <c r="I347" s="15">
        <v>5.0199999999999995E-2</v>
      </c>
      <c r="J347" s="15">
        <v>6.4199999999999993E-2</v>
      </c>
      <c r="K347" s="15">
        <v>2.4500000000000001E-2</v>
      </c>
      <c r="L347" s="15">
        <v>0.1477</v>
      </c>
      <c r="M347" s="15">
        <v>-4.6500000000000007E-2</v>
      </c>
      <c r="N347" s="15">
        <v>9.4999999999999998E-3</v>
      </c>
      <c r="O347" s="15">
        <v>-6.1999999999999998E-3</v>
      </c>
      <c r="P347" s="15">
        <v>5.6799999999999996E-2</v>
      </c>
      <c r="Q347" s="15">
        <v>7.2599999999999998E-2</v>
      </c>
      <c r="R347" s="7"/>
    </row>
    <row r="348" spans="1:18" x14ac:dyDescent="0.25">
      <c r="A348">
        <v>200211</v>
      </c>
      <c r="B348" s="15">
        <v>-1.3100000000000001E-2</v>
      </c>
      <c r="C348" s="15">
        <v>0.05</v>
      </c>
      <c r="D348" s="15">
        <v>2.9600000000000001E-2</v>
      </c>
      <c r="E348" s="15">
        <v>6.08E-2</v>
      </c>
      <c r="F348" s="15">
        <v>9.6300000000000011E-2</v>
      </c>
      <c r="G348" s="15">
        <v>9.7599999999999992E-2</v>
      </c>
      <c r="H348" s="15">
        <v>2.0299999999999999E-2</v>
      </c>
      <c r="I348" s="15">
        <v>5.9999999999999995E-4</v>
      </c>
      <c r="J348" s="15">
        <v>0.18179999999999999</v>
      </c>
      <c r="K348" s="15">
        <v>5.7000000000000002E-2</v>
      </c>
      <c r="L348" s="15">
        <v>0.19420000000000001</v>
      </c>
      <c r="M348" s="15">
        <v>0.10970000000000001</v>
      </c>
      <c r="N348" s="15">
        <v>3.7499999999999999E-2</v>
      </c>
      <c r="O348" s="15">
        <v>1.5700000000000002E-2</v>
      </c>
      <c r="P348" s="15">
        <v>4.3200000000000002E-2</v>
      </c>
      <c r="Q348" s="15">
        <v>3.2199999999999999E-2</v>
      </c>
      <c r="R348" s="7"/>
    </row>
    <row r="349" spans="1:18" x14ac:dyDescent="0.25">
      <c r="A349">
        <v>200212</v>
      </c>
      <c r="B349" s="15">
        <v>-1.04E-2</v>
      </c>
      <c r="C349" s="15">
        <v>0.11560000000000001</v>
      </c>
      <c r="D349" s="15">
        <v>7.4999999999999997E-3</v>
      </c>
      <c r="E349" s="15">
        <v>-4.8499999999999995E-2</v>
      </c>
      <c r="F349" s="15">
        <v>-4.8099999999999997E-2</v>
      </c>
      <c r="G349" s="15">
        <v>-4.5700000000000005E-2</v>
      </c>
      <c r="H349" s="15">
        <v>-3.0499999999999999E-2</v>
      </c>
      <c r="I349" s="15">
        <v>-4.87E-2</v>
      </c>
      <c r="J349" s="15">
        <v>-0.1027</v>
      </c>
      <c r="K349" s="15">
        <v>-3.0299999999999997E-2</v>
      </c>
      <c r="L349" s="15">
        <v>-0.14510000000000001</v>
      </c>
      <c r="M349" s="15">
        <v>-8.3199999999999996E-2</v>
      </c>
      <c r="N349" s="15">
        <v>-6.8999999999999999E-3</v>
      </c>
      <c r="O349" s="15">
        <v>3.8399999999999997E-2</v>
      </c>
      <c r="P349" s="15">
        <v>-7.7600000000000002E-2</v>
      </c>
      <c r="Q349" s="15">
        <v>-4.2500000000000003E-2</v>
      </c>
      <c r="R349" s="7"/>
    </row>
    <row r="350" spans="1:18" x14ac:dyDescent="0.25">
      <c r="A350">
        <v>200301</v>
      </c>
      <c r="B350" s="15">
        <v>-4.4800000000000006E-2</v>
      </c>
      <c r="C350" s="15">
        <v>-3.8100000000000002E-2</v>
      </c>
      <c r="D350" s="15">
        <v>-2.3399999999999997E-2</v>
      </c>
      <c r="E350" s="15">
        <v>-4.3700000000000003E-2</v>
      </c>
      <c r="F350" s="15">
        <v>-4.8899999999999999E-2</v>
      </c>
      <c r="G350" s="15">
        <v>-5.8400000000000001E-2</v>
      </c>
      <c r="H350" s="15">
        <v>-1.32E-2</v>
      </c>
      <c r="I350" s="15">
        <v>-6.5299999999999997E-2</v>
      </c>
      <c r="J350" s="15">
        <v>-4.7599999999999996E-2</v>
      </c>
      <c r="K350" s="15">
        <v>-6.8000000000000005E-2</v>
      </c>
      <c r="L350" s="15">
        <v>-2.3199999999999998E-2</v>
      </c>
      <c r="M350" s="15">
        <v>-3.6400000000000002E-2</v>
      </c>
      <c r="N350" s="15">
        <v>-5.2400000000000002E-2</v>
      </c>
      <c r="O350" s="15">
        <v>-3.27E-2</v>
      </c>
      <c r="P350" s="15">
        <v>-4.2300000000000004E-2</v>
      </c>
      <c r="Q350" s="15">
        <v>-1.6E-2</v>
      </c>
      <c r="R350" s="7"/>
    </row>
    <row r="351" spans="1:18" x14ac:dyDescent="0.25">
      <c r="A351">
        <v>200302</v>
      </c>
      <c r="B351" s="15">
        <v>-3.6499999999999998E-2</v>
      </c>
      <c r="C351" s="15">
        <v>-3.1E-2</v>
      </c>
      <c r="D351" s="15">
        <v>1.83E-2</v>
      </c>
      <c r="E351" s="15">
        <v>-3.2099999999999997E-2</v>
      </c>
      <c r="F351" s="15">
        <v>-1.1699999999999999E-2</v>
      </c>
      <c r="G351" s="15">
        <v>-4.0300000000000002E-2</v>
      </c>
      <c r="H351" s="15">
        <v>-2.64E-2</v>
      </c>
      <c r="I351" s="15">
        <v>4.9299999999999997E-2</v>
      </c>
      <c r="J351" s="15">
        <v>2.2499999999999999E-2</v>
      </c>
      <c r="K351" s="15">
        <v>-1.26E-2</v>
      </c>
      <c r="L351" s="15">
        <v>3.6799999999999999E-2</v>
      </c>
      <c r="M351" s="15">
        <v>-5.3099999999999994E-2</v>
      </c>
      <c r="N351" s="15">
        <v>-5.9800000000000006E-2</v>
      </c>
      <c r="O351" s="15">
        <v>-3.9699999999999999E-2</v>
      </c>
      <c r="P351" s="15">
        <v>-2.6000000000000002E-2</v>
      </c>
      <c r="Q351" s="15">
        <v>-3.2599999999999997E-2</v>
      </c>
      <c r="R351" s="7"/>
    </row>
    <row r="352" spans="1:18" x14ac:dyDescent="0.25">
      <c r="A352">
        <v>200303</v>
      </c>
      <c r="B352" s="15">
        <v>1.2999999999999999E-3</v>
      </c>
      <c r="C352" s="15">
        <v>-3.15E-2</v>
      </c>
      <c r="D352" s="15">
        <v>1.5700000000000002E-2</v>
      </c>
      <c r="E352" s="15">
        <v>4.7899999999999998E-2</v>
      </c>
      <c r="F352" s="15">
        <v>6.7000000000000002E-3</v>
      </c>
      <c r="G352" s="15">
        <v>3.95E-2</v>
      </c>
      <c r="H352" s="15">
        <v>2.9900000000000003E-2</v>
      </c>
      <c r="I352" s="15">
        <v>2.2799999999999997E-2</v>
      </c>
      <c r="J352" s="15">
        <v>-3.2500000000000001E-2</v>
      </c>
      <c r="K352" s="15">
        <v>-7.3000000000000001E-3</v>
      </c>
      <c r="L352" s="15">
        <v>-2.6099999999999998E-2</v>
      </c>
      <c r="M352" s="15">
        <v>-1.9799999999999998E-2</v>
      </c>
      <c r="N352" s="15">
        <v>7.9000000000000008E-3</v>
      </c>
      <c r="O352" s="15">
        <v>4.3099999999999999E-2</v>
      </c>
      <c r="P352" s="15">
        <v>5.9200000000000003E-2</v>
      </c>
      <c r="Q352" s="15">
        <v>2E-3</v>
      </c>
      <c r="R352" s="7"/>
    </row>
    <row r="353" spans="1:18" x14ac:dyDescent="0.25">
      <c r="A353">
        <v>200304</v>
      </c>
      <c r="B353" s="15">
        <v>3.8900000000000004E-2</v>
      </c>
      <c r="C353" s="15">
        <v>5.3399999999999996E-2</v>
      </c>
      <c r="D353" s="15">
        <v>-3.9000000000000003E-3</v>
      </c>
      <c r="E353" s="15">
        <v>8.1699999999999995E-2</v>
      </c>
      <c r="F353" s="15">
        <v>6.9400000000000003E-2</v>
      </c>
      <c r="G353" s="15">
        <v>9.9299999999999999E-2</v>
      </c>
      <c r="H353" s="15">
        <v>3.9E-2</v>
      </c>
      <c r="I353" s="15">
        <v>9.7699999999999995E-2</v>
      </c>
      <c r="J353" s="15">
        <v>0.10220000000000001</v>
      </c>
      <c r="K353" s="15">
        <v>8.4399999999999989E-2</v>
      </c>
      <c r="L353" s="15">
        <v>0.11259999999999999</v>
      </c>
      <c r="M353" s="15">
        <v>0.16769999999999999</v>
      </c>
      <c r="N353" s="15">
        <v>9.5799999999999996E-2</v>
      </c>
      <c r="O353" s="15">
        <v>7.3099999999999998E-2</v>
      </c>
      <c r="P353" s="15">
        <v>9.0200000000000002E-2</v>
      </c>
      <c r="Q353" s="15">
        <v>0.11130000000000001</v>
      </c>
      <c r="R353" s="7"/>
    </row>
    <row r="354" spans="1:18" x14ac:dyDescent="0.25">
      <c r="A354">
        <v>200305</v>
      </c>
      <c r="B354" s="15">
        <v>7.1500000000000008E-2</v>
      </c>
      <c r="C354" s="15">
        <v>0.14449999999999999</v>
      </c>
      <c r="D354" s="15">
        <v>8.5000000000000006E-2</v>
      </c>
      <c r="E354" s="15">
        <v>3.9900000000000005E-2</v>
      </c>
      <c r="F354" s="15">
        <v>4.2199999999999994E-2</v>
      </c>
      <c r="G354" s="15">
        <v>9.3999999999999986E-3</v>
      </c>
      <c r="H354" s="15">
        <v>4.0599999999999997E-2</v>
      </c>
      <c r="I354" s="15">
        <v>9.8400000000000001E-2</v>
      </c>
      <c r="J354" s="15">
        <v>0.1313</v>
      </c>
      <c r="K354" s="15">
        <v>2.52E-2</v>
      </c>
      <c r="L354" s="15">
        <v>0.121</v>
      </c>
      <c r="M354" s="15">
        <v>2.3599999999999999E-2</v>
      </c>
      <c r="N354" s="15">
        <v>5.9400000000000001E-2</v>
      </c>
      <c r="O354" s="15">
        <v>0.1012</v>
      </c>
      <c r="P354" s="15">
        <v>2.07E-2</v>
      </c>
      <c r="Q354" s="15">
        <v>5.6100000000000004E-2</v>
      </c>
      <c r="R354" s="7"/>
    </row>
    <row r="355" spans="1:18" x14ac:dyDescent="0.25">
      <c r="A355">
        <v>200306</v>
      </c>
      <c r="B355" s="15">
        <v>6.4000000000000003E-3</v>
      </c>
      <c r="C355" s="15">
        <v>5.7300000000000004E-2</v>
      </c>
      <c r="D355" s="15">
        <v>-1.0200000000000001E-2</v>
      </c>
      <c r="E355" s="15">
        <v>-6.5000000000000006E-3</v>
      </c>
      <c r="F355" s="15">
        <v>-1.5600000000000001E-2</v>
      </c>
      <c r="G355" s="15">
        <v>-1.5700000000000002E-2</v>
      </c>
      <c r="H355" s="15">
        <v>5.04E-2</v>
      </c>
      <c r="I355" s="15">
        <v>9.300000000000001E-3</v>
      </c>
      <c r="J355" s="15">
        <v>2.1499999999999998E-2</v>
      </c>
      <c r="K355" s="15">
        <v>7.7000000000000002E-3</v>
      </c>
      <c r="L355" s="15">
        <v>1.1000000000000001E-3</v>
      </c>
      <c r="M355" s="15">
        <v>1.2199999999999999E-2</v>
      </c>
      <c r="N355" s="15">
        <v>2.5000000000000001E-2</v>
      </c>
      <c r="O355" s="15">
        <v>7.4000000000000003E-3</v>
      </c>
      <c r="P355" s="15">
        <v>3.5400000000000001E-2</v>
      </c>
      <c r="Q355" s="15">
        <v>6.5000000000000006E-3</v>
      </c>
      <c r="R355" s="7"/>
    </row>
    <row r="356" spans="1:18" x14ac:dyDescent="0.25">
      <c r="A356">
        <v>200307</v>
      </c>
      <c r="B356" s="15">
        <v>-3.7000000000000002E-3</v>
      </c>
      <c r="C356" s="15">
        <v>6.4899999999999999E-2</v>
      </c>
      <c r="D356" s="15">
        <v>-2.52E-2</v>
      </c>
      <c r="E356" s="15">
        <v>4.8600000000000004E-2</v>
      </c>
      <c r="F356" s="15">
        <v>2.9600000000000001E-2</v>
      </c>
      <c r="G356" s="15">
        <v>7.85E-2</v>
      </c>
      <c r="H356" s="15">
        <v>-3.2599999999999997E-2</v>
      </c>
      <c r="I356" s="15">
        <v>1E-3</v>
      </c>
      <c r="J356" s="15">
        <v>6.9199999999999998E-2</v>
      </c>
      <c r="K356" s="15">
        <v>6.6100000000000006E-2</v>
      </c>
      <c r="L356" s="15">
        <v>9.1999999999999998E-2</v>
      </c>
      <c r="M356" s="15">
        <v>7.2300000000000003E-2</v>
      </c>
      <c r="N356" s="15">
        <v>3.2799999999999996E-2</v>
      </c>
      <c r="O356" s="15">
        <v>-5.1500000000000004E-2</v>
      </c>
      <c r="P356" s="15">
        <v>4.4000000000000004E-2</v>
      </c>
      <c r="Q356" s="15">
        <v>4.36E-2</v>
      </c>
      <c r="R356" s="7"/>
    </row>
    <row r="357" spans="1:18" x14ac:dyDescent="0.25">
      <c r="A357">
        <v>200308</v>
      </c>
      <c r="B357" s="15">
        <v>-4.7999999999999996E-3</v>
      </c>
      <c r="C357" s="15">
        <v>8.4900000000000003E-2</v>
      </c>
      <c r="D357" s="15">
        <v>6.1799999999999994E-2</v>
      </c>
      <c r="E357" s="15">
        <v>5.1299999999999998E-2</v>
      </c>
      <c r="F357" s="15">
        <v>4.2699999999999995E-2</v>
      </c>
      <c r="G357" s="15">
        <v>1.8799999999999997E-2</v>
      </c>
      <c r="H357" s="15">
        <v>-2.75E-2</v>
      </c>
      <c r="I357" s="15">
        <v>6.0599999999999994E-2</v>
      </c>
      <c r="J357" s="15">
        <v>4.6199999999999998E-2</v>
      </c>
      <c r="K357" s="15">
        <v>4.2699999999999995E-2</v>
      </c>
      <c r="L357" s="15">
        <v>7.9299999999999995E-2</v>
      </c>
      <c r="M357" s="15">
        <v>7.9399999999999998E-2</v>
      </c>
      <c r="N357" s="15">
        <v>3.5299999999999998E-2</v>
      </c>
      <c r="O357" s="15">
        <v>1.9199999999999998E-2</v>
      </c>
      <c r="P357" s="15">
        <v>7.3399999999999993E-2</v>
      </c>
      <c r="Q357" s="15">
        <v>-5.1999999999999998E-3</v>
      </c>
      <c r="R357" s="7"/>
    </row>
    <row r="358" spans="1:18" x14ac:dyDescent="0.25">
      <c r="A358">
        <v>200309</v>
      </c>
      <c r="B358" s="15">
        <v>6.7000000000000002E-3</v>
      </c>
      <c r="C358" s="15">
        <v>-3.0999999999999999E-3</v>
      </c>
      <c r="D358" s="15">
        <v>-2.1700000000000001E-2</v>
      </c>
      <c r="E358" s="15">
        <v>-1.5600000000000001E-2</v>
      </c>
      <c r="F358" s="15">
        <v>-5.7500000000000002E-2</v>
      </c>
      <c r="G358" s="15">
        <v>-6.13E-2</v>
      </c>
      <c r="H358" s="15">
        <v>2.1099999999999997E-2</v>
      </c>
      <c r="I358" s="15">
        <v>-1.1399999999999999E-2</v>
      </c>
      <c r="J358" s="15">
        <v>-3.1600000000000003E-2</v>
      </c>
      <c r="K358" s="15">
        <v>-2.9700000000000001E-2</v>
      </c>
      <c r="L358" s="15">
        <v>-4.0599999999999997E-2</v>
      </c>
      <c r="M358" s="15">
        <v>-4.2699999999999995E-2</v>
      </c>
      <c r="N358" s="15">
        <v>-4.0099999999999997E-2</v>
      </c>
      <c r="O358" s="15">
        <v>3.85E-2</v>
      </c>
      <c r="P358" s="15">
        <v>-5.6900000000000006E-2</v>
      </c>
      <c r="Q358" s="15">
        <v>5.7999999999999996E-3</v>
      </c>
      <c r="R358" s="7"/>
    </row>
    <row r="359" spans="1:18" x14ac:dyDescent="0.25">
      <c r="A359">
        <v>200310</v>
      </c>
      <c r="B359" s="15">
        <v>4.6500000000000007E-2</v>
      </c>
      <c r="C359" s="15">
        <v>0.13289999999999999</v>
      </c>
      <c r="D359" s="15">
        <v>1.5600000000000001E-2</v>
      </c>
      <c r="E359" s="15">
        <v>0.1099</v>
      </c>
      <c r="F359" s="15">
        <v>8.4900000000000003E-2</v>
      </c>
      <c r="G359" s="15">
        <v>6.5799999999999997E-2</v>
      </c>
      <c r="H359" s="15">
        <v>1.55E-2</v>
      </c>
      <c r="I359" s="15">
        <v>0.1232</v>
      </c>
      <c r="J359" s="15">
        <v>0.19210000000000002</v>
      </c>
      <c r="K359" s="15">
        <v>0.1142</v>
      </c>
      <c r="L359" s="15">
        <v>0.13239999999999999</v>
      </c>
      <c r="M359" s="15">
        <v>6.9599999999999995E-2</v>
      </c>
      <c r="N359" s="15">
        <v>9.4700000000000006E-2</v>
      </c>
      <c r="O359" s="15">
        <v>1.5100000000000001E-2</v>
      </c>
      <c r="P359" s="15">
        <v>8.900000000000001E-2</v>
      </c>
      <c r="Q359" s="15">
        <v>6.9599999999999995E-2</v>
      </c>
      <c r="R359" s="7"/>
    </row>
    <row r="360" spans="1:18" x14ac:dyDescent="0.25">
      <c r="A360">
        <v>200311</v>
      </c>
      <c r="B360" s="15">
        <v>2.63E-2</v>
      </c>
      <c r="C360" s="15">
        <v>8.7599999999999997E-2</v>
      </c>
      <c r="D360" s="15">
        <v>6.4000000000000003E-3</v>
      </c>
      <c r="E360" s="15">
        <v>2.98E-2</v>
      </c>
      <c r="F360" s="15">
        <v>6.1999999999999998E-3</v>
      </c>
      <c r="G360" s="15">
        <v>2.9600000000000001E-2</v>
      </c>
      <c r="H360" s="15">
        <v>2.06E-2</v>
      </c>
      <c r="I360" s="15">
        <v>1.5900000000000001E-2</v>
      </c>
      <c r="J360" s="15">
        <v>3.56E-2</v>
      </c>
      <c r="K360" s="15">
        <v>4.6900000000000004E-2</v>
      </c>
      <c r="L360" s="15">
        <v>3.61E-2</v>
      </c>
      <c r="M360" s="15">
        <v>2.7900000000000001E-2</v>
      </c>
      <c r="N360" s="15">
        <v>-7.9000000000000008E-3</v>
      </c>
      <c r="O360" s="15">
        <v>9.4999999999999998E-3</v>
      </c>
      <c r="P360" s="15">
        <v>-8.9999999999999998E-4</v>
      </c>
      <c r="Q360" s="15">
        <v>9.5999999999999992E-3</v>
      </c>
      <c r="R360" s="7"/>
    </row>
    <row r="361" spans="1:18" x14ac:dyDescent="0.25">
      <c r="A361">
        <v>200312</v>
      </c>
      <c r="B361" s="15">
        <v>3.4799999999999998E-2</v>
      </c>
      <c r="C361" s="15">
        <v>7.1399999999999991E-2</v>
      </c>
      <c r="D361" s="15">
        <v>0.1346</v>
      </c>
      <c r="E361" s="15">
        <v>9.1999999999999998E-3</v>
      </c>
      <c r="F361" s="15">
        <v>2.3300000000000001E-2</v>
      </c>
      <c r="G361" s="15">
        <v>9.6500000000000002E-2</v>
      </c>
      <c r="H361" s="15">
        <v>5.4800000000000001E-2</v>
      </c>
      <c r="I361" s="15">
        <v>9.3999999999999986E-3</v>
      </c>
      <c r="J361" s="15">
        <v>0.1065</v>
      </c>
      <c r="K361" s="15">
        <v>7.1099999999999997E-2</v>
      </c>
      <c r="L361" s="15">
        <v>4.6999999999999993E-3</v>
      </c>
      <c r="M361" s="15">
        <v>0.11810000000000001</v>
      </c>
      <c r="N361" s="15">
        <v>5.5099999999999996E-2</v>
      </c>
      <c r="O361" s="15">
        <v>5.8499999999999996E-2</v>
      </c>
      <c r="P361" s="15">
        <v>-2.9900000000000003E-2</v>
      </c>
      <c r="Q361" s="15">
        <v>4.1299999999999996E-2</v>
      </c>
      <c r="R361" s="7"/>
    </row>
    <row r="362" spans="1:18" x14ac:dyDescent="0.25">
      <c r="A362">
        <v>200401</v>
      </c>
      <c r="B362" s="15">
        <v>-2.2000000000000001E-3</v>
      </c>
      <c r="C362" s="15">
        <v>-9.06E-2</v>
      </c>
      <c r="D362" s="15">
        <v>3.2000000000000002E-3</v>
      </c>
      <c r="E362" s="15">
        <v>-1.6200000000000003E-2</v>
      </c>
      <c r="F362" s="15">
        <v>3.5099999999999999E-2</v>
      </c>
      <c r="G362" s="15">
        <v>-1.4499999999999999E-2</v>
      </c>
      <c r="H362" s="15">
        <v>1.78E-2</v>
      </c>
      <c r="I362" s="15">
        <v>-1.83E-2</v>
      </c>
      <c r="J362" s="15">
        <v>5.0000000000000001E-4</v>
      </c>
      <c r="K362" s="15">
        <v>-1.3600000000000001E-2</v>
      </c>
      <c r="L362" s="15">
        <v>2.75E-2</v>
      </c>
      <c r="M362" s="15">
        <v>-2.1000000000000001E-2</v>
      </c>
      <c r="N362" s="15">
        <v>-1.5100000000000001E-2</v>
      </c>
      <c r="O362" s="15">
        <v>1.9099999999999999E-2</v>
      </c>
      <c r="P362" s="15">
        <v>2.2000000000000001E-3</v>
      </c>
      <c r="Q362" s="15">
        <v>3.4000000000000002E-2</v>
      </c>
      <c r="R362" s="7"/>
    </row>
    <row r="363" spans="1:18" x14ac:dyDescent="0.25">
      <c r="A363">
        <v>200402</v>
      </c>
      <c r="B363" s="15">
        <v>4.8099999999999997E-2</v>
      </c>
      <c r="C363" s="15">
        <v>6.3299999999999995E-2</v>
      </c>
      <c r="D363" s="15">
        <v>4.5100000000000001E-2</v>
      </c>
      <c r="E363" s="15">
        <v>6.1399999999999996E-2</v>
      </c>
      <c r="F363" s="15">
        <v>2.4700000000000003E-2</v>
      </c>
      <c r="G363" s="15">
        <v>2.8399999999999998E-2</v>
      </c>
      <c r="H363" s="15">
        <v>2.12E-2</v>
      </c>
      <c r="I363" s="15">
        <v>5.2600000000000001E-2</v>
      </c>
      <c r="J363" s="15">
        <v>6.3500000000000001E-2</v>
      </c>
      <c r="K363" s="15">
        <v>4.07E-2</v>
      </c>
      <c r="L363" s="15">
        <v>-2.92E-2</v>
      </c>
      <c r="M363" s="15">
        <v>2.2000000000000001E-3</v>
      </c>
      <c r="N363" s="15">
        <v>-3.2000000000000002E-3</v>
      </c>
      <c r="O363" s="15">
        <v>2.1099999999999997E-2</v>
      </c>
      <c r="P363" s="15">
        <v>7.6999999999999999E-2</v>
      </c>
      <c r="Q363" s="15">
        <v>2.8999999999999998E-2</v>
      </c>
      <c r="R363" s="7"/>
    </row>
    <row r="364" spans="1:18" x14ac:dyDescent="0.25">
      <c r="A364">
        <v>200403</v>
      </c>
      <c r="B364" s="15">
        <v>9.300000000000001E-3</v>
      </c>
      <c r="C364" s="15">
        <v>3.6000000000000004E-2</v>
      </c>
      <c r="D364" s="15">
        <v>-5.9999999999999995E-4</v>
      </c>
      <c r="E364" s="15">
        <v>2.41E-2</v>
      </c>
      <c r="F364" s="15">
        <v>-2.7699999999999999E-2</v>
      </c>
      <c r="G364" s="15">
        <v>-1.77E-2</v>
      </c>
      <c r="H364" s="15">
        <v>-3.6200000000000003E-2</v>
      </c>
      <c r="I364" s="15">
        <v>2.7300000000000001E-2</v>
      </c>
      <c r="J364" s="15">
        <v>-4.5100000000000001E-2</v>
      </c>
      <c r="K364" s="15">
        <v>3.9199999999999999E-2</v>
      </c>
      <c r="L364" s="15">
        <v>-1.7600000000000001E-2</v>
      </c>
      <c r="M364" s="15">
        <v>-1.52E-2</v>
      </c>
      <c r="N364" s="15">
        <v>-2.2200000000000001E-2</v>
      </c>
      <c r="O364" s="15">
        <v>1.1399999999999999E-2</v>
      </c>
      <c r="P364" s="15">
        <v>-3.8E-3</v>
      </c>
      <c r="Q364" s="15">
        <v>-6.8000000000000005E-3</v>
      </c>
      <c r="R364" s="7"/>
    </row>
    <row r="365" spans="1:18" x14ac:dyDescent="0.25">
      <c r="A365">
        <v>200404</v>
      </c>
      <c r="B365" s="15">
        <v>1.89E-2</v>
      </c>
      <c r="C365" s="15">
        <v>-0.1358</v>
      </c>
      <c r="D365" s="15">
        <v>2.6699999999999998E-2</v>
      </c>
      <c r="E365" s="15">
        <v>-1.83E-2</v>
      </c>
      <c r="F365" s="15">
        <v>-4.2599999999999999E-2</v>
      </c>
      <c r="G365" s="15">
        <v>-6.5000000000000006E-3</v>
      </c>
      <c r="H365" s="15">
        <v>4.0399999999999998E-2</v>
      </c>
      <c r="I365" s="15">
        <v>-5.0799999999999998E-2</v>
      </c>
      <c r="J365" s="15">
        <v>-8.6999999999999994E-2</v>
      </c>
      <c r="K365" s="15">
        <v>-2.5899999999999999E-2</v>
      </c>
      <c r="L365" s="15">
        <v>-7.1900000000000006E-2</v>
      </c>
      <c r="M365" s="15">
        <v>3.9E-2</v>
      </c>
      <c r="N365" s="15">
        <v>1.43E-2</v>
      </c>
      <c r="O365" s="15">
        <v>-3.56E-2</v>
      </c>
      <c r="P365" s="15">
        <v>-2.8999999999999998E-2</v>
      </c>
      <c r="Q365" s="15">
        <v>-4.4199999999999996E-2</v>
      </c>
      <c r="R365" s="7"/>
    </row>
    <row r="366" spans="1:18" x14ac:dyDescent="0.25">
      <c r="A366">
        <v>200405</v>
      </c>
      <c r="B366" s="15">
        <v>-2E-3</v>
      </c>
      <c r="C366" s="15">
        <v>5.6100000000000004E-2</v>
      </c>
      <c r="D366" s="15">
        <v>5.1999999999999998E-3</v>
      </c>
      <c r="E366" s="15">
        <v>-1.7000000000000001E-3</v>
      </c>
      <c r="F366" s="15">
        <v>1.03E-2</v>
      </c>
      <c r="G366" s="15">
        <v>6.5000000000000006E-3</v>
      </c>
      <c r="H366" s="15">
        <v>-1.1200000000000002E-2</v>
      </c>
      <c r="I366" s="15">
        <v>2.2700000000000001E-2</v>
      </c>
      <c r="J366" s="15">
        <v>5.8499999999999996E-2</v>
      </c>
      <c r="K366" s="15">
        <v>5.5000000000000005E-3</v>
      </c>
      <c r="L366" s="15">
        <v>5.7099999999999998E-2</v>
      </c>
      <c r="M366" s="15">
        <v>-1.6799999999999999E-2</v>
      </c>
      <c r="N366" s="15">
        <v>1.6200000000000003E-2</v>
      </c>
      <c r="O366" s="15">
        <v>1.2500000000000001E-2</v>
      </c>
      <c r="P366" s="15">
        <v>1.6000000000000001E-3</v>
      </c>
      <c r="Q366" s="15">
        <v>1.5800000000000002E-2</v>
      </c>
      <c r="R366" s="7"/>
    </row>
    <row r="367" spans="1:18" x14ac:dyDescent="0.25">
      <c r="A367">
        <v>200406</v>
      </c>
      <c r="B367" s="15">
        <v>1.1399999999999999E-2</v>
      </c>
      <c r="C367" s="15">
        <v>4.1399999999999999E-2</v>
      </c>
      <c r="D367" s="15">
        <v>5.3399999999999996E-2</v>
      </c>
      <c r="E367" s="15">
        <v>4.1599999999999998E-2</v>
      </c>
      <c r="F367" s="15">
        <v>2.92E-2</v>
      </c>
      <c r="G367" s="15">
        <v>5.62E-2</v>
      </c>
      <c r="H367" s="15">
        <v>-6.5000000000000006E-3</v>
      </c>
      <c r="I367" s="15">
        <v>2.8999999999999998E-3</v>
      </c>
      <c r="J367" s="15">
        <v>9.3599999999999989E-2</v>
      </c>
      <c r="K367" s="15">
        <v>5.4900000000000004E-2</v>
      </c>
      <c r="L367" s="15">
        <v>2.2000000000000002E-2</v>
      </c>
      <c r="M367" s="15">
        <v>4.3299999999999998E-2</v>
      </c>
      <c r="N367" s="15">
        <v>7.3700000000000002E-2</v>
      </c>
      <c r="O367" s="15">
        <v>2.0299999999999999E-2</v>
      </c>
      <c r="P367" s="15">
        <v>-3.4999999999999996E-3</v>
      </c>
      <c r="Q367" s="15">
        <v>5.5000000000000005E-3</v>
      </c>
      <c r="R367" s="7"/>
    </row>
    <row r="368" spans="1:18" x14ac:dyDescent="0.25">
      <c r="A368">
        <v>200407</v>
      </c>
      <c r="B368" s="15">
        <v>-6.83E-2</v>
      </c>
      <c r="C368" s="15">
        <v>1.49E-2</v>
      </c>
      <c r="D368" s="15">
        <v>3.39E-2</v>
      </c>
      <c r="E368" s="15">
        <v>-4.9800000000000004E-2</v>
      </c>
      <c r="F368" s="15">
        <v>-6.3500000000000001E-2</v>
      </c>
      <c r="G368" s="15">
        <v>-3.0499999999999999E-2</v>
      </c>
      <c r="H368" s="15">
        <v>-6.2600000000000003E-2</v>
      </c>
      <c r="I368" s="15">
        <v>-4.1500000000000002E-2</v>
      </c>
      <c r="J368" s="15">
        <v>-1.9E-3</v>
      </c>
      <c r="K368" s="15">
        <v>-4.4299999999999999E-2</v>
      </c>
      <c r="L368" s="15">
        <v>-9.4299999999999995E-2</v>
      </c>
      <c r="M368" s="15">
        <v>-5.1299999999999998E-2</v>
      </c>
      <c r="N368" s="15">
        <v>-1.9699999999999999E-2</v>
      </c>
      <c r="O368" s="15">
        <v>1.06E-2</v>
      </c>
      <c r="P368" s="15">
        <v>-2.3300000000000001E-2</v>
      </c>
      <c r="Q368" s="15">
        <v>-2.3E-2</v>
      </c>
      <c r="R368" s="7"/>
    </row>
    <row r="369" spans="1:18" x14ac:dyDescent="0.25">
      <c r="A369">
        <v>200408</v>
      </c>
      <c r="B369" s="15">
        <v>2.8000000000000004E-3</v>
      </c>
      <c r="C369" s="15">
        <v>3.4300000000000004E-2</v>
      </c>
      <c r="D369" s="15">
        <v>-1.3600000000000001E-2</v>
      </c>
      <c r="E369" s="15">
        <v>1.6000000000000001E-3</v>
      </c>
      <c r="F369" s="15">
        <v>1.4800000000000001E-2</v>
      </c>
      <c r="G369" s="15">
        <v>3.0099999999999998E-2</v>
      </c>
      <c r="H369" s="15">
        <v>2.7799999999999998E-2</v>
      </c>
      <c r="I369" s="15">
        <v>5.1399999999999994E-2</v>
      </c>
      <c r="J369" s="15">
        <v>-2.7000000000000001E-3</v>
      </c>
      <c r="K369" s="15">
        <v>-4.5000000000000005E-3</v>
      </c>
      <c r="L369" s="15">
        <v>-6.0499999999999998E-2</v>
      </c>
      <c r="M369" s="15">
        <v>-2.7900000000000001E-2</v>
      </c>
      <c r="N369" s="15">
        <v>-4.6999999999999993E-3</v>
      </c>
      <c r="O369" s="15">
        <v>3.6600000000000001E-2</v>
      </c>
      <c r="P369" s="15">
        <v>-1.9599999999999999E-2</v>
      </c>
      <c r="Q369" s="15">
        <v>3.1200000000000002E-2</v>
      </c>
      <c r="R369" s="7"/>
    </row>
    <row r="370" spans="1:18" x14ac:dyDescent="0.25">
      <c r="A370">
        <v>200409</v>
      </c>
      <c r="B370" s="15">
        <v>-3.3399999999999999E-2</v>
      </c>
      <c r="C370" s="15">
        <v>6.4899999999999999E-2</v>
      </c>
      <c r="D370" s="15">
        <v>8.8499999999999995E-2</v>
      </c>
      <c r="E370" s="15">
        <v>2.8300000000000002E-2</v>
      </c>
      <c r="F370" s="15">
        <v>4.2500000000000003E-2</v>
      </c>
      <c r="G370" s="15">
        <v>4.4999999999999998E-2</v>
      </c>
      <c r="H370" s="15">
        <v>-4.0599999999999997E-2</v>
      </c>
      <c r="I370" s="15">
        <v>6.0100000000000001E-2</v>
      </c>
      <c r="J370" s="15">
        <v>7.8600000000000003E-2</v>
      </c>
      <c r="K370" s="15">
        <v>4.5199999999999997E-2</v>
      </c>
      <c r="L370" s="15">
        <v>2.69E-2</v>
      </c>
      <c r="M370" s="15">
        <v>9.5999999999999992E-3</v>
      </c>
      <c r="N370" s="15">
        <v>2.2700000000000001E-2</v>
      </c>
      <c r="O370" s="15">
        <v>1.38E-2</v>
      </c>
      <c r="P370" s="15">
        <v>2.3300000000000001E-2</v>
      </c>
      <c r="Q370" s="15">
        <v>1.1999999999999999E-3</v>
      </c>
      <c r="R370" s="7"/>
    </row>
    <row r="371" spans="1:18" x14ac:dyDescent="0.25">
      <c r="A371">
        <v>200410</v>
      </c>
      <c r="B371" s="15">
        <v>2.98E-2</v>
      </c>
      <c r="C371" s="15">
        <v>-1.6200000000000003E-2</v>
      </c>
      <c r="D371" s="15">
        <v>6.5000000000000006E-3</v>
      </c>
      <c r="E371" s="15">
        <v>5.1500000000000004E-2</v>
      </c>
      <c r="F371" s="15">
        <v>-5.8999999999999999E-3</v>
      </c>
      <c r="G371" s="15">
        <v>3.4999999999999996E-3</v>
      </c>
      <c r="H371" s="15">
        <v>-2.2499999999999999E-2</v>
      </c>
      <c r="I371" s="15">
        <v>1.9400000000000001E-2</v>
      </c>
      <c r="J371" s="15">
        <v>-3.6200000000000003E-2</v>
      </c>
      <c r="K371" s="15">
        <v>5.3399999999999996E-2</v>
      </c>
      <c r="L371" s="15">
        <v>4.53E-2</v>
      </c>
      <c r="M371" s="15">
        <v>-2.8399999999999998E-2</v>
      </c>
      <c r="N371" s="15">
        <v>2.5000000000000001E-2</v>
      </c>
      <c r="O371" s="15">
        <v>4.24E-2</v>
      </c>
      <c r="P371" s="15">
        <v>2.9500000000000002E-2</v>
      </c>
      <c r="Q371" s="15">
        <v>6.1999999999999998E-3</v>
      </c>
      <c r="R371" s="7"/>
    </row>
    <row r="372" spans="1:18" x14ac:dyDescent="0.25">
      <c r="A372">
        <v>200411</v>
      </c>
      <c r="B372" s="15">
        <v>2.3399999999999997E-2</v>
      </c>
      <c r="C372" s="15">
        <v>8.6300000000000002E-2</v>
      </c>
      <c r="D372" s="15">
        <v>6.3099999999999989E-2</v>
      </c>
      <c r="E372" s="15">
        <v>4.1900000000000007E-2</v>
      </c>
      <c r="F372" s="15">
        <v>8.5800000000000001E-2</v>
      </c>
      <c r="G372" s="15">
        <v>8.8599999999999998E-2</v>
      </c>
      <c r="H372" s="15">
        <v>1.78E-2</v>
      </c>
      <c r="I372" s="15">
        <v>4.3099999999999999E-2</v>
      </c>
      <c r="J372" s="15">
        <v>0.12970000000000001</v>
      </c>
      <c r="K372" s="15">
        <v>9.8400000000000001E-2</v>
      </c>
      <c r="L372" s="15">
        <v>5.7099999999999998E-2</v>
      </c>
      <c r="M372" s="15">
        <v>6.5099999999999991E-2</v>
      </c>
      <c r="N372" s="15">
        <v>6.4500000000000002E-2</v>
      </c>
      <c r="O372" s="15">
        <v>4.8899999999999999E-2</v>
      </c>
      <c r="P372" s="15">
        <v>3.2000000000000001E-2</v>
      </c>
      <c r="Q372" s="15">
        <v>4.6500000000000007E-2</v>
      </c>
      <c r="R372" s="7"/>
    </row>
    <row r="373" spans="1:18" x14ac:dyDescent="0.25">
      <c r="A373">
        <v>200412</v>
      </c>
      <c r="B373" s="15">
        <v>5.04E-2</v>
      </c>
      <c r="C373" s="15">
        <v>-2.69E-2</v>
      </c>
      <c r="D373" s="15">
        <v>-2.29E-2</v>
      </c>
      <c r="E373" s="15">
        <v>5.4699999999999999E-2</v>
      </c>
      <c r="F373" s="15">
        <v>3.8399999999999997E-2</v>
      </c>
      <c r="G373" s="15">
        <v>2.7799999999999998E-2</v>
      </c>
      <c r="H373" s="15">
        <v>5.8099999999999999E-2</v>
      </c>
      <c r="I373" s="15">
        <v>5.1500000000000004E-2</v>
      </c>
      <c r="J373" s="15">
        <v>-1.72E-2</v>
      </c>
      <c r="K373" s="15">
        <v>1.8700000000000001E-2</v>
      </c>
      <c r="L373" s="15">
        <v>3.15E-2</v>
      </c>
      <c r="M373" s="15">
        <v>5.04E-2</v>
      </c>
      <c r="N373" s="15">
        <v>1.9599999999999999E-2</v>
      </c>
      <c r="O373" s="15">
        <v>2.4900000000000002E-2</v>
      </c>
      <c r="P373" s="15">
        <v>3.0800000000000001E-2</v>
      </c>
      <c r="Q373" s="15">
        <v>4.1900000000000007E-2</v>
      </c>
      <c r="R373" s="7"/>
    </row>
    <row r="374" spans="1:18" x14ac:dyDescent="0.25">
      <c r="A374">
        <v>200501</v>
      </c>
      <c r="B374" s="15">
        <v>-2.3E-3</v>
      </c>
      <c r="C374" s="15">
        <v>-9.7999999999999997E-3</v>
      </c>
      <c r="D374" s="15">
        <v>2.98E-2</v>
      </c>
      <c r="E374" s="15">
        <v>-2.6099999999999998E-2</v>
      </c>
      <c r="F374" s="15">
        <v>-4.07E-2</v>
      </c>
      <c r="G374" s="15">
        <v>-1.34E-2</v>
      </c>
      <c r="H374" s="15">
        <v>-3.8699999999999998E-2</v>
      </c>
      <c r="I374" s="15">
        <v>9.4999999999999998E-3</v>
      </c>
      <c r="J374" s="15">
        <v>-3.9000000000000003E-3</v>
      </c>
      <c r="K374" s="15">
        <v>-3.0699999999999998E-2</v>
      </c>
      <c r="L374" s="15">
        <v>-5.0199999999999995E-2</v>
      </c>
      <c r="M374" s="15">
        <v>-7.0699999999999999E-2</v>
      </c>
      <c r="N374" s="15">
        <v>-4.0300000000000002E-2</v>
      </c>
      <c r="O374" s="15">
        <v>1.7600000000000001E-2</v>
      </c>
      <c r="P374" s="15">
        <v>-4.5999999999999999E-3</v>
      </c>
      <c r="Q374" s="15">
        <v>-2.0899999999999998E-2</v>
      </c>
      <c r="R374" s="7"/>
    </row>
    <row r="375" spans="1:18" x14ac:dyDescent="0.25">
      <c r="A375">
        <v>200502</v>
      </c>
      <c r="B375" s="15">
        <v>-1.8E-3</v>
      </c>
      <c r="C375" s="15">
        <v>0.1099</v>
      </c>
      <c r="D375" s="15">
        <v>0.19539999999999999</v>
      </c>
      <c r="E375" s="15">
        <v>2.0400000000000001E-2</v>
      </c>
      <c r="F375" s="15">
        <v>2.3999999999999998E-3</v>
      </c>
      <c r="G375" s="15">
        <v>8.6099999999999996E-2</v>
      </c>
      <c r="H375" s="15">
        <v>3.5499999999999997E-2</v>
      </c>
      <c r="I375" s="15">
        <v>2.3099999999999999E-2</v>
      </c>
      <c r="J375" s="15">
        <v>9.820000000000001E-2</v>
      </c>
      <c r="K375" s="15">
        <v>8.5000000000000006E-3</v>
      </c>
      <c r="L375" s="15">
        <v>3.3300000000000003E-2</v>
      </c>
      <c r="M375" s="15">
        <v>1.34E-2</v>
      </c>
      <c r="N375" s="15">
        <v>3.2500000000000001E-2</v>
      </c>
      <c r="O375" s="15">
        <v>2.3599999999999999E-2</v>
      </c>
      <c r="P375" s="15">
        <v>3.8E-3</v>
      </c>
      <c r="Q375" s="15">
        <v>-2.5000000000000001E-3</v>
      </c>
      <c r="R375" s="7"/>
    </row>
    <row r="376" spans="1:18" x14ac:dyDescent="0.25">
      <c r="A376">
        <v>200503</v>
      </c>
      <c r="B376" s="15">
        <v>-9.7000000000000003E-3</v>
      </c>
      <c r="C376" s="15">
        <v>-5.2699999999999997E-2</v>
      </c>
      <c r="D376" s="15">
        <v>-3.4300000000000004E-2</v>
      </c>
      <c r="E376" s="15">
        <v>-1.6500000000000001E-2</v>
      </c>
      <c r="F376" s="15">
        <v>-3.1099999999999999E-2</v>
      </c>
      <c r="G376" s="15">
        <v>-2.0400000000000001E-2</v>
      </c>
      <c r="H376" s="15">
        <v>7.6E-3</v>
      </c>
      <c r="I376" s="15">
        <v>-3.6299999999999999E-2</v>
      </c>
      <c r="J376" s="15">
        <v>-7.5300000000000006E-2</v>
      </c>
      <c r="K376" s="15">
        <v>-3.9399999999999998E-2</v>
      </c>
      <c r="L376" s="15">
        <v>-2.7900000000000001E-2</v>
      </c>
      <c r="M376" s="15">
        <v>-8.1900000000000001E-2</v>
      </c>
      <c r="N376" s="15">
        <v>7.8000000000000005E-3</v>
      </c>
      <c r="O376" s="15">
        <v>6.0999999999999995E-3</v>
      </c>
      <c r="P376" s="15">
        <v>1.2500000000000001E-2</v>
      </c>
      <c r="Q376" s="15">
        <v>-3.2400000000000005E-2</v>
      </c>
      <c r="R376" s="7"/>
    </row>
    <row r="377" spans="1:18" x14ac:dyDescent="0.25">
      <c r="A377">
        <v>200504</v>
      </c>
      <c r="B377" s="15">
        <v>4.8999999999999998E-3</v>
      </c>
      <c r="C377" s="15">
        <v>-8.8800000000000004E-2</v>
      </c>
      <c r="D377" s="15">
        <v>-5.5899999999999998E-2</v>
      </c>
      <c r="E377" s="15">
        <v>-7.2599999999999998E-2</v>
      </c>
      <c r="F377" s="15">
        <v>-9.2600000000000002E-2</v>
      </c>
      <c r="G377" s="15">
        <v>-7.400000000000001E-2</v>
      </c>
      <c r="H377" s="15">
        <v>3.4000000000000002E-2</v>
      </c>
      <c r="I377" s="15">
        <v>-4.3700000000000003E-2</v>
      </c>
      <c r="J377" s="15">
        <v>-9.9100000000000008E-2</v>
      </c>
      <c r="K377" s="15">
        <v>-1.04E-2</v>
      </c>
      <c r="L377" s="15">
        <v>-4.7899999999999998E-2</v>
      </c>
      <c r="M377" s="15">
        <v>-0.1057</v>
      </c>
      <c r="N377" s="15">
        <v>-3.6799999999999999E-2</v>
      </c>
      <c r="O377" s="15">
        <v>2.1299999999999999E-2</v>
      </c>
      <c r="P377" s="15">
        <v>-5.5399999999999998E-2</v>
      </c>
      <c r="Q377" s="15">
        <v>-8.6999999999999994E-3</v>
      </c>
      <c r="R377" s="7"/>
    </row>
    <row r="378" spans="1:18" x14ac:dyDescent="0.25">
      <c r="A378">
        <v>200505</v>
      </c>
      <c r="B378" s="15">
        <v>2.4700000000000003E-2</v>
      </c>
      <c r="C378" s="15">
        <v>5.1799999999999999E-2</v>
      </c>
      <c r="D378" s="15">
        <v>1.9199999999999998E-2</v>
      </c>
      <c r="E378" s="15">
        <v>6.480000000000001E-2</v>
      </c>
      <c r="F378" s="15">
        <v>5.2000000000000005E-2</v>
      </c>
      <c r="G378" s="15">
        <v>2.3E-3</v>
      </c>
      <c r="H378" s="15">
        <v>1.23E-2</v>
      </c>
      <c r="I378" s="15">
        <v>7.3899999999999993E-2</v>
      </c>
      <c r="J378" s="15">
        <v>2.0999999999999999E-3</v>
      </c>
      <c r="K378" s="15">
        <v>3.1400000000000004E-2</v>
      </c>
      <c r="L378" s="15">
        <v>9.6300000000000011E-2</v>
      </c>
      <c r="M378" s="15">
        <v>9.2100000000000015E-2</v>
      </c>
      <c r="N378" s="15">
        <v>5.0900000000000001E-2</v>
      </c>
      <c r="O378" s="15">
        <v>1.66E-2</v>
      </c>
      <c r="P378" s="15">
        <v>6.2400000000000004E-2</v>
      </c>
      <c r="Q378" s="15">
        <v>3.3300000000000003E-2</v>
      </c>
      <c r="R378" s="7"/>
    </row>
    <row r="379" spans="1:18" x14ac:dyDescent="0.25">
      <c r="A379">
        <v>200506</v>
      </c>
      <c r="B379" s="15">
        <v>-2.6099999999999998E-2</v>
      </c>
      <c r="C379" s="15">
        <v>5.8400000000000001E-2</v>
      </c>
      <c r="D379" s="15">
        <v>5.74E-2</v>
      </c>
      <c r="E379" s="15">
        <v>5.33E-2</v>
      </c>
      <c r="F379" s="15">
        <v>1.1399999999999999E-2</v>
      </c>
      <c r="G379" s="15">
        <v>-6.9999999999999993E-3</v>
      </c>
      <c r="H379" s="15">
        <v>-1.11E-2</v>
      </c>
      <c r="I379" s="15">
        <v>2.2400000000000003E-2</v>
      </c>
      <c r="J379" s="15">
        <v>-3.0099999999999998E-2</v>
      </c>
      <c r="K379" s="15">
        <v>5.1999999999999998E-3</v>
      </c>
      <c r="L379" s="15">
        <v>-8.1000000000000013E-3</v>
      </c>
      <c r="M379" s="15">
        <v>2.5499999999999998E-2</v>
      </c>
      <c r="N379" s="15">
        <v>-1.3999999999999999E-2</v>
      </c>
      <c r="O379" s="15">
        <v>5.5599999999999997E-2</v>
      </c>
      <c r="P379" s="15">
        <v>2.6699999999999998E-2</v>
      </c>
      <c r="Q379" s="15">
        <v>2.4199999999999999E-2</v>
      </c>
      <c r="R379" s="7"/>
    </row>
    <row r="380" spans="1:18" x14ac:dyDescent="0.25">
      <c r="A380">
        <v>200507</v>
      </c>
      <c r="B380" s="15">
        <v>1.9699999999999999E-2</v>
      </c>
      <c r="C380" s="15">
        <v>0.10679999999999999</v>
      </c>
      <c r="D380" s="15">
        <v>5.7699999999999994E-2</v>
      </c>
      <c r="E380" s="15">
        <v>3.15E-2</v>
      </c>
      <c r="F380" s="15">
        <v>1.0700000000000001E-2</v>
      </c>
      <c r="G380" s="15">
        <v>4.7899999999999998E-2</v>
      </c>
      <c r="H380" s="15">
        <v>1.6399999999999998E-2</v>
      </c>
      <c r="I380" s="15">
        <v>0.10249999999999999</v>
      </c>
      <c r="J380" s="15">
        <v>0.13150000000000001</v>
      </c>
      <c r="K380" s="15">
        <v>5.8400000000000001E-2</v>
      </c>
      <c r="L380" s="15">
        <v>6.6699999999999995E-2</v>
      </c>
      <c r="M380" s="15">
        <v>7.5700000000000003E-2</v>
      </c>
      <c r="N380" s="15">
        <v>5.0099999999999999E-2</v>
      </c>
      <c r="O380" s="15">
        <v>2.98E-2</v>
      </c>
      <c r="P380" s="15">
        <v>4.9400000000000006E-2</v>
      </c>
      <c r="Q380" s="15">
        <v>1.7399999999999999E-2</v>
      </c>
      <c r="R380" s="7"/>
    </row>
    <row r="381" spans="1:18" x14ac:dyDescent="0.25">
      <c r="A381">
        <v>200508</v>
      </c>
      <c r="B381" s="15">
        <v>-1.01E-2</v>
      </c>
      <c r="C381" s="15">
        <v>4.9200000000000001E-2</v>
      </c>
      <c r="D381" s="15">
        <v>5.67E-2</v>
      </c>
      <c r="E381" s="15">
        <v>-3.3399999999999999E-2</v>
      </c>
      <c r="F381" s="15">
        <v>-2.46E-2</v>
      </c>
      <c r="G381" s="15">
        <v>-6.2600000000000003E-2</v>
      </c>
      <c r="H381" s="15">
        <v>2.2000000000000001E-3</v>
      </c>
      <c r="I381" s="15">
        <v>-3.2799999999999996E-2</v>
      </c>
      <c r="J381" s="15">
        <v>-7.6E-3</v>
      </c>
      <c r="K381" s="15">
        <v>-1.6399999999999998E-2</v>
      </c>
      <c r="L381" s="15">
        <v>-9.7000000000000003E-3</v>
      </c>
      <c r="M381" s="15">
        <v>-4.4299999999999999E-2</v>
      </c>
      <c r="N381" s="15">
        <v>-1.89E-2</v>
      </c>
      <c r="O381" s="15">
        <v>1.2500000000000001E-2</v>
      </c>
      <c r="P381" s="15">
        <v>-6.5299999999999997E-2</v>
      </c>
      <c r="Q381" s="15">
        <v>-1.4499999999999999E-2</v>
      </c>
      <c r="R381" s="7"/>
    </row>
    <row r="382" spans="1:18" x14ac:dyDescent="0.25">
      <c r="A382">
        <v>200509</v>
      </c>
      <c r="B382" s="15">
        <v>4.3E-3</v>
      </c>
      <c r="C382" s="15">
        <v>0.12029999999999999</v>
      </c>
      <c r="D382" s="15">
        <v>7.2099999999999997E-2</v>
      </c>
      <c r="E382" s="15">
        <v>-2.75E-2</v>
      </c>
      <c r="F382" s="15">
        <v>-3.8300000000000001E-2</v>
      </c>
      <c r="G382" s="15">
        <v>-1.66E-2</v>
      </c>
      <c r="H382" s="15">
        <v>-2.7000000000000001E-3</v>
      </c>
      <c r="I382" s="15">
        <v>6.8999999999999999E-3</v>
      </c>
      <c r="J382" s="15">
        <v>3.0800000000000001E-2</v>
      </c>
      <c r="K382" s="15">
        <v>-3.27E-2</v>
      </c>
      <c r="L382" s="15">
        <v>5.3E-3</v>
      </c>
      <c r="M382" s="15">
        <v>-5.8499999999999996E-2</v>
      </c>
      <c r="N382" s="15">
        <v>2.5000000000000001E-2</v>
      </c>
      <c r="O382" s="15">
        <v>4.3799999999999999E-2</v>
      </c>
      <c r="P382" s="15">
        <v>-1.67E-2</v>
      </c>
      <c r="Q382" s="15">
        <v>1.1699999999999999E-2</v>
      </c>
      <c r="R382" s="7"/>
    </row>
    <row r="383" spans="1:18" x14ac:dyDescent="0.25">
      <c r="A383">
        <v>200510</v>
      </c>
      <c r="B383" s="15">
        <v>-1.0700000000000001E-2</v>
      </c>
      <c r="C383" s="15">
        <v>-6.9500000000000006E-2</v>
      </c>
      <c r="D383" s="15">
        <v>-0.1016</v>
      </c>
      <c r="E383" s="15">
        <v>-2.86E-2</v>
      </c>
      <c r="F383" s="15">
        <v>-3.2199999999999999E-2</v>
      </c>
      <c r="G383" s="15">
        <v>2.4500000000000001E-2</v>
      </c>
      <c r="H383" s="15">
        <v>-2.87E-2</v>
      </c>
      <c r="I383" s="15">
        <v>-4.4999999999999998E-2</v>
      </c>
      <c r="J383" s="15">
        <v>-4.3299999999999998E-2</v>
      </c>
      <c r="K383" s="15">
        <v>-3.2000000000000001E-2</v>
      </c>
      <c r="L383" s="15">
        <v>-4.2599999999999999E-2</v>
      </c>
      <c r="M383" s="15">
        <v>-4.58E-2</v>
      </c>
      <c r="N383" s="15">
        <v>-6.0000000000000001E-3</v>
      </c>
      <c r="O383" s="15">
        <v>-6.8499999999999991E-2</v>
      </c>
      <c r="P383" s="15">
        <v>2.2400000000000003E-2</v>
      </c>
      <c r="Q383" s="15">
        <v>2.52E-2</v>
      </c>
      <c r="R383" s="7"/>
    </row>
    <row r="384" spans="1:18" x14ac:dyDescent="0.25">
      <c r="A384">
        <v>200511</v>
      </c>
      <c r="B384" s="15">
        <v>7.6E-3</v>
      </c>
      <c r="C384" s="15">
        <v>5.3200000000000004E-2</v>
      </c>
      <c r="D384" s="15">
        <v>0.01</v>
      </c>
      <c r="E384" s="15">
        <v>5.9000000000000004E-2</v>
      </c>
      <c r="F384" s="15">
        <v>6.88E-2</v>
      </c>
      <c r="G384" s="15">
        <v>3.4500000000000003E-2</v>
      </c>
      <c r="H384" s="15">
        <v>2E-3</v>
      </c>
      <c r="I384" s="15">
        <v>5.3899999999999997E-2</v>
      </c>
      <c r="J384" s="15">
        <v>0.1283</v>
      </c>
      <c r="K384" s="15">
        <v>6.4699999999999994E-2</v>
      </c>
      <c r="L384" s="15">
        <v>6.9500000000000006E-2</v>
      </c>
      <c r="M384" s="15">
        <v>9.8999999999999991E-3</v>
      </c>
      <c r="N384" s="15">
        <v>5.9900000000000002E-2</v>
      </c>
      <c r="O384" s="15">
        <v>-2.2000000000000001E-3</v>
      </c>
      <c r="P384" s="15">
        <v>3.6699999999999997E-2</v>
      </c>
      <c r="Q384" s="15">
        <v>4.4999999999999998E-2</v>
      </c>
      <c r="R384" s="7"/>
    </row>
    <row r="385" spans="1:18" x14ac:dyDescent="0.25">
      <c r="A385">
        <v>200512</v>
      </c>
      <c r="B385" s="15">
        <v>-1.26E-2</v>
      </c>
      <c r="C385" s="15">
        <v>5.2300000000000006E-2</v>
      </c>
      <c r="D385" s="15">
        <v>4.5999999999999999E-3</v>
      </c>
      <c r="E385" s="15">
        <v>1.1999999999999999E-3</v>
      </c>
      <c r="F385" s="15">
        <v>7.7000000000000002E-3</v>
      </c>
      <c r="G385" s="15">
        <v>9.1000000000000004E-3</v>
      </c>
      <c r="H385" s="15">
        <v>3.7400000000000003E-2</v>
      </c>
      <c r="I385" s="15">
        <v>-1.2800000000000001E-2</v>
      </c>
      <c r="J385" s="15">
        <v>3.6699999999999997E-2</v>
      </c>
      <c r="K385" s="15">
        <v>-1.09E-2</v>
      </c>
      <c r="L385" s="15">
        <v>-5.8999999999999999E-3</v>
      </c>
      <c r="M385" s="15">
        <v>-1.3600000000000001E-2</v>
      </c>
      <c r="N385" s="15">
        <v>2.29E-2</v>
      </c>
      <c r="O385" s="15">
        <v>1.24E-2</v>
      </c>
      <c r="P385" s="15">
        <v>-8.3999999999999995E-3</v>
      </c>
      <c r="Q385" s="15">
        <v>2.8999999999999998E-3</v>
      </c>
      <c r="R385" s="7"/>
    </row>
    <row r="386" spans="1:18" x14ac:dyDescent="0.25">
      <c r="A386">
        <v>200601</v>
      </c>
      <c r="B386" s="15">
        <v>4.5999999999999999E-3</v>
      </c>
      <c r="C386" s="15">
        <v>0.17350000000000002</v>
      </c>
      <c r="D386" s="15">
        <v>0.1249</v>
      </c>
      <c r="E386" s="15">
        <v>7.6E-3</v>
      </c>
      <c r="F386" s="15">
        <v>4.4600000000000001E-2</v>
      </c>
      <c r="G386" s="15">
        <v>3.0200000000000001E-2</v>
      </c>
      <c r="H386" s="15">
        <v>1.9599999999999999E-2</v>
      </c>
      <c r="I386" s="15">
        <v>5.7500000000000002E-2</v>
      </c>
      <c r="J386" s="15">
        <v>0.14929999999999999</v>
      </c>
      <c r="K386" s="15">
        <v>5.5099999999999996E-2</v>
      </c>
      <c r="L386" s="15">
        <v>5.7999999999999996E-2</v>
      </c>
      <c r="M386" s="15">
        <v>4.7500000000000001E-2</v>
      </c>
      <c r="N386" s="15">
        <v>3.8399999999999997E-2</v>
      </c>
      <c r="O386" s="15">
        <v>3.0299999999999997E-2</v>
      </c>
      <c r="P386" s="15">
        <v>1.55E-2</v>
      </c>
      <c r="Q386" s="15">
        <v>1.29E-2</v>
      </c>
      <c r="R386" s="7"/>
    </row>
    <row r="387" spans="1:18" x14ac:dyDescent="0.25">
      <c r="A387">
        <v>200602</v>
      </c>
      <c r="B387" s="15">
        <v>1.5700000000000002E-2</v>
      </c>
      <c r="C387" s="15">
        <v>-8.2799999999999999E-2</v>
      </c>
      <c r="D387" s="15">
        <v>-8.1600000000000006E-2</v>
      </c>
      <c r="E387" s="15">
        <v>1.2E-2</v>
      </c>
      <c r="F387" s="15">
        <v>2.3599999999999999E-2</v>
      </c>
      <c r="G387" s="15">
        <v>5.0000000000000001E-4</v>
      </c>
      <c r="H387" s="15">
        <v>1.32E-2</v>
      </c>
      <c r="I387" s="15">
        <v>-7.1999999999999998E-3</v>
      </c>
      <c r="J387" s="15">
        <v>-2.9399999999999999E-2</v>
      </c>
      <c r="K387" s="15">
        <v>3.32E-2</v>
      </c>
      <c r="L387" s="15">
        <v>7.7000000000000002E-3</v>
      </c>
      <c r="M387" s="15">
        <v>-1.7600000000000001E-2</v>
      </c>
      <c r="N387" s="15">
        <v>3.04E-2</v>
      </c>
      <c r="O387" s="15">
        <v>2.2000000000000001E-3</v>
      </c>
      <c r="P387" s="15">
        <v>8.0000000000000002E-3</v>
      </c>
      <c r="Q387" s="15">
        <v>1.61E-2</v>
      </c>
      <c r="R387" s="7"/>
    </row>
    <row r="388" spans="1:18" x14ac:dyDescent="0.25">
      <c r="A388">
        <v>200603</v>
      </c>
      <c r="B388" s="15">
        <v>1.8200000000000001E-2</v>
      </c>
      <c r="C388" s="15">
        <v>7.0199999999999999E-2</v>
      </c>
      <c r="D388" s="15">
        <v>3.9699999999999999E-2</v>
      </c>
      <c r="E388" s="15">
        <v>1.66E-2</v>
      </c>
      <c r="F388" s="15">
        <v>4.4500000000000005E-2</v>
      </c>
      <c r="G388" s="15">
        <v>1.1299999999999999E-2</v>
      </c>
      <c r="H388" s="15">
        <v>-5.4000000000000003E-3</v>
      </c>
      <c r="I388" s="15">
        <v>1.37E-2</v>
      </c>
      <c r="J388" s="15">
        <v>0.12140000000000001</v>
      </c>
      <c r="K388" s="15">
        <v>3.1200000000000002E-2</v>
      </c>
      <c r="L388" s="15">
        <v>2.6099999999999998E-2</v>
      </c>
      <c r="M388" s="15">
        <v>1.78E-2</v>
      </c>
      <c r="N388" s="15">
        <v>4.0999999999999995E-2</v>
      </c>
      <c r="O388" s="15">
        <v>-3.6400000000000002E-2</v>
      </c>
      <c r="P388" s="15">
        <v>2.7200000000000002E-2</v>
      </c>
      <c r="Q388" s="15">
        <v>6.4000000000000003E-3</v>
      </c>
      <c r="R388" s="7"/>
    </row>
    <row r="389" spans="1:18" x14ac:dyDescent="0.25">
      <c r="A389">
        <v>200604</v>
      </c>
      <c r="B389" s="15">
        <v>1.1299999999999999E-2</v>
      </c>
      <c r="C389" s="15">
        <v>0.11550000000000001</v>
      </c>
      <c r="D389" s="15">
        <v>4.2199999999999994E-2</v>
      </c>
      <c r="E389" s="15">
        <v>-4.5000000000000005E-3</v>
      </c>
      <c r="F389" s="15">
        <v>-2.46E-2</v>
      </c>
      <c r="G389" s="15">
        <v>2.53E-2</v>
      </c>
      <c r="H389" s="15">
        <v>-5.1999999999999998E-3</v>
      </c>
      <c r="I389" s="15">
        <v>-1.5900000000000001E-2</v>
      </c>
      <c r="J389" s="15">
        <v>7.6700000000000004E-2</v>
      </c>
      <c r="K389" s="15">
        <v>-1.54E-2</v>
      </c>
      <c r="L389" s="15">
        <v>1.55E-2</v>
      </c>
      <c r="M389" s="15">
        <v>-1.21E-2</v>
      </c>
      <c r="N389" s="15">
        <v>2.1099999999999997E-2</v>
      </c>
      <c r="O389" s="15">
        <v>1.8500000000000003E-2</v>
      </c>
      <c r="P389" s="15">
        <v>-8.8999999999999999E-3</v>
      </c>
      <c r="Q389" s="15">
        <v>2.7900000000000001E-2</v>
      </c>
      <c r="R389" s="7"/>
    </row>
    <row r="390" spans="1:18" x14ac:dyDescent="0.25">
      <c r="A390">
        <v>200605</v>
      </c>
      <c r="B390" s="15">
        <v>3.3300000000000003E-2</v>
      </c>
      <c r="C390" s="15">
        <v>-8.2100000000000006E-2</v>
      </c>
      <c r="D390" s="15">
        <v>-3.4799999999999998E-2</v>
      </c>
      <c r="E390" s="15">
        <v>-3.27E-2</v>
      </c>
      <c r="F390" s="15">
        <v>-3.78E-2</v>
      </c>
      <c r="G390" s="15">
        <v>-2.1899999999999999E-2</v>
      </c>
      <c r="H390" s="15">
        <v>-1.9599999999999999E-2</v>
      </c>
      <c r="I390" s="15">
        <v>-6.7299999999999999E-2</v>
      </c>
      <c r="J390" s="15">
        <v>-4.5899999999999996E-2</v>
      </c>
      <c r="K390" s="15">
        <v>-5.0099999999999999E-2</v>
      </c>
      <c r="L390" s="15">
        <v>-6.4100000000000004E-2</v>
      </c>
      <c r="M390" s="15">
        <v>1.6299999999999999E-2</v>
      </c>
      <c r="N390" s="15">
        <v>-1.7600000000000001E-2</v>
      </c>
      <c r="O390" s="15">
        <v>1.4999999999999999E-2</v>
      </c>
      <c r="P390" s="15">
        <v>-1.38E-2</v>
      </c>
      <c r="Q390" s="15">
        <v>-3.5900000000000001E-2</v>
      </c>
      <c r="R390" s="7"/>
    </row>
    <row r="391" spans="1:18" x14ac:dyDescent="0.25">
      <c r="A391">
        <v>200606</v>
      </c>
      <c r="B391" s="15">
        <v>-5.6000000000000008E-3</v>
      </c>
      <c r="C391" s="15">
        <v>-1.3300000000000001E-2</v>
      </c>
      <c r="D391" s="15">
        <v>3.04E-2</v>
      </c>
      <c r="E391" s="15">
        <v>3.4000000000000002E-3</v>
      </c>
      <c r="F391" s="15">
        <v>-1.3000000000000001E-2</v>
      </c>
      <c r="G391" s="15">
        <v>-1.0700000000000001E-2</v>
      </c>
      <c r="H391" s="15">
        <v>1.1899999999999999E-2</v>
      </c>
      <c r="I391" s="15">
        <v>-3.9300000000000002E-2</v>
      </c>
      <c r="J391" s="15">
        <v>2.8900000000000002E-2</v>
      </c>
      <c r="K391" s="15">
        <v>-1.61E-2</v>
      </c>
      <c r="L391" s="15">
        <v>-0.02</v>
      </c>
      <c r="M391" s="15">
        <v>1.1899999999999999E-2</v>
      </c>
      <c r="N391" s="15">
        <v>2.0899999999999998E-2</v>
      </c>
      <c r="O391" s="15">
        <v>2.41E-2</v>
      </c>
      <c r="P391" s="15">
        <v>1.4499999999999999E-2</v>
      </c>
      <c r="Q391" s="15">
        <v>-4.1999999999999997E-3</v>
      </c>
      <c r="R391" s="7"/>
    </row>
    <row r="392" spans="1:18" x14ac:dyDescent="0.25">
      <c r="A392">
        <v>200607</v>
      </c>
      <c r="B392" s="15">
        <v>2.6200000000000001E-2</v>
      </c>
      <c r="C392" s="15">
        <v>-6.1900000000000004E-2</v>
      </c>
      <c r="D392" s="15">
        <v>5.74E-2</v>
      </c>
      <c r="E392" s="15">
        <v>-3.0600000000000002E-2</v>
      </c>
      <c r="F392" s="15">
        <v>-2.8500000000000001E-2</v>
      </c>
      <c r="G392" s="15">
        <v>-4.4900000000000002E-2</v>
      </c>
      <c r="H392" s="15">
        <v>4.6799999999999994E-2</v>
      </c>
      <c r="I392" s="15">
        <v>-6.2800000000000009E-2</v>
      </c>
      <c r="J392" s="15">
        <v>-4.1500000000000002E-2</v>
      </c>
      <c r="K392" s="15">
        <v>-3.3000000000000002E-2</v>
      </c>
      <c r="L392" s="15">
        <v>-5.04E-2</v>
      </c>
      <c r="M392" s="15">
        <v>-1.8200000000000001E-2</v>
      </c>
      <c r="N392" s="15">
        <v>-6.7500000000000004E-2</v>
      </c>
      <c r="O392" s="15">
        <v>4.8300000000000003E-2</v>
      </c>
      <c r="P392" s="15">
        <v>-4.7199999999999999E-2</v>
      </c>
      <c r="Q392" s="15">
        <v>1.38E-2</v>
      </c>
      <c r="R392" s="7"/>
    </row>
    <row r="393" spans="1:18" x14ac:dyDescent="0.25">
      <c r="A393">
        <v>200608</v>
      </c>
      <c r="B393" s="15">
        <v>2.75E-2</v>
      </c>
      <c r="C393" s="15">
        <v>-2.4900000000000002E-2</v>
      </c>
      <c r="D393" s="15">
        <v>-3.1200000000000002E-2</v>
      </c>
      <c r="E393" s="15">
        <v>3.9599999999999996E-2</v>
      </c>
      <c r="F393" s="15">
        <v>3.5099999999999999E-2</v>
      </c>
      <c r="G393" s="15">
        <v>3.7000000000000005E-2</v>
      </c>
      <c r="H393" s="15">
        <v>3.6000000000000004E-2</v>
      </c>
      <c r="I393" s="15">
        <v>3.0999999999999999E-3</v>
      </c>
      <c r="J393" s="15">
        <v>-2.6000000000000002E-2</v>
      </c>
      <c r="K393" s="15">
        <v>2.4799999999999999E-2</v>
      </c>
      <c r="L393" s="15">
        <v>6.9699999999999998E-2</v>
      </c>
      <c r="M393" s="15">
        <v>2.6499999999999999E-2</v>
      </c>
      <c r="N393" s="15">
        <v>-7.0999999999999995E-3</v>
      </c>
      <c r="O393" s="15">
        <v>2.2799999999999997E-2</v>
      </c>
      <c r="P393" s="15">
        <v>3.0299999999999997E-2</v>
      </c>
      <c r="Q393" s="15">
        <v>1.49E-2</v>
      </c>
      <c r="R393" s="7"/>
    </row>
    <row r="394" spans="1:18" x14ac:dyDescent="0.25">
      <c r="A394">
        <v>200609</v>
      </c>
      <c r="B394" s="15">
        <v>2.0999999999999999E-3</v>
      </c>
      <c r="C394" s="15">
        <v>-9.1199999999999989E-2</v>
      </c>
      <c r="D394" s="15">
        <v>-3.5400000000000001E-2</v>
      </c>
      <c r="E394" s="15">
        <v>8.48E-2</v>
      </c>
      <c r="F394" s="15">
        <v>4.5100000000000001E-2</v>
      </c>
      <c r="G394" s="15">
        <v>2.1099999999999997E-2</v>
      </c>
      <c r="H394" s="15">
        <v>8.1000000000000013E-3</v>
      </c>
      <c r="I394" s="15">
        <v>1.01E-2</v>
      </c>
      <c r="J394" s="15">
        <v>1.7000000000000001E-3</v>
      </c>
      <c r="K394" s="15">
        <v>2.3700000000000002E-2</v>
      </c>
      <c r="L394" s="15">
        <v>2.4500000000000001E-2</v>
      </c>
      <c r="M394" s="15">
        <v>4.9599999999999998E-2</v>
      </c>
      <c r="N394" s="15">
        <v>3.8900000000000004E-2</v>
      </c>
      <c r="O394" s="15">
        <v>-2.1099999999999997E-2</v>
      </c>
      <c r="P394" s="15">
        <v>6.5199999999999994E-2</v>
      </c>
      <c r="Q394" s="15">
        <v>3.5900000000000001E-2</v>
      </c>
      <c r="R394" s="7"/>
    </row>
    <row r="395" spans="1:18" x14ac:dyDescent="0.25">
      <c r="A395">
        <v>200610</v>
      </c>
      <c r="B395" s="15">
        <v>6.3E-3</v>
      </c>
      <c r="C395" s="15">
        <v>0.10949999999999999</v>
      </c>
      <c r="D395" s="15">
        <v>4.9699999999999994E-2</v>
      </c>
      <c r="E395" s="15">
        <v>7.4200000000000002E-2</v>
      </c>
      <c r="F395" s="15">
        <v>6.9699999999999998E-2</v>
      </c>
      <c r="G395" s="15">
        <v>6.0999999999999999E-2</v>
      </c>
      <c r="H395" s="15">
        <v>1.8200000000000001E-2</v>
      </c>
      <c r="I395" s="15">
        <v>4.6699999999999998E-2</v>
      </c>
      <c r="J395" s="15">
        <v>0.1105</v>
      </c>
      <c r="K395" s="15">
        <v>7.3099999999999998E-2</v>
      </c>
      <c r="L395" s="15">
        <v>2.8300000000000002E-2</v>
      </c>
      <c r="M395" s="15">
        <v>4.7500000000000001E-2</v>
      </c>
      <c r="N395" s="15">
        <v>4.53E-2</v>
      </c>
      <c r="O395" s="15">
        <v>5.3600000000000002E-2</v>
      </c>
      <c r="P395" s="15">
        <v>3.7200000000000004E-2</v>
      </c>
      <c r="Q395" s="15">
        <v>2.0299999999999999E-2</v>
      </c>
      <c r="R395" s="7"/>
    </row>
    <row r="396" spans="1:18" x14ac:dyDescent="0.25">
      <c r="A396">
        <v>200611</v>
      </c>
      <c r="B396" s="15">
        <v>4.6999999999999993E-3</v>
      </c>
      <c r="C396" s="15">
        <v>6.7799999999999999E-2</v>
      </c>
      <c r="D396" s="15">
        <v>8.6699999999999999E-2</v>
      </c>
      <c r="E396" s="15">
        <v>4.2000000000000003E-2</v>
      </c>
      <c r="F396" s="15">
        <v>1.84E-2</v>
      </c>
      <c r="G396" s="15">
        <v>3.2500000000000001E-2</v>
      </c>
      <c r="H396" s="15">
        <v>2.0999999999999999E-3</v>
      </c>
      <c r="I396" s="15">
        <v>4.2000000000000003E-2</v>
      </c>
      <c r="J396" s="15">
        <v>8.8300000000000003E-2</v>
      </c>
      <c r="K396" s="15">
        <v>2.9399999999999999E-2</v>
      </c>
      <c r="L396" s="15">
        <v>4.4500000000000005E-2</v>
      </c>
      <c r="M396" s="15">
        <v>1.6299999999999999E-2</v>
      </c>
      <c r="N396" s="15">
        <v>3.2300000000000002E-2</v>
      </c>
      <c r="O396" s="15">
        <v>3.0600000000000002E-2</v>
      </c>
      <c r="P396" s="15">
        <v>-2.4300000000000002E-2</v>
      </c>
      <c r="Q396" s="15">
        <v>9.1000000000000004E-3</v>
      </c>
      <c r="R396" s="7"/>
    </row>
    <row r="397" spans="1:18" x14ac:dyDescent="0.25">
      <c r="A397">
        <v>200612</v>
      </c>
      <c r="B397" s="15">
        <v>2.0099999999999996E-2</v>
      </c>
      <c r="C397" s="15">
        <v>-5.62E-2</v>
      </c>
      <c r="D397" s="15">
        <v>-1.6899999999999998E-2</v>
      </c>
      <c r="E397" s="15">
        <v>1E-4</v>
      </c>
      <c r="F397" s="15">
        <v>-3.0999999999999999E-3</v>
      </c>
      <c r="G397" s="15">
        <v>1.1200000000000002E-2</v>
      </c>
      <c r="H397" s="15">
        <v>6.6E-3</v>
      </c>
      <c r="I397" s="15">
        <v>1.5800000000000002E-2</v>
      </c>
      <c r="J397" s="15">
        <v>-2.7000000000000003E-2</v>
      </c>
      <c r="K397" s="15">
        <v>-1.6000000000000001E-3</v>
      </c>
      <c r="L397" s="15">
        <v>-1.26E-2</v>
      </c>
      <c r="M397" s="15">
        <v>2.7000000000000001E-3</v>
      </c>
      <c r="N397" s="15">
        <v>-1.0700000000000001E-2</v>
      </c>
      <c r="O397" s="15">
        <v>7.3000000000000001E-3</v>
      </c>
      <c r="P397" s="15">
        <v>1.34E-2</v>
      </c>
      <c r="Q397" s="15">
        <v>3.7699999999999997E-2</v>
      </c>
      <c r="R397" s="7"/>
    </row>
    <row r="398" spans="1:18" x14ac:dyDescent="0.25">
      <c r="A398">
        <v>200701</v>
      </c>
      <c r="B398" s="15">
        <v>1.18E-2</v>
      </c>
      <c r="C398" s="15">
        <v>5.62E-2</v>
      </c>
      <c r="D398" s="15">
        <v>-1.4199999999999999E-2</v>
      </c>
      <c r="E398" s="15">
        <v>3.3500000000000002E-2</v>
      </c>
      <c r="F398" s="15">
        <v>1.78E-2</v>
      </c>
      <c r="G398" s="15">
        <v>3.4300000000000004E-2</v>
      </c>
      <c r="H398" s="15">
        <v>3.0600000000000002E-2</v>
      </c>
      <c r="I398" s="15">
        <v>3.5099999999999999E-2</v>
      </c>
      <c r="J398" s="15">
        <v>9.9100000000000008E-2</v>
      </c>
      <c r="K398" s="15">
        <v>2.6499999999999999E-2</v>
      </c>
      <c r="L398" s="15">
        <v>1.61E-2</v>
      </c>
      <c r="M398" s="15">
        <v>4.3799999999999999E-2</v>
      </c>
      <c r="N398" s="15">
        <v>4.24E-2</v>
      </c>
      <c r="O398" s="15">
        <v>5.1000000000000004E-3</v>
      </c>
      <c r="P398" s="15">
        <v>3.4000000000000002E-2</v>
      </c>
      <c r="Q398" s="15">
        <v>3.7000000000000002E-3</v>
      </c>
      <c r="R398" s="7"/>
    </row>
    <row r="399" spans="1:18" x14ac:dyDescent="0.25">
      <c r="A399">
        <v>200702</v>
      </c>
      <c r="B399" s="15">
        <v>-1.6899999999999998E-2</v>
      </c>
      <c r="C399" s="15">
        <v>5.6799999999999996E-2</v>
      </c>
      <c r="D399" s="15">
        <v>-2.2200000000000001E-2</v>
      </c>
      <c r="E399" s="15">
        <v>1.84E-2</v>
      </c>
      <c r="F399" s="15">
        <v>1.15E-2</v>
      </c>
      <c r="G399" s="15">
        <v>2.3300000000000001E-2</v>
      </c>
      <c r="H399" s="15">
        <v>-2.81E-2</v>
      </c>
      <c r="I399" s="15">
        <v>-1.78E-2</v>
      </c>
      <c r="J399" s="15">
        <v>2.6600000000000002E-2</v>
      </c>
      <c r="K399" s="15">
        <v>-8.8000000000000005E-3</v>
      </c>
      <c r="L399" s="15">
        <v>-6.0000000000000001E-3</v>
      </c>
      <c r="M399" s="15">
        <v>2.5000000000000001E-3</v>
      </c>
      <c r="N399" s="15">
        <v>-9.3999999999999986E-3</v>
      </c>
      <c r="O399" s="15">
        <v>4.1399999999999999E-2</v>
      </c>
      <c r="P399" s="15">
        <v>-1.6000000000000001E-3</v>
      </c>
      <c r="Q399" s="15">
        <v>-2.5099999999999997E-2</v>
      </c>
      <c r="R399" s="7"/>
    </row>
    <row r="400" spans="1:18" x14ac:dyDescent="0.25">
      <c r="A400">
        <v>200703</v>
      </c>
      <c r="B400" s="15">
        <v>2.8900000000000002E-2</v>
      </c>
      <c r="C400" s="15">
        <v>2.7699999999999999E-2</v>
      </c>
      <c r="D400" s="15">
        <v>5.9900000000000002E-2</v>
      </c>
      <c r="E400" s="15">
        <v>3.5999999999999999E-3</v>
      </c>
      <c r="F400" s="15">
        <v>4.0000000000000002E-4</v>
      </c>
      <c r="G400" s="15">
        <v>1.9599999999999999E-2</v>
      </c>
      <c r="H400" s="15">
        <v>7.4000000000000003E-3</v>
      </c>
      <c r="I400" s="15">
        <v>-4.6900000000000004E-2</v>
      </c>
      <c r="J400" s="15">
        <v>6.3099999999999989E-2</v>
      </c>
      <c r="K400" s="15">
        <v>2.1600000000000001E-2</v>
      </c>
      <c r="L400" s="15">
        <v>6.5000000000000006E-3</v>
      </c>
      <c r="M400" s="15">
        <v>-4.0000000000000002E-4</v>
      </c>
      <c r="N400" s="15">
        <v>5.0000000000000001E-4</v>
      </c>
      <c r="O400" s="15">
        <v>4.3299999999999998E-2</v>
      </c>
      <c r="P400" s="15">
        <v>1.2699999999999999E-2</v>
      </c>
      <c r="Q400" s="15">
        <v>-3.7000000000000002E-3</v>
      </c>
      <c r="R400" s="7"/>
    </row>
    <row r="401" spans="1:18" x14ac:dyDescent="0.25">
      <c r="A401">
        <v>200704</v>
      </c>
      <c r="B401" s="15">
        <v>4.0899999999999999E-2</v>
      </c>
      <c r="C401" s="15">
        <v>8.199999999999999E-2</v>
      </c>
      <c r="D401" s="15">
        <v>4.8899999999999999E-2</v>
      </c>
      <c r="E401" s="15">
        <v>2.0499999999999997E-2</v>
      </c>
      <c r="F401" s="15">
        <v>7.2599999999999998E-2</v>
      </c>
      <c r="G401" s="15">
        <v>1.8600000000000002E-2</v>
      </c>
      <c r="H401" s="15">
        <v>5.33E-2</v>
      </c>
      <c r="I401" s="15">
        <v>2.3799999999999998E-2</v>
      </c>
      <c r="J401" s="15">
        <v>3.3399999999999999E-2</v>
      </c>
      <c r="K401" s="15">
        <v>4.8300000000000003E-2</v>
      </c>
      <c r="L401" s="15">
        <v>5.9699999999999996E-2</v>
      </c>
      <c r="M401" s="15">
        <v>5.5500000000000001E-2</v>
      </c>
      <c r="N401" s="15">
        <v>4.1299999999999996E-2</v>
      </c>
      <c r="O401" s="15">
        <v>3.9399999999999998E-2</v>
      </c>
      <c r="P401" s="15">
        <v>2.6000000000000002E-2</v>
      </c>
      <c r="Q401" s="15">
        <v>3.6400000000000002E-2</v>
      </c>
      <c r="R401" s="7"/>
    </row>
    <row r="402" spans="1:18" x14ac:dyDescent="0.25">
      <c r="A402">
        <v>200705</v>
      </c>
      <c r="B402" s="15">
        <v>2.3300000000000001E-2</v>
      </c>
      <c r="C402" s="15">
        <v>7.7699999999999991E-2</v>
      </c>
      <c r="D402" s="15">
        <v>6.9599999999999995E-2</v>
      </c>
      <c r="E402" s="15">
        <v>5.2999999999999999E-2</v>
      </c>
      <c r="F402" s="15">
        <v>1.7600000000000001E-2</v>
      </c>
      <c r="G402" s="15">
        <v>4.8799999999999996E-2</v>
      </c>
      <c r="H402" s="15">
        <v>1.41E-2</v>
      </c>
      <c r="I402" s="15">
        <v>6.2699999999999992E-2</v>
      </c>
      <c r="J402" s="15">
        <v>0.1052</v>
      </c>
      <c r="K402" s="15">
        <v>6.1399999999999996E-2</v>
      </c>
      <c r="L402" s="15">
        <v>4.7800000000000002E-2</v>
      </c>
      <c r="M402" s="15">
        <v>2.46E-2</v>
      </c>
      <c r="N402" s="15">
        <v>5.2300000000000006E-2</v>
      </c>
      <c r="O402" s="15">
        <v>1.2E-2</v>
      </c>
      <c r="P402" s="15">
        <v>1.8500000000000003E-2</v>
      </c>
      <c r="Q402" s="15">
        <v>2.8199999999999999E-2</v>
      </c>
      <c r="R402" s="7"/>
    </row>
    <row r="403" spans="1:18" x14ac:dyDescent="0.25">
      <c r="A403">
        <v>200706</v>
      </c>
      <c r="B403" s="15">
        <v>-8.6999999999999994E-3</v>
      </c>
      <c r="C403" s="15">
        <v>-1.9400000000000001E-2</v>
      </c>
      <c r="D403" s="15">
        <v>1.15E-2</v>
      </c>
      <c r="E403" s="15">
        <v>-4.6999999999999993E-3</v>
      </c>
      <c r="F403" s="15">
        <v>-2.9500000000000002E-2</v>
      </c>
      <c r="G403" s="15">
        <v>2.2400000000000003E-2</v>
      </c>
      <c r="H403" s="15">
        <v>-3.6299999999999999E-2</v>
      </c>
      <c r="I403" s="15">
        <v>-3.8300000000000001E-2</v>
      </c>
      <c r="J403" s="15">
        <v>-3.5000000000000003E-2</v>
      </c>
      <c r="K403" s="15">
        <v>3.5999999999999999E-3</v>
      </c>
      <c r="L403" s="15">
        <v>1.9299999999999998E-2</v>
      </c>
      <c r="M403" s="15">
        <v>3.6000000000000004E-2</v>
      </c>
      <c r="N403" s="15">
        <v>-2.1299999999999999E-2</v>
      </c>
      <c r="O403" s="15">
        <v>-4.8300000000000003E-2</v>
      </c>
      <c r="P403" s="15">
        <v>-2.18E-2</v>
      </c>
      <c r="Q403" s="15">
        <v>-3.6400000000000002E-2</v>
      </c>
      <c r="R403" s="7"/>
    </row>
    <row r="404" spans="1:18" x14ac:dyDescent="0.25">
      <c r="A404">
        <v>200707</v>
      </c>
      <c r="B404" s="15">
        <v>-2.87E-2</v>
      </c>
      <c r="C404" s="15">
        <v>1.24E-2</v>
      </c>
      <c r="D404" s="15">
        <v>-7.9000000000000008E-3</v>
      </c>
      <c r="E404" s="15">
        <v>-4.4600000000000001E-2</v>
      </c>
      <c r="F404" s="15">
        <v>-6.7699999999999996E-2</v>
      </c>
      <c r="G404" s="15">
        <v>-9.7000000000000003E-3</v>
      </c>
      <c r="H404" s="15">
        <v>-3.9599999999999996E-2</v>
      </c>
      <c r="I404" s="15">
        <v>-6.0199999999999997E-2</v>
      </c>
      <c r="J404" s="15">
        <v>-2.6800000000000001E-2</v>
      </c>
      <c r="K404" s="15">
        <v>-1.0200000000000001E-2</v>
      </c>
      <c r="L404" s="15">
        <v>6.1999999999999998E-3</v>
      </c>
      <c r="M404" s="15">
        <v>-6.5500000000000003E-2</v>
      </c>
      <c r="N404" s="15">
        <v>9.0000000000000011E-3</v>
      </c>
      <c r="O404" s="15">
        <v>-3.7200000000000004E-2</v>
      </c>
      <c r="P404" s="15">
        <v>-5.1699999999999996E-2</v>
      </c>
      <c r="Q404" s="15">
        <v>-7.5499999999999998E-2</v>
      </c>
      <c r="R404" s="7"/>
    </row>
    <row r="405" spans="1:18" x14ac:dyDescent="0.25">
      <c r="A405">
        <v>200708</v>
      </c>
      <c r="B405" s="15">
        <v>3.1200000000000002E-2</v>
      </c>
      <c r="C405" s="15">
        <v>-3.4000000000000002E-2</v>
      </c>
      <c r="D405" s="15">
        <v>3.0999999999999999E-3</v>
      </c>
      <c r="E405" s="15">
        <v>-2.7400000000000001E-2</v>
      </c>
      <c r="F405" s="15">
        <v>-2.0799999999999999E-2</v>
      </c>
      <c r="G405" s="15">
        <v>2.53E-2</v>
      </c>
      <c r="H405" s="15">
        <v>3.1300000000000001E-2</v>
      </c>
      <c r="I405" s="15">
        <v>4.6999999999999993E-3</v>
      </c>
      <c r="J405" s="15">
        <v>-2.6600000000000002E-2</v>
      </c>
      <c r="K405" s="15">
        <v>2.12E-2</v>
      </c>
      <c r="L405" s="15">
        <v>3.6299999999999999E-2</v>
      </c>
      <c r="M405" s="15">
        <v>-1.3899999999999999E-2</v>
      </c>
      <c r="N405" s="15">
        <v>-1.5600000000000001E-2</v>
      </c>
      <c r="O405" s="15">
        <v>1.84E-2</v>
      </c>
      <c r="P405" s="15">
        <v>1.01E-2</v>
      </c>
      <c r="Q405" s="15">
        <v>1.61E-2</v>
      </c>
      <c r="R405" s="7"/>
    </row>
    <row r="406" spans="1:18" x14ac:dyDescent="0.25">
      <c r="A406">
        <v>200709</v>
      </c>
      <c r="B406" s="15">
        <v>5.9400000000000001E-2</v>
      </c>
      <c r="C406" s="15">
        <v>0.13140000000000002</v>
      </c>
      <c r="D406" s="15">
        <v>7.7600000000000002E-2</v>
      </c>
      <c r="E406" s="15">
        <v>1.54E-2</v>
      </c>
      <c r="F406" s="15">
        <v>-1.6899999999999998E-2</v>
      </c>
      <c r="G406" s="15">
        <v>5.5800000000000002E-2</v>
      </c>
      <c r="H406" s="15">
        <v>2.92E-2</v>
      </c>
      <c r="I406" s="15">
        <v>-6.4699999999999994E-2</v>
      </c>
      <c r="J406" s="15">
        <v>8.539999999999999E-2</v>
      </c>
      <c r="K406" s="15">
        <v>1.0500000000000001E-2</v>
      </c>
      <c r="L406" s="15">
        <v>3.9399999999999998E-2</v>
      </c>
      <c r="M406" s="15">
        <v>2.9399999999999999E-2</v>
      </c>
      <c r="N406" s="15">
        <v>3.7599999999999995E-2</v>
      </c>
      <c r="O406" s="15">
        <v>3.5400000000000001E-2</v>
      </c>
      <c r="P406" s="15">
        <v>6.9999999999999993E-3</v>
      </c>
      <c r="Q406" s="15">
        <v>1.9099999999999999E-2</v>
      </c>
      <c r="R406" s="7"/>
    </row>
    <row r="407" spans="1:18" x14ac:dyDescent="0.25">
      <c r="A407">
        <v>200710</v>
      </c>
      <c r="B407" s="15">
        <v>2.7099999999999999E-2</v>
      </c>
      <c r="C407" s="15">
        <v>0.1193</v>
      </c>
      <c r="D407" s="15">
        <v>2.4399999999999998E-2</v>
      </c>
      <c r="E407" s="15">
        <v>-8.3000000000000001E-3</v>
      </c>
      <c r="F407" s="15">
        <v>2.2000000000000001E-3</v>
      </c>
      <c r="G407" s="15">
        <v>3.7900000000000003E-2</v>
      </c>
      <c r="H407" s="15">
        <v>1.9199999999999998E-2</v>
      </c>
      <c r="I407" s="15">
        <v>7.6E-3</v>
      </c>
      <c r="J407" s="15">
        <v>2.53E-2</v>
      </c>
      <c r="K407" s="15">
        <v>2.2799999999999997E-2</v>
      </c>
      <c r="L407" s="15">
        <v>2.9600000000000001E-2</v>
      </c>
      <c r="M407" s="15">
        <v>2.2099999999999998E-2</v>
      </c>
      <c r="N407" s="15">
        <v>9.0000000000000011E-3</v>
      </c>
      <c r="O407" s="15">
        <v>6.83E-2</v>
      </c>
      <c r="P407" s="15">
        <v>1.2800000000000001E-2</v>
      </c>
      <c r="Q407" s="15">
        <v>-1.4499999999999999E-2</v>
      </c>
      <c r="R407" s="7"/>
    </row>
    <row r="408" spans="1:18" x14ac:dyDescent="0.25">
      <c r="A408">
        <v>200711</v>
      </c>
      <c r="B408" s="15">
        <v>1.0500000000000001E-2</v>
      </c>
      <c r="C408" s="15">
        <v>-7.8299999999999995E-2</v>
      </c>
      <c r="D408" s="15">
        <v>-4.5999999999999999E-2</v>
      </c>
      <c r="E408" s="15">
        <v>-8.0700000000000008E-2</v>
      </c>
      <c r="F408" s="15">
        <v>-6.9800000000000001E-2</v>
      </c>
      <c r="G408" s="15">
        <v>-4.3400000000000001E-2</v>
      </c>
      <c r="H408" s="15">
        <v>2.0899999999999998E-2</v>
      </c>
      <c r="I408" s="15">
        <v>-9.2499999999999999E-2</v>
      </c>
      <c r="J408" s="15">
        <v>-5.9299999999999999E-2</v>
      </c>
      <c r="K408" s="15">
        <v>-3.9699999999999999E-2</v>
      </c>
      <c r="L408" s="15">
        <v>-6.1500000000000006E-2</v>
      </c>
      <c r="M408" s="15">
        <v>-0.10679999999999999</v>
      </c>
      <c r="N408" s="15">
        <v>-3.6900000000000002E-2</v>
      </c>
      <c r="O408" s="15">
        <v>-7.1999999999999998E-3</v>
      </c>
      <c r="P408" s="15">
        <v>-2.2799999999999997E-2</v>
      </c>
      <c r="Q408" s="15">
        <v>-6.2100000000000002E-2</v>
      </c>
      <c r="R408" s="7"/>
    </row>
    <row r="409" spans="1:18" x14ac:dyDescent="0.25">
      <c r="A409">
        <v>200712</v>
      </c>
      <c r="B409" s="15">
        <v>3.3E-3</v>
      </c>
      <c r="C409" s="15">
        <v>2.8900000000000002E-2</v>
      </c>
      <c r="D409" s="15">
        <v>7.5700000000000003E-2</v>
      </c>
      <c r="E409" s="15">
        <v>-7.1800000000000003E-2</v>
      </c>
      <c r="F409" s="15">
        <v>-3.8399999999999997E-2</v>
      </c>
      <c r="G409" s="15">
        <v>4.6900000000000004E-2</v>
      </c>
      <c r="H409" s="15">
        <v>-3.6699999999999997E-2</v>
      </c>
      <c r="I409" s="15">
        <v>-2.1499999999999998E-2</v>
      </c>
      <c r="J409" s="15">
        <v>1.06E-2</v>
      </c>
      <c r="K409" s="15">
        <v>-3.2300000000000002E-2</v>
      </c>
      <c r="L409" s="15">
        <v>1.29E-2</v>
      </c>
      <c r="M409" s="15">
        <v>-1.37E-2</v>
      </c>
      <c r="N409" s="15">
        <v>-1.66E-2</v>
      </c>
      <c r="O409" s="15">
        <v>9.0000000000000011E-3</v>
      </c>
      <c r="P409" s="15">
        <v>-2.7999999999999997E-2</v>
      </c>
      <c r="Q409" s="15">
        <v>-4.1299999999999996E-2</v>
      </c>
      <c r="R409" s="7"/>
    </row>
    <row r="410" spans="1:18" x14ac:dyDescent="0.25">
      <c r="A410">
        <v>200801</v>
      </c>
      <c r="B410" s="15">
        <v>-7.3399999999999993E-2</v>
      </c>
      <c r="C410" s="15">
        <v>-5.33E-2</v>
      </c>
      <c r="D410" s="15">
        <v>-9.2799999999999994E-2</v>
      </c>
      <c r="E410" s="15">
        <v>2.2000000000000001E-3</v>
      </c>
      <c r="F410" s="15">
        <v>-4.24E-2</v>
      </c>
      <c r="G410" s="15">
        <v>-5.8400000000000001E-2</v>
      </c>
      <c r="H410" s="15">
        <v>-5.28E-2</v>
      </c>
      <c r="I410" s="15">
        <v>4.3400000000000001E-2</v>
      </c>
      <c r="J410" s="15">
        <v>-0.1094</v>
      </c>
      <c r="K410" s="15">
        <v>-7.0000000000000007E-2</v>
      </c>
      <c r="L410" s="15">
        <v>-0.13800000000000001</v>
      </c>
      <c r="M410" s="15">
        <v>-5.2300000000000006E-2</v>
      </c>
      <c r="N410" s="15">
        <v>-1.5700000000000002E-2</v>
      </c>
      <c r="O410" s="15">
        <v>-6.93E-2</v>
      </c>
      <c r="P410" s="15">
        <v>-1.1000000000000001E-2</v>
      </c>
      <c r="Q410" s="15">
        <v>-1.1299999999999999E-2</v>
      </c>
      <c r="R410" s="7"/>
    </row>
    <row r="411" spans="1:18" x14ac:dyDescent="0.25">
      <c r="A411">
        <v>200802</v>
      </c>
      <c r="B411" s="15">
        <v>1.95E-2</v>
      </c>
      <c r="C411" s="15">
        <v>9.6600000000000005E-2</v>
      </c>
      <c r="D411" s="15">
        <v>6.8000000000000005E-2</v>
      </c>
      <c r="E411" s="15">
        <v>-4.2999999999999997E-2</v>
      </c>
      <c r="F411" s="15">
        <v>-5.9900000000000002E-2</v>
      </c>
      <c r="G411" s="15">
        <v>4.8799999999999996E-2</v>
      </c>
      <c r="H411" s="15">
        <v>-8.3000000000000001E-3</v>
      </c>
      <c r="I411" s="15">
        <v>-8.3199999999999996E-2</v>
      </c>
      <c r="J411" s="15">
        <v>6.7799999999999999E-2</v>
      </c>
      <c r="K411" s="15">
        <v>-1.4800000000000001E-2</v>
      </c>
      <c r="L411" s="15">
        <v>-4.8999999999999998E-3</v>
      </c>
      <c r="M411" s="15">
        <v>-6.4399999999999999E-2</v>
      </c>
      <c r="N411" s="15">
        <v>-3.3799999999999997E-2</v>
      </c>
      <c r="O411" s="15">
        <v>-3.0200000000000001E-2</v>
      </c>
      <c r="P411" s="15">
        <v>-4.3499999999999997E-2</v>
      </c>
      <c r="Q411" s="15">
        <v>-0.1084</v>
      </c>
      <c r="R411" s="7"/>
    </row>
    <row r="412" spans="1:18" x14ac:dyDescent="0.25">
      <c r="A412">
        <v>200803</v>
      </c>
      <c r="B412" s="15">
        <v>2.18E-2</v>
      </c>
      <c r="C412" s="15">
        <v>-6.7199999999999996E-2</v>
      </c>
      <c r="D412" s="15">
        <v>-2.7900000000000001E-2</v>
      </c>
      <c r="E412" s="15">
        <v>2.8799999999999999E-2</v>
      </c>
      <c r="F412" s="15">
        <v>1E-4</v>
      </c>
      <c r="G412" s="15">
        <v>-1.6299999999999999E-2</v>
      </c>
      <c r="H412" s="15">
        <v>-7.7000000000000002E-3</v>
      </c>
      <c r="I412" s="15">
        <v>1.49E-2</v>
      </c>
      <c r="J412" s="15">
        <v>-5.1000000000000004E-3</v>
      </c>
      <c r="K412" s="15">
        <v>2.9100000000000001E-2</v>
      </c>
      <c r="L412" s="15">
        <v>5.4000000000000003E-3</v>
      </c>
      <c r="M412" s="15">
        <v>-2.5099999999999997E-2</v>
      </c>
      <c r="N412" s="15">
        <v>-4.4000000000000003E-3</v>
      </c>
      <c r="O412" s="15">
        <v>8.1000000000000013E-3</v>
      </c>
      <c r="P412" s="15">
        <v>2.6499999999999999E-2</v>
      </c>
      <c r="Q412" s="15">
        <v>-3.9300000000000002E-2</v>
      </c>
      <c r="R412" s="7"/>
    </row>
    <row r="413" spans="1:18" x14ac:dyDescent="0.25">
      <c r="A413">
        <v>200804</v>
      </c>
      <c r="B413" s="15">
        <v>3.7000000000000002E-3</v>
      </c>
      <c r="C413" s="15">
        <v>0.12720000000000001</v>
      </c>
      <c r="D413" s="15">
        <v>0.10369999999999999</v>
      </c>
      <c r="E413" s="15">
        <v>3.1200000000000002E-2</v>
      </c>
      <c r="F413" s="15">
        <v>-5.6999999999999993E-3</v>
      </c>
      <c r="G413" s="15">
        <v>9.74E-2</v>
      </c>
      <c r="H413" s="15">
        <v>-2.58E-2</v>
      </c>
      <c r="I413" s="15">
        <v>4.7E-2</v>
      </c>
      <c r="J413" s="15">
        <v>7.3700000000000002E-2</v>
      </c>
      <c r="K413" s="15">
        <v>7.9000000000000001E-2</v>
      </c>
      <c r="L413" s="15">
        <v>6.9900000000000004E-2</v>
      </c>
      <c r="M413" s="15">
        <v>0.11470000000000001</v>
      </c>
      <c r="N413" s="15">
        <v>7.3700000000000002E-2</v>
      </c>
      <c r="O413" s="15">
        <v>6.3899999999999998E-2</v>
      </c>
      <c r="P413" s="15">
        <v>5.7699999999999994E-2</v>
      </c>
      <c r="Q413" s="15">
        <v>5.5199999999999999E-2</v>
      </c>
      <c r="R413" s="7"/>
    </row>
    <row r="414" spans="1:18" x14ac:dyDescent="0.25">
      <c r="A414">
        <v>200805</v>
      </c>
      <c r="B414" s="15">
        <v>1.77E-2</v>
      </c>
      <c r="C414" s="15">
        <v>0.1041</v>
      </c>
      <c r="D414" s="15">
        <v>3.5499999999999997E-2</v>
      </c>
      <c r="E414" s="15">
        <v>2.9100000000000001E-2</v>
      </c>
      <c r="F414" s="15">
        <v>1.7299999999999999E-2</v>
      </c>
      <c r="G414" s="15">
        <v>3.1E-2</v>
      </c>
      <c r="H414" s="15">
        <v>2.5399999999999999E-2</v>
      </c>
      <c r="I414" s="15">
        <v>5.0000000000000001E-3</v>
      </c>
      <c r="J414" s="15">
        <v>8.5199999999999998E-2</v>
      </c>
      <c r="K414" s="15">
        <v>4.8000000000000001E-2</v>
      </c>
      <c r="L414" s="15">
        <v>6.4299999999999996E-2</v>
      </c>
      <c r="M414" s="15">
        <v>-3.0000000000000001E-3</v>
      </c>
      <c r="N414" s="15">
        <v>2.3300000000000001E-2</v>
      </c>
      <c r="O414" s="15">
        <v>3.5799999999999998E-2</v>
      </c>
      <c r="P414" s="15">
        <v>7.4999999999999997E-3</v>
      </c>
      <c r="Q414" s="15">
        <v>-4.2199999999999994E-2</v>
      </c>
      <c r="R414" s="7"/>
    </row>
    <row r="415" spans="1:18" x14ac:dyDescent="0.25">
      <c r="A415">
        <v>200806</v>
      </c>
      <c r="B415" s="15">
        <v>-6.7799999999999999E-2</v>
      </c>
      <c r="C415" s="15">
        <v>7.5199999999999989E-2</v>
      </c>
      <c r="D415" s="15">
        <v>2.0099999999999996E-2</v>
      </c>
      <c r="E415" s="15">
        <v>-0.12740000000000001</v>
      </c>
      <c r="F415" s="15">
        <v>-0.1114</v>
      </c>
      <c r="G415" s="15">
        <v>-3.8900000000000004E-2</v>
      </c>
      <c r="H415" s="15">
        <v>-4.6600000000000003E-2</v>
      </c>
      <c r="I415" s="15">
        <v>-0.12359999999999999</v>
      </c>
      <c r="J415" s="15">
        <v>-7.3300000000000004E-2</v>
      </c>
      <c r="K415" s="15">
        <v>-0.10390000000000001</v>
      </c>
      <c r="L415" s="15">
        <v>-9.0800000000000006E-2</v>
      </c>
      <c r="M415" s="15">
        <v>-0.1822</v>
      </c>
      <c r="N415" s="15">
        <v>-0.12539999999999998</v>
      </c>
      <c r="O415" s="15">
        <v>-4.0000000000000001E-3</v>
      </c>
      <c r="P415" s="15">
        <v>-7.4099999999999999E-2</v>
      </c>
      <c r="Q415" s="15">
        <v>-0.17530000000000001</v>
      </c>
      <c r="R415" s="7"/>
    </row>
    <row r="416" spans="1:18" x14ac:dyDescent="0.25">
      <c r="A416">
        <v>200807</v>
      </c>
      <c r="B416" s="15">
        <v>2.8399999999999998E-2</v>
      </c>
      <c r="C416" s="15">
        <v>-0.1724</v>
      </c>
      <c r="D416" s="15">
        <v>-0.1532</v>
      </c>
      <c r="E416" s="15">
        <v>-4.41E-2</v>
      </c>
      <c r="F416" s="15">
        <v>8.8800000000000004E-2</v>
      </c>
      <c r="G416" s="15">
        <v>-1.38E-2</v>
      </c>
      <c r="H416" s="15">
        <v>5.4800000000000001E-2</v>
      </c>
      <c r="I416" s="15">
        <v>1.1699999999999999E-2</v>
      </c>
      <c r="J416" s="15">
        <v>-0.1168</v>
      </c>
      <c r="K416" s="15">
        <v>-3.8800000000000001E-2</v>
      </c>
      <c r="L416" s="15">
        <v>-2.1099999999999997E-2</v>
      </c>
      <c r="M416" s="15">
        <v>-1.41E-2</v>
      </c>
      <c r="N416" s="15">
        <v>3.5099999999999999E-2</v>
      </c>
      <c r="O416" s="15">
        <v>-7.1300000000000002E-2</v>
      </c>
      <c r="P416" s="15">
        <v>8.3999999999999995E-3</v>
      </c>
      <c r="Q416" s="15">
        <v>7.2000000000000008E-2</v>
      </c>
      <c r="R416" s="7"/>
    </row>
    <row r="417" spans="1:18" x14ac:dyDescent="0.25">
      <c r="A417">
        <v>200808</v>
      </c>
      <c r="B417" s="15">
        <v>4.8999999999999998E-3</v>
      </c>
      <c r="C417" s="15">
        <v>-6.1200000000000004E-2</v>
      </c>
      <c r="D417" s="15">
        <v>2.5999999999999999E-3</v>
      </c>
      <c r="E417" s="15">
        <v>9.35E-2</v>
      </c>
      <c r="F417" s="15">
        <v>4.1500000000000002E-2</v>
      </c>
      <c r="G417" s="15">
        <v>-3.4500000000000003E-2</v>
      </c>
      <c r="H417" s="15">
        <v>3.2199999999999999E-2</v>
      </c>
      <c r="I417" s="15">
        <v>8.8599999999999998E-2</v>
      </c>
      <c r="J417" s="15">
        <v>-6.88E-2</v>
      </c>
      <c r="K417" s="15">
        <v>2.87E-2</v>
      </c>
      <c r="L417" s="15">
        <v>2.41E-2</v>
      </c>
      <c r="M417" s="15">
        <v>1.2500000000000001E-2</v>
      </c>
      <c r="N417" s="15">
        <v>3.0899999999999997E-2</v>
      </c>
      <c r="O417" s="15">
        <v>-4.3E-3</v>
      </c>
      <c r="P417" s="15">
        <v>4.7100000000000003E-2</v>
      </c>
      <c r="Q417" s="15">
        <v>-2.0000000000000001E-4</v>
      </c>
      <c r="R417" s="7"/>
    </row>
    <row r="418" spans="1:18" x14ac:dyDescent="0.25">
      <c r="A418">
        <v>200809</v>
      </c>
      <c r="B418" s="15">
        <v>-1.1399999999999999E-2</v>
      </c>
      <c r="C418" s="15">
        <v>-0.30349999999999999</v>
      </c>
      <c r="D418" s="15">
        <v>-0.10880000000000001</v>
      </c>
      <c r="E418" s="15">
        <v>-1.3500000000000002E-2</v>
      </c>
      <c r="F418" s="15">
        <v>-5.5E-2</v>
      </c>
      <c r="G418" s="15">
        <v>-0.19579999999999997</v>
      </c>
      <c r="H418" s="15">
        <v>-4.4199999999999996E-2</v>
      </c>
      <c r="I418" s="15">
        <v>-7.8200000000000006E-2</v>
      </c>
      <c r="J418" s="15">
        <v>-0.30959999999999999</v>
      </c>
      <c r="K418" s="15">
        <v>-0.13789999999999999</v>
      </c>
      <c r="L418" s="15">
        <v>-0.16980000000000001</v>
      </c>
      <c r="M418" s="15">
        <v>-9.8900000000000002E-2</v>
      </c>
      <c r="N418" s="15">
        <v>-0.11380000000000001</v>
      </c>
      <c r="O418" s="15">
        <v>-0.11939999999999999</v>
      </c>
      <c r="P418" s="15">
        <v>-4.99E-2</v>
      </c>
      <c r="Q418" s="15">
        <v>-4.3200000000000002E-2</v>
      </c>
      <c r="R418" s="7"/>
    </row>
    <row r="419" spans="1:18" x14ac:dyDescent="0.25">
      <c r="A419">
        <v>200810</v>
      </c>
      <c r="B419" s="15">
        <v>-0.13</v>
      </c>
      <c r="C419" s="15">
        <v>-0.32770000000000005</v>
      </c>
      <c r="D419" s="15">
        <v>-0.16260000000000002</v>
      </c>
      <c r="E419" s="15">
        <v>-0.2253</v>
      </c>
      <c r="F419" s="15">
        <v>-0.25819999999999999</v>
      </c>
      <c r="G419" s="15">
        <v>-0.22</v>
      </c>
      <c r="H419" s="15">
        <v>-9.7699999999999995E-2</v>
      </c>
      <c r="I419" s="15">
        <v>-0.19620000000000001</v>
      </c>
      <c r="J419" s="15">
        <v>-0.32409999999999994</v>
      </c>
      <c r="K419" s="15">
        <v>-0.23139999999999999</v>
      </c>
      <c r="L419" s="15">
        <v>-0.21010000000000001</v>
      </c>
      <c r="M419" s="15">
        <v>-0.27910000000000001</v>
      </c>
      <c r="N419" s="15">
        <v>-0.14269999999999999</v>
      </c>
      <c r="O419" s="15">
        <v>-0.11119999999999999</v>
      </c>
      <c r="P419" s="15">
        <v>-0.14610000000000001</v>
      </c>
      <c r="Q419" s="15">
        <v>-0.20190000000000002</v>
      </c>
      <c r="R419" s="7"/>
    </row>
    <row r="420" spans="1:18" x14ac:dyDescent="0.25">
      <c r="A420">
        <v>200811</v>
      </c>
      <c r="B420" s="15">
        <v>-3.49E-2</v>
      </c>
      <c r="C420" s="15">
        <v>-8.5099999999999995E-2</v>
      </c>
      <c r="D420" s="15">
        <v>1.11E-2</v>
      </c>
      <c r="E420" s="15">
        <v>-0.1537</v>
      </c>
      <c r="F420" s="15">
        <v>-0.1125</v>
      </c>
      <c r="G420" s="15">
        <v>-0.17760000000000001</v>
      </c>
      <c r="H420" s="15">
        <v>-3.9100000000000003E-2</v>
      </c>
      <c r="I420" s="15">
        <v>-3.9300000000000002E-2</v>
      </c>
      <c r="J420" s="15">
        <v>-0.12210000000000001</v>
      </c>
      <c r="K420" s="15">
        <v>-4.3099999999999999E-2</v>
      </c>
      <c r="L420" s="15">
        <v>-0.10390000000000001</v>
      </c>
      <c r="M420" s="15">
        <v>-7.2000000000000008E-2</v>
      </c>
      <c r="N420" s="15">
        <v>-0.1101</v>
      </c>
      <c r="O420" s="15">
        <v>1.23E-2</v>
      </c>
      <c r="P420" s="15">
        <v>-7.4700000000000003E-2</v>
      </c>
      <c r="Q420" s="15">
        <v>-0.14319999999999999</v>
      </c>
      <c r="R420" s="7"/>
    </row>
    <row r="421" spans="1:18" x14ac:dyDescent="0.25">
      <c r="A421">
        <v>200812</v>
      </c>
      <c r="B421" s="15">
        <v>-1.2999999999999999E-3</v>
      </c>
      <c r="C421" s="15">
        <v>8.9399999999999993E-2</v>
      </c>
      <c r="D421" s="15">
        <v>-2.4E-2</v>
      </c>
      <c r="E421" s="15">
        <v>4.3499999999999997E-2</v>
      </c>
      <c r="F421" s="15">
        <v>1.95E-2</v>
      </c>
      <c r="G421" s="15">
        <v>-2.5099999999999997E-2</v>
      </c>
      <c r="H421" s="15">
        <v>4.24E-2</v>
      </c>
      <c r="I421" s="15">
        <v>2.7799999999999998E-2</v>
      </c>
      <c r="J421" s="15">
        <v>0.1636</v>
      </c>
      <c r="K421" s="15">
        <v>7.46E-2</v>
      </c>
      <c r="L421" s="15">
        <v>1.77E-2</v>
      </c>
      <c r="M421" s="15">
        <v>2.53E-2</v>
      </c>
      <c r="N421" s="15">
        <v>2.7799999999999998E-2</v>
      </c>
      <c r="O421" s="15">
        <v>-2.0400000000000001E-2</v>
      </c>
      <c r="P421" s="15">
        <v>4.6699999999999998E-2</v>
      </c>
      <c r="Q421" s="15">
        <v>1.4999999999999999E-2</v>
      </c>
      <c r="R421" s="7"/>
    </row>
    <row r="422" spans="1:18" x14ac:dyDescent="0.25">
      <c r="A422">
        <v>200901</v>
      </c>
      <c r="B422" s="15">
        <v>-3.3399999999999999E-2</v>
      </c>
      <c r="C422" s="15">
        <v>-6.0400000000000002E-2</v>
      </c>
      <c r="D422" s="15">
        <v>-3.6200000000000003E-2</v>
      </c>
      <c r="E422" s="15">
        <v>-0.129</v>
      </c>
      <c r="F422" s="15">
        <v>-0.15909999999999999</v>
      </c>
      <c r="G422" s="15">
        <v>-5.62E-2</v>
      </c>
      <c r="H422" s="15">
        <v>-5.3899999999999997E-2</v>
      </c>
      <c r="I422" s="15">
        <v>-0.1232</v>
      </c>
      <c r="J422" s="15">
        <v>-0.16639999999999999</v>
      </c>
      <c r="K422" s="15">
        <v>-9.7699999999999995E-2</v>
      </c>
      <c r="L422" s="15">
        <v>-4.7899999999999998E-2</v>
      </c>
      <c r="M422" s="15">
        <v>-0.111</v>
      </c>
      <c r="N422" s="15">
        <v>-0.1003</v>
      </c>
      <c r="O422" s="15">
        <v>-8.199999999999999E-3</v>
      </c>
      <c r="P422" s="15">
        <v>-8.4000000000000005E-2</v>
      </c>
      <c r="Q422" s="15">
        <v>-0.21230000000000002</v>
      </c>
      <c r="R422" s="7"/>
    </row>
    <row r="423" spans="1:18" x14ac:dyDescent="0.25">
      <c r="A423">
        <v>200902</v>
      </c>
      <c r="B423" s="15">
        <v>-6.7599999999999993E-2</v>
      </c>
      <c r="C423" s="15">
        <v>-6.5000000000000006E-3</v>
      </c>
      <c r="D423" s="15">
        <v>-0.1258</v>
      </c>
      <c r="E423" s="15">
        <v>-9.9900000000000003E-2</v>
      </c>
      <c r="F423" s="15">
        <v>-0.1794</v>
      </c>
      <c r="G423" s="15">
        <v>-8.1199999999999994E-2</v>
      </c>
      <c r="H423" s="15">
        <v>-9.3399999999999997E-2</v>
      </c>
      <c r="I423" s="15">
        <v>-0.10619999999999999</v>
      </c>
      <c r="J423" s="15">
        <v>-0.19260000000000002</v>
      </c>
      <c r="K423" s="15">
        <v>-8.3499999999999991E-2</v>
      </c>
      <c r="L423" s="15">
        <v>-8.4900000000000003E-2</v>
      </c>
      <c r="M423" s="15">
        <v>-3.4000000000000002E-2</v>
      </c>
      <c r="N423" s="15">
        <v>-0.15689999999999998</v>
      </c>
      <c r="O423" s="15">
        <v>-0.12590000000000001</v>
      </c>
      <c r="P423" s="15">
        <v>-1.7500000000000002E-2</v>
      </c>
      <c r="Q423" s="15">
        <v>-0.15380000000000002</v>
      </c>
      <c r="R423" s="7"/>
    </row>
    <row r="424" spans="1:18" x14ac:dyDescent="0.25">
      <c r="A424">
        <v>200903</v>
      </c>
      <c r="B424" s="15">
        <v>5.33E-2</v>
      </c>
      <c r="C424" s="15">
        <v>0.1186</v>
      </c>
      <c r="D424" s="15">
        <v>3.9800000000000002E-2</v>
      </c>
      <c r="E424" s="15">
        <v>0.1643</v>
      </c>
      <c r="F424" s="15">
        <v>9.8000000000000004E-2</v>
      </c>
      <c r="G424" s="15">
        <v>0.16500000000000001</v>
      </c>
      <c r="H424" s="15">
        <v>6.2400000000000004E-2</v>
      </c>
      <c r="I424" s="15">
        <v>0.1472</v>
      </c>
      <c r="J424" s="15">
        <v>0.1232</v>
      </c>
      <c r="K424" s="15">
        <v>4.99E-2</v>
      </c>
      <c r="L424" s="15">
        <v>0.12869999999999998</v>
      </c>
      <c r="M424" s="15">
        <v>0.1103</v>
      </c>
      <c r="N424" s="15">
        <v>7.2499999999999995E-2</v>
      </c>
      <c r="O424" s="15">
        <v>2.7900000000000001E-2</v>
      </c>
      <c r="P424" s="15">
        <v>0.1032</v>
      </c>
      <c r="Q424" s="15">
        <v>0.1474</v>
      </c>
      <c r="R424" s="7"/>
    </row>
    <row r="425" spans="1:18" x14ac:dyDescent="0.25">
      <c r="A425">
        <v>200904</v>
      </c>
      <c r="B425" s="15">
        <v>2.63E-2</v>
      </c>
      <c r="C425" s="15">
        <v>7.46E-2</v>
      </c>
      <c r="D425" s="15">
        <v>4.2599999999999999E-2</v>
      </c>
      <c r="E425" s="15">
        <v>0.23929999999999998</v>
      </c>
      <c r="F425" s="15">
        <v>0.29630000000000001</v>
      </c>
      <c r="G425" s="15">
        <v>0.2</v>
      </c>
      <c r="H425" s="15">
        <v>-4.5999999999999999E-3</v>
      </c>
      <c r="I425" s="15">
        <v>0.1757</v>
      </c>
      <c r="J425" s="15">
        <v>0.25890000000000002</v>
      </c>
      <c r="K425" s="15">
        <v>0.18940000000000001</v>
      </c>
      <c r="L425" s="15">
        <v>0.15820000000000001</v>
      </c>
      <c r="M425" s="15">
        <v>0.32579999999999998</v>
      </c>
      <c r="N425" s="15">
        <v>0.16079999999999997</v>
      </c>
      <c r="O425" s="15">
        <v>2.0899999999999998E-2</v>
      </c>
      <c r="P425" s="15">
        <v>8.1799999999999998E-2</v>
      </c>
      <c r="Q425" s="15">
        <v>0.17100000000000001</v>
      </c>
      <c r="R425" s="7"/>
    </row>
    <row r="426" spans="1:18" x14ac:dyDescent="0.25">
      <c r="A426">
        <v>200905</v>
      </c>
      <c r="B426" s="15">
        <v>6.7500000000000004E-2</v>
      </c>
      <c r="C426" s="15">
        <v>0.2112</v>
      </c>
      <c r="D426" s="15">
        <v>9.820000000000001E-2</v>
      </c>
      <c r="E426" s="15">
        <v>2.1600000000000001E-2</v>
      </c>
      <c r="F426" s="15">
        <v>1.5600000000000001E-2</v>
      </c>
      <c r="G426" s="15">
        <v>8.0500000000000002E-2</v>
      </c>
      <c r="H426" s="15">
        <v>7.7899999999999997E-2</v>
      </c>
      <c r="I426" s="15">
        <v>-5.5399999999999998E-2</v>
      </c>
      <c r="J426" s="15">
        <v>9.5600000000000004E-2</v>
      </c>
      <c r="K426" s="15">
        <v>-1.32E-2</v>
      </c>
      <c r="L426" s="15">
        <v>2.0899999999999998E-2</v>
      </c>
      <c r="M426" s="15">
        <v>-6.2800000000000009E-2</v>
      </c>
      <c r="N426" s="15">
        <v>5.5199999999999999E-2</v>
      </c>
      <c r="O426" s="15">
        <v>4.6300000000000001E-2</v>
      </c>
      <c r="P426" s="15">
        <v>-3.7000000000000002E-3</v>
      </c>
      <c r="Q426" s="15">
        <v>0.1002</v>
      </c>
      <c r="R426" s="7"/>
    </row>
    <row r="427" spans="1:18" x14ac:dyDescent="0.25">
      <c r="A427">
        <v>200906</v>
      </c>
      <c r="B427" s="15">
        <v>6.7000000000000002E-3</v>
      </c>
      <c r="C427" s="15">
        <v>-8.9200000000000002E-2</v>
      </c>
      <c r="D427" s="15">
        <v>-4.5700000000000005E-2</v>
      </c>
      <c r="E427" s="15">
        <v>-3.49E-2</v>
      </c>
      <c r="F427" s="15">
        <v>1.5700000000000002E-2</v>
      </c>
      <c r="G427" s="15">
        <v>-7.2700000000000001E-2</v>
      </c>
      <c r="H427" s="15">
        <v>2.06E-2</v>
      </c>
      <c r="I427" s="15">
        <v>-1.5E-3</v>
      </c>
      <c r="J427" s="15">
        <v>3.3599999999999998E-2</v>
      </c>
      <c r="K427" s="15">
        <v>2.5899999999999999E-2</v>
      </c>
      <c r="L427" s="15">
        <v>3.2199999999999999E-2</v>
      </c>
      <c r="M427" s="15">
        <v>4.6500000000000007E-2</v>
      </c>
      <c r="N427" s="15">
        <v>-1.3899999999999999E-2</v>
      </c>
      <c r="O427" s="15">
        <v>4.6300000000000001E-2</v>
      </c>
      <c r="P427" s="15">
        <v>-9.5999999999999992E-3</v>
      </c>
      <c r="Q427" s="15">
        <v>-1.8000000000000002E-2</v>
      </c>
      <c r="R427" s="7"/>
    </row>
    <row r="428" spans="1:18" x14ac:dyDescent="0.25">
      <c r="A428">
        <v>200907</v>
      </c>
      <c r="B428" s="15">
        <v>6.0499999999999998E-2</v>
      </c>
      <c r="C428" s="15">
        <v>0.1285</v>
      </c>
      <c r="D428" s="15">
        <v>0.05</v>
      </c>
      <c r="E428" s="15">
        <v>0.1363</v>
      </c>
      <c r="F428" s="15">
        <v>0.16879999999999998</v>
      </c>
      <c r="G428" s="15">
        <v>0.16980000000000001</v>
      </c>
      <c r="H428" s="15">
        <v>6.6299999999999998E-2</v>
      </c>
      <c r="I428" s="15">
        <v>0.14330000000000001</v>
      </c>
      <c r="J428" s="15">
        <v>3.7599999999999995E-2</v>
      </c>
      <c r="K428" s="15">
        <v>5.3200000000000004E-2</v>
      </c>
      <c r="L428" s="15">
        <v>0.12119999999999999</v>
      </c>
      <c r="M428" s="15">
        <v>0.1648</v>
      </c>
      <c r="N428" s="15">
        <v>7.1500000000000008E-2</v>
      </c>
      <c r="O428" s="15">
        <v>4.41E-2</v>
      </c>
      <c r="P428" s="15">
        <v>5.7999999999999996E-2</v>
      </c>
      <c r="Q428" s="15">
        <v>8.6500000000000007E-2</v>
      </c>
      <c r="R428" s="7"/>
    </row>
    <row r="429" spans="1:18" x14ac:dyDescent="0.25">
      <c r="A429">
        <v>200908</v>
      </c>
      <c r="B429" s="15">
        <v>2.0999999999999999E-3</v>
      </c>
      <c r="C429" s="15">
        <v>3.0200000000000001E-2</v>
      </c>
      <c r="D429" s="15">
        <v>7.3000000000000001E-3</v>
      </c>
      <c r="E429" s="15">
        <v>3.27E-2</v>
      </c>
      <c r="F429" s="15">
        <v>7.4099999999999999E-2</v>
      </c>
      <c r="G429" s="15">
        <v>1.7100000000000001E-2</v>
      </c>
      <c r="H429" s="15">
        <v>1.3899999999999999E-2</v>
      </c>
      <c r="I429" s="15">
        <v>3.85E-2</v>
      </c>
      <c r="J429" s="15">
        <v>3.6499999999999998E-2</v>
      </c>
      <c r="K429" s="15">
        <v>3.5200000000000002E-2</v>
      </c>
      <c r="L429" s="15">
        <v>2.2499999999999999E-2</v>
      </c>
      <c r="M429" s="15">
        <v>-5.7999999999999996E-3</v>
      </c>
      <c r="N429" s="15">
        <v>6.0599999999999994E-2</v>
      </c>
      <c r="O429" s="15">
        <v>2.5000000000000001E-3</v>
      </c>
      <c r="P429" s="15">
        <v>4.1299999999999996E-2</v>
      </c>
      <c r="Q429" s="15">
        <v>0.1</v>
      </c>
      <c r="R429" s="7"/>
    </row>
    <row r="430" spans="1:18" x14ac:dyDescent="0.25">
      <c r="A430">
        <v>200909</v>
      </c>
      <c r="B430" s="15">
        <v>3.7499999999999999E-2</v>
      </c>
      <c r="C430" s="15">
        <v>0.11449999999999999</v>
      </c>
      <c r="D430" s="15">
        <v>4.7300000000000002E-2</v>
      </c>
      <c r="E430" s="15">
        <v>0.1139</v>
      </c>
      <c r="F430" s="15">
        <v>6.6900000000000001E-2</v>
      </c>
      <c r="G430" s="15">
        <v>7.4200000000000002E-2</v>
      </c>
      <c r="H430" s="15">
        <v>3.6699999999999997E-2</v>
      </c>
      <c r="I430" s="15">
        <v>-1.6799999999999999E-2</v>
      </c>
      <c r="J430" s="15">
        <v>6.4500000000000002E-2</v>
      </c>
      <c r="K430" s="15">
        <v>6.4000000000000001E-2</v>
      </c>
      <c r="L430" s="15">
        <v>6.3E-2</v>
      </c>
      <c r="M430" s="15">
        <v>-7.1999999999999998E-3</v>
      </c>
      <c r="N430" s="15">
        <v>4.7300000000000002E-2</v>
      </c>
      <c r="O430" s="15">
        <v>2.2400000000000003E-2</v>
      </c>
      <c r="P430" s="15">
        <v>2.5699999999999997E-2</v>
      </c>
      <c r="Q430" s="15">
        <v>1.3500000000000002E-2</v>
      </c>
      <c r="R430" s="7"/>
    </row>
    <row r="431" spans="1:18" x14ac:dyDescent="0.25">
      <c r="A431">
        <v>200910</v>
      </c>
      <c r="B431" s="15">
        <v>-3.3E-3</v>
      </c>
      <c r="C431" s="15">
        <v>6.6E-3</v>
      </c>
      <c r="D431" s="15">
        <v>2.5699999999999997E-2</v>
      </c>
      <c r="E431" s="15">
        <v>-2.9600000000000001E-2</v>
      </c>
      <c r="F431" s="15">
        <v>-2.7900000000000001E-2</v>
      </c>
      <c r="G431" s="15">
        <v>-4.2199999999999994E-2</v>
      </c>
      <c r="H431" s="15">
        <v>-5.5000000000000005E-3</v>
      </c>
      <c r="I431" s="15">
        <v>-6.7400000000000002E-2</v>
      </c>
      <c r="J431" s="15">
        <v>-0.1211</v>
      </c>
      <c r="K431" s="15">
        <v>-2.6099999999999998E-2</v>
      </c>
      <c r="L431" s="15">
        <v>-3.1600000000000003E-2</v>
      </c>
      <c r="M431" s="15">
        <v>-1.52E-2</v>
      </c>
      <c r="N431" s="15">
        <v>-5.28E-2</v>
      </c>
      <c r="O431" s="15">
        <v>-2.7099999999999999E-2</v>
      </c>
      <c r="P431" s="15">
        <v>1.4999999999999999E-2</v>
      </c>
      <c r="Q431" s="15">
        <v>-4.9400000000000006E-2</v>
      </c>
      <c r="R431" s="7"/>
    </row>
    <row r="432" spans="1:18" x14ac:dyDescent="0.25">
      <c r="A432">
        <v>200911</v>
      </c>
      <c r="B432" s="15">
        <v>4.5400000000000003E-2</v>
      </c>
      <c r="C432" s="15">
        <v>0.1386</v>
      </c>
      <c r="D432" s="15">
        <v>3.0200000000000001E-2</v>
      </c>
      <c r="E432" s="15">
        <v>1.8200000000000001E-2</v>
      </c>
      <c r="F432" s="15">
        <v>4.5400000000000003E-2</v>
      </c>
      <c r="G432" s="15">
        <v>0.1002</v>
      </c>
      <c r="H432" s="15">
        <v>7.7100000000000002E-2</v>
      </c>
      <c r="I432" s="15">
        <v>4.9100000000000005E-2</v>
      </c>
      <c r="J432" s="15">
        <v>7.4999999999999997E-2</v>
      </c>
      <c r="K432" s="15">
        <v>1.46E-2</v>
      </c>
      <c r="L432" s="15">
        <v>4.7800000000000002E-2</v>
      </c>
      <c r="M432" s="15">
        <v>0.1144</v>
      </c>
      <c r="N432" s="15">
        <v>0.1024</v>
      </c>
      <c r="O432" s="15">
        <v>4.5700000000000005E-2</v>
      </c>
      <c r="P432" s="15">
        <v>4.6600000000000003E-2</v>
      </c>
      <c r="Q432" s="15">
        <v>4.3899999999999995E-2</v>
      </c>
      <c r="R432" s="7"/>
    </row>
    <row r="433" spans="1:18" x14ac:dyDescent="0.25">
      <c r="A433">
        <v>200912</v>
      </c>
      <c r="B433" s="15">
        <v>1.49E-2</v>
      </c>
      <c r="C433" s="15">
        <v>-1.44E-2</v>
      </c>
      <c r="D433" s="15">
        <v>-7.6E-3</v>
      </c>
      <c r="E433" s="15">
        <v>5.0099999999999999E-2</v>
      </c>
      <c r="F433" s="15">
        <v>4.6300000000000001E-2</v>
      </c>
      <c r="G433" s="15">
        <v>2.6499999999999999E-2</v>
      </c>
      <c r="H433" s="15">
        <v>9.5999999999999992E-3</v>
      </c>
      <c r="I433" s="15">
        <v>6.1100000000000002E-2</v>
      </c>
      <c r="J433" s="15">
        <v>0.157</v>
      </c>
      <c r="K433" s="15">
        <v>5.1500000000000004E-2</v>
      </c>
      <c r="L433" s="15">
        <v>6.3500000000000001E-2</v>
      </c>
      <c r="M433" s="15">
        <v>5.7699999999999994E-2</v>
      </c>
      <c r="N433" s="15">
        <v>3.78E-2</v>
      </c>
      <c r="O433" s="15">
        <v>5.8600000000000006E-2</v>
      </c>
      <c r="P433" s="15">
        <v>5.6000000000000008E-3</v>
      </c>
      <c r="Q433" s="15">
        <v>3.0999999999999999E-3</v>
      </c>
      <c r="R433" s="7"/>
    </row>
    <row r="434" spans="1:18" x14ac:dyDescent="0.25">
      <c r="A434">
        <v>201001</v>
      </c>
      <c r="B434" s="15">
        <v>-2.1499999999999998E-2</v>
      </c>
      <c r="C434" s="15">
        <v>-0.12939999999999999</v>
      </c>
      <c r="D434" s="15">
        <v>-4.7899999999999998E-2</v>
      </c>
      <c r="E434" s="15">
        <v>-3.6299999999999999E-2</v>
      </c>
      <c r="F434" s="15">
        <v>-3.5000000000000003E-2</v>
      </c>
      <c r="G434" s="15">
        <v>-4.3299999999999998E-2</v>
      </c>
      <c r="H434" s="15">
        <v>-4.6999999999999993E-3</v>
      </c>
      <c r="I434" s="15">
        <v>-2.8799999999999999E-2</v>
      </c>
      <c r="J434" s="15">
        <v>-0.1249</v>
      </c>
      <c r="K434" s="15">
        <v>-2.9100000000000001E-2</v>
      </c>
      <c r="L434" s="15">
        <v>-7.3399999999999993E-2</v>
      </c>
      <c r="M434" s="15">
        <v>3.5999999999999999E-3</v>
      </c>
      <c r="N434" s="15">
        <v>-2.1299999999999999E-2</v>
      </c>
      <c r="O434" s="15">
        <v>-4.4400000000000002E-2</v>
      </c>
      <c r="P434" s="15">
        <v>-1.29E-2</v>
      </c>
      <c r="Q434" s="15">
        <v>-6.5000000000000006E-3</v>
      </c>
      <c r="R434" s="7"/>
    </row>
    <row r="435" spans="1:18" x14ac:dyDescent="0.25">
      <c r="A435">
        <v>201002</v>
      </c>
      <c r="B435" s="15">
        <v>1.7500000000000002E-2</v>
      </c>
      <c r="C435" s="15">
        <v>0.1241</v>
      </c>
      <c r="D435" s="15">
        <v>2.3199999999999998E-2</v>
      </c>
      <c r="E435" s="15">
        <v>7.1800000000000003E-2</v>
      </c>
      <c r="F435" s="15">
        <v>9.8000000000000004E-2</v>
      </c>
      <c r="G435" s="15">
        <v>5.7699999999999994E-2</v>
      </c>
      <c r="H435" s="15">
        <v>1.3300000000000001E-2</v>
      </c>
      <c r="I435" s="15">
        <v>5.9200000000000003E-2</v>
      </c>
      <c r="J435" s="15">
        <v>4.4800000000000006E-2</v>
      </c>
      <c r="K435" s="15">
        <v>7.3499999999999996E-2</v>
      </c>
      <c r="L435" s="15">
        <v>7.2700000000000001E-2</v>
      </c>
      <c r="M435" s="15">
        <v>6.6000000000000003E-2</v>
      </c>
      <c r="N435" s="15">
        <v>6.1600000000000002E-2</v>
      </c>
      <c r="O435" s="15">
        <v>-4.1999999999999997E-3</v>
      </c>
      <c r="P435" s="15">
        <v>3.6900000000000002E-2</v>
      </c>
      <c r="Q435" s="15">
        <v>2.9100000000000001E-2</v>
      </c>
      <c r="R435" s="7"/>
    </row>
    <row r="436" spans="1:18" x14ac:dyDescent="0.25">
      <c r="A436">
        <v>201003</v>
      </c>
      <c r="B436" s="15">
        <v>4.9699999999999994E-2</v>
      </c>
      <c r="C436" s="15">
        <v>7.3300000000000004E-2</v>
      </c>
      <c r="D436" s="15">
        <v>3.2000000000000001E-2</v>
      </c>
      <c r="E436" s="15">
        <v>0.1124</v>
      </c>
      <c r="F436" s="15">
        <v>5.5099999999999996E-2</v>
      </c>
      <c r="G436" s="15">
        <v>7.46E-2</v>
      </c>
      <c r="H436" s="15">
        <v>3.2500000000000001E-2</v>
      </c>
      <c r="I436" s="15">
        <v>5.5500000000000001E-2</v>
      </c>
      <c r="J436" s="15">
        <v>0.11990000000000001</v>
      </c>
      <c r="K436" s="15">
        <v>5.33E-2</v>
      </c>
      <c r="L436" s="15">
        <v>7.7800000000000008E-2</v>
      </c>
      <c r="M436" s="15">
        <v>8.8300000000000003E-2</v>
      </c>
      <c r="N436" s="15">
        <v>8.9900000000000008E-2</v>
      </c>
      <c r="O436" s="15">
        <v>3.1200000000000002E-2</v>
      </c>
      <c r="P436" s="15">
        <v>6.5000000000000002E-2</v>
      </c>
      <c r="Q436" s="15">
        <v>8.3100000000000007E-2</v>
      </c>
      <c r="R436" s="7"/>
    </row>
    <row r="437" spans="1:18" x14ac:dyDescent="0.25">
      <c r="A437">
        <v>201004</v>
      </c>
      <c r="B437" s="15">
        <v>-1.3500000000000002E-2</v>
      </c>
      <c r="C437" s="15">
        <v>-7.4999999999999997E-3</v>
      </c>
      <c r="D437" s="15">
        <v>4.3099999999999999E-2</v>
      </c>
      <c r="E437" s="15">
        <v>4.9200000000000001E-2</v>
      </c>
      <c r="F437" s="15">
        <v>6.8900000000000003E-2</v>
      </c>
      <c r="G437" s="15">
        <v>2.5600000000000001E-2</v>
      </c>
      <c r="H437" s="15">
        <v>-1.9799999999999998E-2</v>
      </c>
      <c r="I437" s="15">
        <v>0.1081</v>
      </c>
      <c r="J437" s="15">
        <v>-2.9399999999999999E-2</v>
      </c>
      <c r="K437" s="15">
        <v>3.4300000000000004E-2</v>
      </c>
      <c r="L437" s="15">
        <v>4.8300000000000003E-2</v>
      </c>
      <c r="M437" s="15">
        <v>6.5599999999999992E-2</v>
      </c>
      <c r="N437" s="15">
        <v>2.92E-2</v>
      </c>
      <c r="O437" s="15">
        <v>2.8500000000000001E-2</v>
      </c>
      <c r="P437" s="15">
        <v>1.34E-2</v>
      </c>
      <c r="Q437" s="15">
        <v>1.1299999999999999E-2</v>
      </c>
      <c r="R437" s="7"/>
    </row>
    <row r="438" spans="1:18" x14ac:dyDescent="0.25">
      <c r="A438">
        <v>201005</v>
      </c>
      <c r="B438" s="15">
        <v>-4.8499999999999995E-2</v>
      </c>
      <c r="C438" s="15">
        <v>-0.08</v>
      </c>
      <c r="D438" s="15">
        <v>-0.1014</v>
      </c>
      <c r="E438" s="15">
        <v>-6.2800000000000009E-2</v>
      </c>
      <c r="F438" s="15">
        <v>-5.4199999999999998E-2</v>
      </c>
      <c r="G438" s="15">
        <v>-0.10619999999999999</v>
      </c>
      <c r="H438" s="15">
        <v>-6.2400000000000004E-2</v>
      </c>
      <c r="I438" s="15">
        <v>-8.1099999999999992E-2</v>
      </c>
      <c r="J438" s="15">
        <v>-7.4700000000000003E-2</v>
      </c>
      <c r="K438" s="15">
        <v>-8.9600000000000013E-2</v>
      </c>
      <c r="L438" s="15">
        <v>-8.0700000000000008E-2</v>
      </c>
      <c r="M438" s="15">
        <v>-7.1900000000000006E-2</v>
      </c>
      <c r="N438" s="15">
        <v>-7.5499999999999998E-2</v>
      </c>
      <c r="O438" s="15">
        <v>-6.2899999999999998E-2</v>
      </c>
      <c r="P438" s="15">
        <v>-5.7200000000000001E-2</v>
      </c>
      <c r="Q438" s="15">
        <v>-9.0999999999999998E-2</v>
      </c>
      <c r="R438" s="7"/>
    </row>
    <row r="439" spans="1:18" x14ac:dyDescent="0.25">
      <c r="A439">
        <v>201006</v>
      </c>
      <c r="B439" s="15">
        <v>-1.9599999999999999E-2</v>
      </c>
      <c r="C439" s="15">
        <v>-7.0000000000000007E-2</v>
      </c>
      <c r="D439" s="15">
        <v>-6.2300000000000001E-2</v>
      </c>
      <c r="E439" s="15">
        <v>-9.7599999999999992E-2</v>
      </c>
      <c r="F439" s="15">
        <v>-8.7400000000000005E-2</v>
      </c>
      <c r="G439" s="15">
        <v>-8.0700000000000008E-2</v>
      </c>
      <c r="H439" s="15">
        <v>-8.9999999999999998E-4</v>
      </c>
      <c r="I439" s="15">
        <v>-0.14130000000000001</v>
      </c>
      <c r="J439" s="15">
        <v>-0.13289999999999999</v>
      </c>
      <c r="K439" s="15">
        <v>-6.3399999999999998E-2</v>
      </c>
      <c r="L439" s="15">
        <v>-5.9699999999999996E-2</v>
      </c>
      <c r="M439" s="15">
        <v>-8.09E-2</v>
      </c>
      <c r="N439" s="15">
        <v>-7.22E-2</v>
      </c>
      <c r="O439" s="15">
        <v>-6.9999999999999993E-3</v>
      </c>
      <c r="P439" s="15">
        <v>-9.1899999999999996E-2</v>
      </c>
      <c r="Q439" s="15">
        <v>-7.2300000000000003E-2</v>
      </c>
      <c r="R439" s="7"/>
    </row>
    <row r="440" spans="1:18" x14ac:dyDescent="0.25">
      <c r="A440">
        <v>201007</v>
      </c>
      <c r="B440" s="15">
        <v>6.6900000000000001E-2</v>
      </c>
      <c r="C440" s="15">
        <v>9.6500000000000002E-2</v>
      </c>
      <c r="D440" s="15">
        <v>7.3700000000000002E-2</v>
      </c>
      <c r="E440" s="15">
        <v>8.1500000000000003E-2</v>
      </c>
      <c r="F440" s="15">
        <v>3.9399999999999998E-2</v>
      </c>
      <c r="G440" s="15">
        <v>0.14829999999999999</v>
      </c>
      <c r="H440" s="15">
        <v>3.44E-2</v>
      </c>
      <c r="I440" s="15">
        <v>4.7800000000000002E-2</v>
      </c>
      <c r="J440" s="15">
        <v>8.2599999999999993E-2</v>
      </c>
      <c r="K440" s="15">
        <v>0.10400000000000001</v>
      </c>
      <c r="L440" s="15">
        <v>7.5300000000000006E-2</v>
      </c>
      <c r="M440" s="15">
        <v>0.16399999999999998</v>
      </c>
      <c r="N440" s="15">
        <v>9.6799999999999997E-2</v>
      </c>
      <c r="O440" s="15">
        <v>6.8099999999999994E-2</v>
      </c>
      <c r="P440" s="15">
        <v>4.9200000000000001E-2</v>
      </c>
      <c r="Q440" s="15">
        <v>6.5599999999999992E-2</v>
      </c>
      <c r="R440" s="7"/>
    </row>
    <row r="441" spans="1:18" x14ac:dyDescent="0.25">
      <c r="A441">
        <v>201008</v>
      </c>
      <c r="B441" s="15">
        <v>-6.3E-3</v>
      </c>
      <c r="C441" s="15">
        <v>-4.5999999999999999E-3</v>
      </c>
      <c r="D441" s="15">
        <v>-3.3300000000000003E-2</v>
      </c>
      <c r="E441" s="15">
        <v>-7.3499999999999996E-2</v>
      </c>
      <c r="F441" s="15">
        <v>-3.8199999999999998E-2</v>
      </c>
      <c r="G441" s="15">
        <v>2.0000000000000001E-4</v>
      </c>
      <c r="H441" s="15">
        <v>-3.9000000000000003E-3</v>
      </c>
      <c r="I441" s="15">
        <v>-4.53E-2</v>
      </c>
      <c r="J441" s="15">
        <v>-8.7499999999999994E-2</v>
      </c>
      <c r="K441" s="15">
        <v>-3.2099999999999997E-2</v>
      </c>
      <c r="L441" s="15">
        <v>-9.0999999999999998E-2</v>
      </c>
      <c r="M441" s="15">
        <v>-8.6800000000000002E-2</v>
      </c>
      <c r="N441" s="15">
        <v>-6.6600000000000006E-2</v>
      </c>
      <c r="O441" s="15">
        <v>3.7000000000000002E-3</v>
      </c>
      <c r="P441" s="15">
        <v>-3.4000000000000002E-2</v>
      </c>
      <c r="Q441" s="15">
        <v>-8.48E-2</v>
      </c>
      <c r="R441" s="7"/>
    </row>
    <row r="442" spans="1:18" x14ac:dyDescent="0.25">
      <c r="A442">
        <v>201009</v>
      </c>
      <c r="B442" s="15">
        <v>3.2000000000000001E-2</v>
      </c>
      <c r="C442" s="15">
        <v>0.1176</v>
      </c>
      <c r="D442" s="15">
        <v>8.9900000000000008E-2</v>
      </c>
      <c r="E442" s="15">
        <v>0.17329999999999998</v>
      </c>
      <c r="F442" s="15">
        <v>0.11609999999999999</v>
      </c>
      <c r="G442" s="15">
        <v>9.9499999999999991E-2</v>
      </c>
      <c r="H442" s="15">
        <v>7.0300000000000001E-2</v>
      </c>
      <c r="I442" s="15">
        <v>0.1057</v>
      </c>
      <c r="J442" s="15">
        <v>0.1216</v>
      </c>
      <c r="K442" s="15">
        <v>0.10800000000000001</v>
      </c>
      <c r="L442" s="15">
        <v>0.1419</v>
      </c>
      <c r="M442" s="15">
        <v>0.12590000000000001</v>
      </c>
      <c r="N442" s="15">
        <v>0.1012</v>
      </c>
      <c r="O442" s="15">
        <v>3.6499999999999998E-2</v>
      </c>
      <c r="P442" s="15">
        <v>0.12470000000000001</v>
      </c>
      <c r="Q442" s="15">
        <v>7.2400000000000006E-2</v>
      </c>
      <c r="R442" s="7"/>
    </row>
    <row r="443" spans="1:18" x14ac:dyDescent="0.25">
      <c r="A443">
        <v>201010</v>
      </c>
      <c r="B443" s="15">
        <v>4.0099999999999997E-2</v>
      </c>
      <c r="C443" s="15">
        <v>8.0600000000000005E-2</v>
      </c>
      <c r="D443" s="15">
        <v>4.5700000000000005E-2</v>
      </c>
      <c r="E443" s="15">
        <v>3.4000000000000002E-2</v>
      </c>
      <c r="F443" s="15">
        <v>1.6299999999999999E-2</v>
      </c>
      <c r="G443" s="15">
        <v>8.9700000000000002E-2</v>
      </c>
      <c r="H443" s="15">
        <v>2.92E-2</v>
      </c>
      <c r="I443" s="15">
        <v>-1.03E-2</v>
      </c>
      <c r="J443" s="15">
        <v>4.6600000000000003E-2</v>
      </c>
      <c r="K443" s="15">
        <v>7.5899999999999995E-2</v>
      </c>
      <c r="L443" s="15">
        <v>5.0199999999999995E-2</v>
      </c>
      <c r="M443" s="15">
        <v>9.4600000000000004E-2</v>
      </c>
      <c r="N443" s="15">
        <v>5.5399999999999998E-2</v>
      </c>
      <c r="O443" s="15">
        <v>1.8600000000000002E-2</v>
      </c>
      <c r="P443" s="15">
        <v>2.4199999999999999E-2</v>
      </c>
      <c r="Q443" s="15">
        <v>1.6899999999999998E-2</v>
      </c>
      <c r="R443" s="7"/>
    </row>
    <row r="444" spans="1:18" x14ac:dyDescent="0.25">
      <c r="A444">
        <v>201011</v>
      </c>
      <c r="B444" s="15">
        <v>-2.3E-3</v>
      </c>
      <c r="C444" s="15">
        <v>5.96E-2</v>
      </c>
      <c r="D444" s="15">
        <v>5.1500000000000004E-2</v>
      </c>
      <c r="E444" s="15">
        <v>8.4199999999999997E-2</v>
      </c>
      <c r="F444" s="15">
        <v>5.4299999999999994E-2</v>
      </c>
      <c r="G444" s="15">
        <v>6.6E-3</v>
      </c>
      <c r="H444" s="15">
        <v>-4.07E-2</v>
      </c>
      <c r="I444" s="15">
        <v>2.0400000000000001E-2</v>
      </c>
      <c r="J444" s="15">
        <v>2.9300000000000003E-2</v>
      </c>
      <c r="K444" s="15">
        <v>3.3700000000000001E-2</v>
      </c>
      <c r="L444" s="15">
        <v>2.1499999999999998E-2</v>
      </c>
      <c r="M444" s="15">
        <v>7.5800000000000006E-2</v>
      </c>
      <c r="N444" s="15">
        <v>7.1999999999999998E-3</v>
      </c>
      <c r="O444" s="15">
        <v>-1.3300000000000001E-2</v>
      </c>
      <c r="P444" s="15">
        <v>5.0499999999999996E-2</v>
      </c>
      <c r="Q444" s="15">
        <v>-2.8000000000000004E-3</v>
      </c>
      <c r="R444" s="7"/>
    </row>
    <row r="445" spans="1:18" x14ac:dyDescent="0.25">
      <c r="A445">
        <v>201012</v>
      </c>
      <c r="B445" s="15">
        <v>4.5499999999999999E-2</v>
      </c>
      <c r="C445" s="15">
        <v>0.14130000000000001</v>
      </c>
      <c r="D445" s="15">
        <v>9.2300000000000007E-2</v>
      </c>
      <c r="E445" s="15">
        <v>1.1399999999999999E-2</v>
      </c>
      <c r="F445" s="15">
        <v>6.5500000000000003E-2</v>
      </c>
      <c r="G445" s="15">
        <v>7.2900000000000006E-2</v>
      </c>
      <c r="H445" s="15">
        <v>4.4400000000000002E-2</v>
      </c>
      <c r="I445" s="15">
        <v>0.13300000000000001</v>
      </c>
      <c r="J445" s="15">
        <v>0.1331</v>
      </c>
      <c r="K445" s="15">
        <v>6.0599999999999994E-2</v>
      </c>
      <c r="L445" s="15">
        <v>6.08E-2</v>
      </c>
      <c r="M445" s="15">
        <v>7.3899999999999993E-2</v>
      </c>
      <c r="N445" s="15">
        <v>3.9199999999999999E-2</v>
      </c>
      <c r="O445" s="15">
        <v>3.2199999999999999E-2</v>
      </c>
      <c r="P445" s="15">
        <v>1.61E-2</v>
      </c>
      <c r="Q445" s="15">
        <v>0.1056</v>
      </c>
      <c r="R445" s="7"/>
    </row>
    <row r="446" spans="1:18" x14ac:dyDescent="0.25">
      <c r="A446">
        <v>201101</v>
      </c>
      <c r="B446" s="15">
        <v>-1.95E-2</v>
      </c>
      <c r="C446" s="15">
        <v>-4.87E-2</v>
      </c>
      <c r="D446" s="15">
        <v>7.2000000000000008E-2</v>
      </c>
      <c r="E446" s="15">
        <v>-3.5499999999999997E-2</v>
      </c>
      <c r="F446" s="15">
        <v>-2.0400000000000001E-2</v>
      </c>
      <c r="G446" s="15">
        <v>1.72E-2</v>
      </c>
      <c r="H446" s="15">
        <v>-1.9099999999999999E-2</v>
      </c>
      <c r="I446" s="15">
        <v>3.7499999999999999E-2</v>
      </c>
      <c r="J446" s="15">
        <v>4.0199999999999993E-2</v>
      </c>
      <c r="K446" s="15">
        <v>2.4500000000000001E-2</v>
      </c>
      <c r="L446" s="15">
        <v>4.9500000000000002E-2</v>
      </c>
      <c r="M446" s="15">
        <v>-3.0999999999999999E-3</v>
      </c>
      <c r="N446" s="15">
        <v>2.5899999999999999E-2</v>
      </c>
      <c r="O446" s="15">
        <v>2.2000000000000002E-2</v>
      </c>
      <c r="P446" s="15">
        <v>-1.8200000000000001E-2</v>
      </c>
      <c r="Q446" s="15">
        <v>2.5399999999999999E-2</v>
      </c>
      <c r="R446" s="7"/>
    </row>
    <row r="447" spans="1:18" x14ac:dyDescent="0.25">
      <c r="A447">
        <v>201102</v>
      </c>
      <c r="B447" s="15">
        <v>2.8900000000000002E-2</v>
      </c>
      <c r="C447" s="15">
        <v>9.5999999999999992E-3</v>
      </c>
      <c r="D447" s="15">
        <v>8.0100000000000005E-2</v>
      </c>
      <c r="E447" s="15">
        <v>8.3800000000000013E-2</v>
      </c>
      <c r="F447" s="15">
        <v>3.9800000000000002E-2</v>
      </c>
      <c r="G447" s="15">
        <v>5.0300000000000004E-2</v>
      </c>
      <c r="H447" s="15">
        <v>3.7400000000000003E-2</v>
      </c>
      <c r="I447" s="15">
        <v>2.4E-2</v>
      </c>
      <c r="J447" s="15">
        <v>3.95E-2</v>
      </c>
      <c r="K447" s="15">
        <v>2.6699999999999998E-2</v>
      </c>
      <c r="L447" s="15">
        <v>2.8199999999999999E-2</v>
      </c>
      <c r="M447" s="15">
        <v>-2.4900000000000002E-2</v>
      </c>
      <c r="N447" s="15">
        <v>1.8600000000000002E-2</v>
      </c>
      <c r="O447" s="15">
        <v>2.4300000000000002E-2</v>
      </c>
      <c r="P447" s="15">
        <v>1.5900000000000001E-2</v>
      </c>
      <c r="Q447" s="15">
        <v>2.7200000000000002E-2</v>
      </c>
      <c r="R447" s="7"/>
    </row>
    <row r="448" spans="1:18" x14ac:dyDescent="0.25">
      <c r="A448">
        <v>201103</v>
      </c>
      <c r="B448" s="15">
        <v>2.2200000000000001E-2</v>
      </c>
      <c r="C448" s="15">
        <v>2.69E-2</v>
      </c>
      <c r="D448" s="15">
        <v>1.6899999999999998E-2</v>
      </c>
      <c r="E448" s="15">
        <v>-3.4500000000000003E-2</v>
      </c>
      <c r="F448" s="15">
        <v>5.21E-2</v>
      </c>
      <c r="G448" s="15">
        <v>1.6500000000000001E-2</v>
      </c>
      <c r="H448" s="15">
        <v>1.95E-2</v>
      </c>
      <c r="I448" s="15">
        <v>1.6899999999999998E-2</v>
      </c>
      <c r="J448" s="15">
        <v>7.6E-3</v>
      </c>
      <c r="K448" s="15">
        <v>3.0200000000000001E-2</v>
      </c>
      <c r="L448" s="15">
        <v>-1.01E-2</v>
      </c>
      <c r="M448" s="15">
        <v>2.12E-2</v>
      </c>
      <c r="N448" s="15">
        <v>2.9399999999999999E-2</v>
      </c>
      <c r="O448" s="15">
        <v>9.1999999999999998E-3</v>
      </c>
      <c r="P448" s="15">
        <v>9.1000000000000004E-3</v>
      </c>
      <c r="Q448" s="15">
        <v>-1.5800000000000002E-2</v>
      </c>
      <c r="R448" s="7"/>
    </row>
    <row r="449" spans="1:18" x14ac:dyDescent="0.25">
      <c r="A449">
        <v>201104</v>
      </c>
      <c r="B449" s="15">
        <v>4.1100000000000005E-2</v>
      </c>
      <c r="C449" s="15">
        <v>-1.2199999999999999E-2</v>
      </c>
      <c r="D449" s="15">
        <v>1.77E-2</v>
      </c>
      <c r="E449" s="15">
        <v>7.85E-2</v>
      </c>
      <c r="F449" s="15">
        <v>5.2000000000000005E-2</v>
      </c>
      <c r="G449" s="15">
        <v>5.1399999999999994E-2</v>
      </c>
      <c r="H449" s="15">
        <v>6.5000000000000002E-2</v>
      </c>
      <c r="I449" s="15">
        <v>-2.3E-3</v>
      </c>
      <c r="J449" s="15">
        <v>5.1999999999999998E-3</v>
      </c>
      <c r="K449" s="15">
        <v>2.0799999999999999E-2</v>
      </c>
      <c r="L449" s="15">
        <v>2.64E-2</v>
      </c>
      <c r="M449" s="15">
        <v>1.7399999999999999E-2</v>
      </c>
      <c r="N449" s="15">
        <v>2.9900000000000003E-2</v>
      </c>
      <c r="O449" s="15">
        <v>0.04</v>
      </c>
      <c r="P449" s="15">
        <v>5.1200000000000002E-2</v>
      </c>
      <c r="Q449" s="15">
        <v>6.7000000000000002E-3</v>
      </c>
      <c r="R449" s="7"/>
    </row>
    <row r="450" spans="1:18" x14ac:dyDescent="0.25">
      <c r="A450">
        <v>201105</v>
      </c>
      <c r="B450" s="15">
        <v>1.8500000000000003E-2</v>
      </c>
      <c r="C450" s="15">
        <v>-5.7599999999999998E-2</v>
      </c>
      <c r="D450" s="15">
        <v>-4.4900000000000002E-2</v>
      </c>
      <c r="E450" s="15">
        <v>7.9000000000000008E-3</v>
      </c>
      <c r="F450" s="15">
        <v>7.7000000000000002E-3</v>
      </c>
      <c r="G450" s="15">
        <v>-3.61E-2</v>
      </c>
      <c r="H450" s="15">
        <v>3.1300000000000001E-2</v>
      </c>
      <c r="I450" s="15">
        <v>-3.0499999999999999E-2</v>
      </c>
      <c r="J450" s="15">
        <v>-5.2999999999999999E-2</v>
      </c>
      <c r="K450" s="15">
        <v>-2.2000000000000001E-3</v>
      </c>
      <c r="L450" s="15">
        <v>-2.9300000000000003E-2</v>
      </c>
      <c r="M450" s="15">
        <v>-2.7000000000000003E-2</v>
      </c>
      <c r="N450" s="15">
        <v>-8.1000000000000013E-3</v>
      </c>
      <c r="O450" s="15">
        <v>1.32E-2</v>
      </c>
      <c r="P450" s="15">
        <v>1.52E-2</v>
      </c>
      <c r="Q450" s="15">
        <v>-2.6699999999999998E-2</v>
      </c>
      <c r="R450" s="7"/>
    </row>
    <row r="451" spans="1:18" x14ac:dyDescent="0.25">
      <c r="A451">
        <v>201106</v>
      </c>
      <c r="B451" s="15">
        <v>-1E-4</v>
      </c>
      <c r="C451" s="15">
        <v>-3.2099999999999997E-2</v>
      </c>
      <c r="D451" s="15">
        <v>-2.18E-2</v>
      </c>
      <c r="E451" s="15">
        <v>3.0899999999999997E-2</v>
      </c>
      <c r="F451" s="15">
        <v>7.8000000000000005E-3</v>
      </c>
      <c r="G451" s="15">
        <v>-3.5999999999999999E-3</v>
      </c>
      <c r="H451" s="15">
        <v>-2.7200000000000002E-2</v>
      </c>
      <c r="I451" s="15">
        <v>-2.4E-2</v>
      </c>
      <c r="J451" s="15">
        <v>-1.95E-2</v>
      </c>
      <c r="K451" s="15">
        <v>-8.8999999999999999E-3</v>
      </c>
      <c r="L451" s="15">
        <v>-2.8799999999999999E-2</v>
      </c>
      <c r="M451" s="15">
        <v>-8.8999999999999999E-3</v>
      </c>
      <c r="N451" s="15">
        <v>8.0000000000000004E-4</v>
      </c>
      <c r="O451" s="15">
        <v>-3.4000000000000002E-3</v>
      </c>
      <c r="P451" s="15">
        <v>-1.01E-2</v>
      </c>
      <c r="Q451" s="15">
        <v>-2.3099999999999999E-2</v>
      </c>
      <c r="R451" s="7"/>
    </row>
    <row r="452" spans="1:18" x14ac:dyDescent="0.25">
      <c r="A452">
        <v>201107</v>
      </c>
      <c r="B452" s="15">
        <v>-1.6399999999999998E-2</v>
      </c>
      <c r="C452" s="15">
        <v>3.0000000000000001E-3</v>
      </c>
      <c r="D452" s="15">
        <v>5.1000000000000004E-3</v>
      </c>
      <c r="E452" s="15">
        <v>1.78E-2</v>
      </c>
      <c r="F452" s="15">
        <v>-6.2199999999999998E-2</v>
      </c>
      <c r="G452" s="15">
        <v>-1.6500000000000001E-2</v>
      </c>
      <c r="H452" s="15">
        <v>-2.06E-2</v>
      </c>
      <c r="I452" s="15">
        <v>-5.6100000000000004E-2</v>
      </c>
      <c r="J452" s="15">
        <v>-6.2300000000000001E-2</v>
      </c>
      <c r="K452" s="15">
        <v>-5.8499999999999996E-2</v>
      </c>
      <c r="L452" s="15">
        <v>-2.2499999999999999E-2</v>
      </c>
      <c r="M452" s="15">
        <v>-8.6599999999999996E-2</v>
      </c>
      <c r="N452" s="15">
        <v>-5.62E-2</v>
      </c>
      <c r="O452" s="15">
        <v>-3.3E-3</v>
      </c>
      <c r="P452" s="15">
        <v>6.7000000000000002E-3</v>
      </c>
      <c r="Q452" s="15">
        <v>-3.9100000000000003E-2</v>
      </c>
      <c r="R452" s="7"/>
    </row>
    <row r="453" spans="1:18" x14ac:dyDescent="0.25">
      <c r="A453">
        <v>201108</v>
      </c>
      <c r="B453" s="15">
        <v>-2.8000000000000004E-3</v>
      </c>
      <c r="C453" s="15">
        <v>-6.7699999999999996E-2</v>
      </c>
      <c r="D453" s="15">
        <v>-9.6999999999999989E-2</v>
      </c>
      <c r="E453" s="15">
        <v>-5.8899999999999994E-2</v>
      </c>
      <c r="F453" s="15">
        <v>-7.1500000000000008E-2</v>
      </c>
      <c r="G453" s="15">
        <v>-8.5800000000000001E-2</v>
      </c>
      <c r="H453" s="15">
        <v>3.4999999999999996E-3</v>
      </c>
      <c r="I453" s="15">
        <v>-7.1199999999999999E-2</v>
      </c>
      <c r="J453" s="15">
        <v>-0.1321</v>
      </c>
      <c r="K453" s="15">
        <v>-6.2699999999999992E-2</v>
      </c>
      <c r="L453" s="15">
        <v>-7.8E-2</v>
      </c>
      <c r="M453" s="15">
        <v>-9.3399999999999997E-2</v>
      </c>
      <c r="N453" s="15">
        <v>-6.88E-2</v>
      </c>
      <c r="O453" s="15">
        <v>1.7000000000000001E-3</v>
      </c>
      <c r="P453" s="15">
        <v>-2.58E-2</v>
      </c>
      <c r="Q453" s="15">
        <v>-9.3299999999999994E-2</v>
      </c>
      <c r="R453" s="7"/>
    </row>
    <row r="454" spans="1:18" x14ac:dyDescent="0.25">
      <c r="A454">
        <v>201109</v>
      </c>
      <c r="B454" s="15">
        <v>-4.4400000000000002E-2</v>
      </c>
      <c r="C454" s="15">
        <v>-0.24510000000000001</v>
      </c>
      <c r="D454" s="15">
        <v>-0.1176</v>
      </c>
      <c r="E454" s="15">
        <v>-5.79E-2</v>
      </c>
      <c r="F454" s="15">
        <v>-0.13170000000000001</v>
      </c>
      <c r="G454" s="15">
        <v>-0.16769999999999999</v>
      </c>
      <c r="H454" s="15">
        <v>-3.1800000000000002E-2</v>
      </c>
      <c r="I454" s="15">
        <v>-9.6099999999999991E-2</v>
      </c>
      <c r="J454" s="15">
        <v>-0.20569999999999999</v>
      </c>
      <c r="K454" s="15">
        <v>-0.12179999999999999</v>
      </c>
      <c r="L454" s="15">
        <v>-7.7699999999999991E-2</v>
      </c>
      <c r="M454" s="15">
        <v>-0.1177</v>
      </c>
      <c r="N454" s="15">
        <v>-7.2999999999999995E-2</v>
      </c>
      <c r="O454" s="15">
        <v>-1.61E-2</v>
      </c>
      <c r="P454" s="15">
        <v>-3.1899999999999998E-2</v>
      </c>
      <c r="Q454" s="15">
        <v>-0.11289999999999999</v>
      </c>
      <c r="R454" s="7"/>
    </row>
    <row r="455" spans="1:18" x14ac:dyDescent="0.25">
      <c r="A455">
        <v>201110</v>
      </c>
      <c r="B455" s="15">
        <v>3.9599999999999996E-2</v>
      </c>
      <c r="C455" s="15">
        <v>0.22030000000000002</v>
      </c>
      <c r="D455" s="15">
        <v>0.1603</v>
      </c>
      <c r="E455" s="15">
        <v>0.1638</v>
      </c>
      <c r="F455" s="15">
        <v>0.16579999999999998</v>
      </c>
      <c r="G455" s="15">
        <v>0.18359999999999999</v>
      </c>
      <c r="H455" s="15">
        <v>4.7800000000000002E-2</v>
      </c>
      <c r="I455" s="15">
        <v>0.15579999999999999</v>
      </c>
      <c r="J455" s="15">
        <v>0.18149999999999999</v>
      </c>
      <c r="K455" s="15">
        <v>0.1787</v>
      </c>
      <c r="L455" s="15">
        <v>0.1474</v>
      </c>
      <c r="M455" s="15">
        <v>0.2104</v>
      </c>
      <c r="N455" s="15">
        <v>0.1303</v>
      </c>
      <c r="O455" s="15">
        <v>6.7000000000000004E-2</v>
      </c>
      <c r="P455" s="15">
        <v>8.77E-2</v>
      </c>
      <c r="Q455" s="15">
        <v>0.13500000000000001</v>
      </c>
      <c r="R455" s="7"/>
    </row>
    <row r="456" spans="1:18" x14ac:dyDescent="0.25">
      <c r="A456">
        <v>201111</v>
      </c>
      <c r="B456" s="15">
        <v>5.6000000000000008E-3</v>
      </c>
      <c r="C456" s="15">
        <v>-8.9999999999999998E-4</v>
      </c>
      <c r="D456" s="15">
        <v>2.3799999999999998E-2</v>
      </c>
      <c r="E456" s="15">
        <v>-3.5499999999999997E-2</v>
      </c>
      <c r="F456" s="15">
        <v>-3.4000000000000002E-2</v>
      </c>
      <c r="G456" s="15">
        <v>-1.1899999999999999E-2</v>
      </c>
      <c r="H456" s="15">
        <v>2.6000000000000002E-2</v>
      </c>
      <c r="I456" s="15">
        <v>6.3399999999999998E-2</v>
      </c>
      <c r="J456" s="15">
        <v>-1.4499999999999999E-2</v>
      </c>
      <c r="K456" s="15">
        <v>3.8199999999999998E-2</v>
      </c>
      <c r="L456" s="15">
        <v>-1.2199999999999999E-2</v>
      </c>
      <c r="M456" s="15">
        <v>-7.1300000000000002E-2</v>
      </c>
      <c r="N456" s="15">
        <v>1.6899999999999998E-2</v>
      </c>
      <c r="O456" s="15">
        <v>0.01</v>
      </c>
      <c r="P456" s="15">
        <v>2.0999999999999999E-3</v>
      </c>
      <c r="Q456" s="15">
        <v>-3.1600000000000003E-2</v>
      </c>
      <c r="R456" s="7"/>
    </row>
    <row r="457" spans="1:18" x14ac:dyDescent="0.25">
      <c r="A457">
        <v>201112</v>
      </c>
      <c r="B457" s="15">
        <v>2.0799999999999999E-2</v>
      </c>
      <c r="C457" s="15">
        <v>-8.3499999999999991E-2</v>
      </c>
      <c r="D457" s="15">
        <v>-1E-4</v>
      </c>
      <c r="E457" s="15">
        <v>-2.1099999999999997E-2</v>
      </c>
      <c r="F457" s="15">
        <v>-2.7000000000000003E-2</v>
      </c>
      <c r="G457" s="15">
        <v>2.5999999999999999E-3</v>
      </c>
      <c r="H457" s="15">
        <v>3.8699999999999998E-2</v>
      </c>
      <c r="I457" s="15">
        <v>3.0600000000000002E-2</v>
      </c>
      <c r="J457" s="15">
        <v>-5.2499999999999998E-2</v>
      </c>
      <c r="K457" s="15">
        <v>-4.0099999999999997E-2</v>
      </c>
      <c r="L457" s="15">
        <v>-1.46E-2</v>
      </c>
      <c r="M457" s="15">
        <v>-9.1000000000000004E-3</v>
      </c>
      <c r="N457" s="15">
        <v>8.8999999999999999E-3</v>
      </c>
      <c r="O457" s="15">
        <v>2.9300000000000003E-2</v>
      </c>
      <c r="P457" s="15">
        <v>4.7999999999999996E-3</v>
      </c>
      <c r="Q457" s="15">
        <v>1.7600000000000001E-2</v>
      </c>
      <c r="R457" s="7"/>
    </row>
    <row r="458" spans="1:18" x14ac:dyDescent="0.25">
      <c r="A458">
        <v>201201</v>
      </c>
      <c r="B458" s="15">
        <v>6.7000000000000002E-3</v>
      </c>
      <c r="C458" s="15">
        <v>0.11990000000000001</v>
      </c>
      <c r="D458" s="15">
        <v>1.0500000000000001E-2</v>
      </c>
      <c r="E458" s="15">
        <v>9.4899999999999998E-2</v>
      </c>
      <c r="F458" s="15">
        <v>0.10339999999999999</v>
      </c>
      <c r="G458" s="15">
        <v>0.1148</v>
      </c>
      <c r="H458" s="15">
        <v>-1.11E-2</v>
      </c>
      <c r="I458" s="15">
        <v>7.51E-2</v>
      </c>
      <c r="J458" s="15">
        <v>0.1234</v>
      </c>
      <c r="K458" s="15">
        <v>6.2800000000000009E-2</v>
      </c>
      <c r="L458" s="15">
        <v>0.1152</v>
      </c>
      <c r="M458" s="15">
        <v>0.1263</v>
      </c>
      <c r="N458" s="15">
        <v>5.7300000000000004E-2</v>
      </c>
      <c r="O458" s="15">
        <v>-2.7099999999999999E-2</v>
      </c>
      <c r="P458" s="15">
        <v>3.2599999999999997E-2</v>
      </c>
      <c r="Q458" s="15">
        <v>7.3700000000000002E-2</v>
      </c>
      <c r="R458" s="7"/>
    </row>
    <row r="459" spans="1:18" x14ac:dyDescent="0.25">
      <c r="A459">
        <v>201202</v>
      </c>
      <c r="B459" s="15">
        <v>9.8999999999999991E-3</v>
      </c>
      <c r="C459" s="15">
        <v>-4.36E-2</v>
      </c>
      <c r="D459" s="15">
        <v>6.6600000000000006E-2</v>
      </c>
      <c r="E459" s="15">
        <v>6.3200000000000006E-2</v>
      </c>
      <c r="F459" s="15">
        <v>0.10390000000000001</v>
      </c>
      <c r="G459" s="15">
        <v>1.9099999999999999E-2</v>
      </c>
      <c r="H459" s="15">
        <v>3.5499999999999997E-2</v>
      </c>
      <c r="I459" s="15">
        <v>5.6399999999999999E-2</v>
      </c>
      <c r="J459" s="15">
        <v>-2.69E-2</v>
      </c>
      <c r="K459" s="15">
        <v>5.5E-2</v>
      </c>
      <c r="L459" s="15">
        <v>6.6400000000000001E-2</v>
      </c>
      <c r="M459" s="15">
        <v>5.1100000000000007E-2</v>
      </c>
      <c r="N459" s="15">
        <v>1.7000000000000001E-2</v>
      </c>
      <c r="O459" s="15">
        <v>1.3100000000000001E-2</v>
      </c>
      <c r="P459" s="15">
        <v>2.81E-2</v>
      </c>
      <c r="Q459" s="15">
        <v>6.5099999999999991E-2</v>
      </c>
      <c r="R459" s="7"/>
    </row>
    <row r="460" spans="1:18" x14ac:dyDescent="0.25">
      <c r="A460">
        <v>201203</v>
      </c>
      <c r="B460" s="15">
        <v>3.7000000000000005E-2</v>
      </c>
      <c r="C460" s="15">
        <v>-7.1399999999999991E-2</v>
      </c>
      <c r="D460" s="15">
        <v>-3.0899999999999997E-2</v>
      </c>
      <c r="E460" s="15">
        <v>1.7600000000000001E-2</v>
      </c>
      <c r="F460" s="15">
        <v>4.53E-2</v>
      </c>
      <c r="G460" s="15">
        <v>2.4700000000000003E-2</v>
      </c>
      <c r="H460" s="15">
        <v>3.85E-2</v>
      </c>
      <c r="I460" s="15">
        <v>5.6500000000000002E-2</v>
      </c>
      <c r="J460" s="15">
        <v>6.5000000000000006E-3</v>
      </c>
      <c r="K460" s="15">
        <v>1.9799999999999998E-2</v>
      </c>
      <c r="L460" s="15">
        <v>3.6200000000000003E-2</v>
      </c>
      <c r="M460" s="15">
        <v>7.7000000000000002E-3</v>
      </c>
      <c r="N460" s="15">
        <v>4.3E-3</v>
      </c>
      <c r="O460" s="15">
        <v>1.4800000000000001E-2</v>
      </c>
      <c r="P460" s="15">
        <v>4.7500000000000001E-2</v>
      </c>
      <c r="Q460" s="15">
        <v>7.0000000000000007E-2</v>
      </c>
      <c r="R460" s="7"/>
    </row>
    <row r="461" spans="1:18" x14ac:dyDescent="0.25">
      <c r="A461">
        <v>201204</v>
      </c>
      <c r="B461" s="15">
        <v>8.3999999999999995E-3</v>
      </c>
      <c r="C461" s="15">
        <v>-7.3000000000000001E-3</v>
      </c>
      <c r="D461" s="15">
        <v>-1.5700000000000002E-2</v>
      </c>
      <c r="E461" s="15">
        <v>-8.9999999999999998E-4</v>
      </c>
      <c r="F461" s="15">
        <v>-4.1900000000000007E-2</v>
      </c>
      <c r="G461" s="15">
        <v>3.3E-3</v>
      </c>
      <c r="H461" s="15">
        <v>2.8000000000000004E-3</v>
      </c>
      <c r="I461" s="15">
        <v>2.1499999999999998E-2</v>
      </c>
      <c r="J461" s="15">
        <v>-4.2599999999999999E-2</v>
      </c>
      <c r="K461" s="15">
        <v>-1.11E-2</v>
      </c>
      <c r="L461" s="15">
        <v>-2.7200000000000002E-2</v>
      </c>
      <c r="M461" s="15">
        <v>-3.85E-2</v>
      </c>
      <c r="N461" s="15">
        <v>6.3E-3</v>
      </c>
      <c r="O461" s="15">
        <v>1.7299999999999999E-2</v>
      </c>
      <c r="P461" s="15">
        <v>1.0700000000000001E-2</v>
      </c>
      <c r="Q461" s="15">
        <v>-2.35E-2</v>
      </c>
      <c r="R461" s="7"/>
    </row>
    <row r="462" spans="1:18" x14ac:dyDescent="0.25">
      <c r="A462">
        <v>201205</v>
      </c>
      <c r="B462" s="15">
        <v>-1.4999999999999999E-2</v>
      </c>
      <c r="C462" s="15">
        <v>-0.14580000000000001</v>
      </c>
      <c r="D462" s="15">
        <v>-0.10339999999999999</v>
      </c>
      <c r="E462" s="15">
        <v>-5.4800000000000001E-2</v>
      </c>
      <c r="F462" s="15">
        <v>-0.11220000000000001</v>
      </c>
      <c r="G462" s="15">
        <v>-9.5299999999999996E-2</v>
      </c>
      <c r="H462" s="15">
        <v>-2.7699999999999999E-2</v>
      </c>
      <c r="I462" s="15">
        <v>-6.4699999999999994E-2</v>
      </c>
      <c r="J462" s="15">
        <v>-0.14560000000000001</v>
      </c>
      <c r="K462" s="15">
        <v>-5.4900000000000004E-2</v>
      </c>
      <c r="L462" s="15">
        <v>-8.539999999999999E-2</v>
      </c>
      <c r="M462" s="15">
        <v>-7.7800000000000008E-2</v>
      </c>
      <c r="N462" s="15">
        <v>-4.7800000000000002E-2</v>
      </c>
      <c r="O462" s="15">
        <v>-9.1000000000000004E-3</v>
      </c>
      <c r="P462" s="15">
        <v>-1.5100000000000001E-2</v>
      </c>
      <c r="Q462" s="15">
        <v>-9.2100000000000015E-2</v>
      </c>
      <c r="R462" s="7"/>
    </row>
    <row r="463" spans="1:18" x14ac:dyDescent="0.25">
      <c r="A463">
        <v>201206</v>
      </c>
      <c r="B463" s="15">
        <v>3.85E-2</v>
      </c>
      <c r="C463" s="15">
        <v>6.3600000000000004E-2</v>
      </c>
      <c r="D463" s="15">
        <v>5.8200000000000002E-2</v>
      </c>
      <c r="E463" s="15">
        <v>-9.6000000000000002E-2</v>
      </c>
      <c r="F463" s="15">
        <v>-8.5000000000000006E-3</v>
      </c>
      <c r="G463" s="15">
        <v>3.2599999999999997E-2</v>
      </c>
      <c r="H463" s="15">
        <v>5.0799999999999998E-2</v>
      </c>
      <c r="I463" s="15">
        <v>6.2199999999999998E-2</v>
      </c>
      <c r="J463" s="15">
        <v>4.7599999999999996E-2</v>
      </c>
      <c r="K463" s="15">
        <v>0</v>
      </c>
      <c r="L463" s="15">
        <v>1.3899999999999999E-2</v>
      </c>
      <c r="M463" s="15">
        <v>-6.0299999999999999E-2</v>
      </c>
      <c r="N463" s="15">
        <v>3.5000000000000003E-2</v>
      </c>
      <c r="O463" s="15">
        <v>3.4000000000000002E-2</v>
      </c>
      <c r="P463" s="15">
        <v>2.1600000000000001E-2</v>
      </c>
      <c r="Q463" s="15">
        <v>4.6199999999999998E-2</v>
      </c>
      <c r="R463" s="7"/>
    </row>
    <row r="464" spans="1:18" x14ac:dyDescent="0.25">
      <c r="A464">
        <v>201207</v>
      </c>
      <c r="B464" s="15">
        <v>3.3E-3</v>
      </c>
      <c r="C464" s="15">
        <v>-4.07E-2</v>
      </c>
      <c r="D464" s="15">
        <v>3.0699999999999998E-2</v>
      </c>
      <c r="E464" s="15">
        <v>1.84E-2</v>
      </c>
      <c r="F464" s="15">
        <v>2.07E-2</v>
      </c>
      <c r="G464" s="15">
        <v>-1.2800000000000001E-2</v>
      </c>
      <c r="H464" s="15">
        <v>3.04E-2</v>
      </c>
      <c r="I464" s="15">
        <v>-2.8900000000000002E-2</v>
      </c>
      <c r="J464" s="15">
        <v>-1.32E-2</v>
      </c>
      <c r="K464" s="15">
        <v>2.87E-2</v>
      </c>
      <c r="L464" s="15">
        <v>1.23E-2</v>
      </c>
      <c r="M464" s="15">
        <v>4.5999999999999999E-3</v>
      </c>
      <c r="N464" s="15">
        <v>-8.5000000000000006E-3</v>
      </c>
      <c r="O464" s="15">
        <v>3.6200000000000003E-2</v>
      </c>
      <c r="P464" s="15">
        <v>1.67E-2</v>
      </c>
      <c r="Q464" s="15">
        <v>-1.1000000000000001E-2</v>
      </c>
      <c r="R464" s="7"/>
    </row>
    <row r="465" spans="1:18" x14ac:dyDescent="0.25">
      <c r="A465">
        <v>201208</v>
      </c>
      <c r="B465" s="15">
        <v>-1.5E-3</v>
      </c>
      <c r="C465" s="15">
        <v>5.0099999999999999E-2</v>
      </c>
      <c r="D465" s="15">
        <v>2.4E-2</v>
      </c>
      <c r="E465" s="15">
        <v>8.1199999999999994E-2</v>
      </c>
      <c r="F465" s="15">
        <v>6.2400000000000004E-2</v>
      </c>
      <c r="G465" s="15">
        <v>2.7900000000000001E-2</v>
      </c>
      <c r="H465" s="15">
        <v>-4.4000000000000003E-3</v>
      </c>
      <c r="I465" s="15">
        <v>8.8900000000000007E-2</v>
      </c>
      <c r="J465" s="15">
        <v>-1.21E-2</v>
      </c>
      <c r="K465" s="15">
        <v>7.7000000000000002E-3</v>
      </c>
      <c r="L465" s="15">
        <v>5.3200000000000004E-2</v>
      </c>
      <c r="M465" s="15">
        <v>2.9300000000000003E-2</v>
      </c>
      <c r="N465" s="15">
        <v>4.7999999999999996E-3</v>
      </c>
      <c r="O465" s="15">
        <v>-3.44E-2</v>
      </c>
      <c r="P465" s="15">
        <v>2.5499999999999998E-2</v>
      </c>
      <c r="Q465" s="15">
        <v>4.1799999999999997E-2</v>
      </c>
      <c r="R465" s="7"/>
    </row>
    <row r="466" spans="1:18" x14ac:dyDescent="0.25">
      <c r="A466">
        <v>201209</v>
      </c>
      <c r="B466" s="15">
        <v>1.09E-2</v>
      </c>
      <c r="C466" s="15">
        <v>8.5800000000000001E-2</v>
      </c>
      <c r="D466" s="15">
        <v>3.8399999999999997E-2</v>
      </c>
      <c r="E466" s="15">
        <v>2.0000000000000001E-4</v>
      </c>
      <c r="F466" s="15">
        <v>3.2599999999999997E-2</v>
      </c>
      <c r="G466" s="15">
        <v>1.06E-2</v>
      </c>
      <c r="H466" s="15">
        <v>2.7999999999999997E-2</v>
      </c>
      <c r="I466" s="15">
        <v>5.6100000000000004E-2</v>
      </c>
      <c r="J466" s="15">
        <v>3.8399999999999997E-2</v>
      </c>
      <c r="K466" s="15">
        <v>3.85E-2</v>
      </c>
      <c r="L466" s="15">
        <v>-2.0999999999999999E-3</v>
      </c>
      <c r="M466" s="15">
        <v>2.63E-2</v>
      </c>
      <c r="N466" s="15">
        <v>-1.0800000000000001E-2</v>
      </c>
      <c r="O466" s="15">
        <v>2.1099999999999997E-2</v>
      </c>
      <c r="P466" s="15">
        <v>1.7299999999999999E-2</v>
      </c>
      <c r="Q466" s="15">
        <v>3.6400000000000002E-2</v>
      </c>
      <c r="R466" s="7"/>
    </row>
    <row r="467" spans="1:18" x14ac:dyDescent="0.25">
      <c r="A467">
        <v>201210</v>
      </c>
      <c r="B467" s="15">
        <v>-1.84E-2</v>
      </c>
      <c r="C467" s="15">
        <v>3.3099999999999997E-2</v>
      </c>
      <c r="D467" s="15">
        <v>-2.18E-2</v>
      </c>
      <c r="E467" s="15">
        <v>-6.8000000000000005E-3</v>
      </c>
      <c r="F467" s="15">
        <v>2.2700000000000001E-2</v>
      </c>
      <c r="G467" s="15">
        <v>-2.6600000000000002E-2</v>
      </c>
      <c r="H467" s="15">
        <v>-5.6000000000000008E-3</v>
      </c>
      <c r="I467" s="15">
        <v>3.2500000000000001E-2</v>
      </c>
      <c r="J467" s="15">
        <v>-7.8000000000000005E-3</v>
      </c>
      <c r="K467" s="15">
        <v>-7.3000000000000001E-3</v>
      </c>
      <c r="L467" s="15">
        <v>-5.9400000000000001E-2</v>
      </c>
      <c r="M467" s="15">
        <v>6.1200000000000004E-2</v>
      </c>
      <c r="N467" s="15">
        <v>2.1600000000000001E-2</v>
      </c>
      <c r="O467" s="15">
        <v>1.09E-2</v>
      </c>
      <c r="P467" s="15">
        <v>-2.3799999999999998E-2</v>
      </c>
      <c r="Q467" s="15">
        <v>1.9099999999999999E-2</v>
      </c>
      <c r="R467" s="7"/>
    </row>
    <row r="468" spans="1:18" x14ac:dyDescent="0.25">
      <c r="A468">
        <v>201211</v>
      </c>
      <c r="B468" s="15">
        <v>3.4000000000000002E-2</v>
      </c>
      <c r="C468" s="15">
        <v>-3.6699999999999997E-2</v>
      </c>
      <c r="D468" s="15">
        <v>-1.29E-2</v>
      </c>
      <c r="E468" s="15">
        <v>3.9300000000000002E-2</v>
      </c>
      <c r="F468" s="15">
        <v>1.9199999999999998E-2</v>
      </c>
      <c r="G468" s="15">
        <v>2.53E-2</v>
      </c>
      <c r="H468" s="15">
        <v>9.5999999999999992E-3</v>
      </c>
      <c r="I468" s="15">
        <v>5.0499999999999996E-2</v>
      </c>
      <c r="J468" s="15">
        <v>2.58E-2</v>
      </c>
      <c r="K468" s="15">
        <v>2.7699999999999999E-2</v>
      </c>
      <c r="L468" s="15">
        <v>1.6799999999999999E-2</v>
      </c>
      <c r="M468" s="15">
        <v>0.04</v>
      </c>
      <c r="N468" s="15">
        <v>1.44E-2</v>
      </c>
      <c r="O468" s="15">
        <v>-3.7599999999999995E-2</v>
      </c>
      <c r="P468" s="15">
        <v>6.6E-3</v>
      </c>
      <c r="Q468" s="15">
        <v>-9.4999999999999998E-3</v>
      </c>
      <c r="R468" s="7"/>
    </row>
    <row r="469" spans="1:18" x14ac:dyDescent="0.25">
      <c r="A469">
        <v>201212</v>
      </c>
      <c r="B469" s="15">
        <v>-1.29E-2</v>
      </c>
      <c r="C469" s="15">
        <v>4.4000000000000003E-3</v>
      </c>
      <c r="D469" s="15">
        <v>1.23E-2</v>
      </c>
      <c r="E469" s="15">
        <v>1.1000000000000001E-3</v>
      </c>
      <c r="F469" s="15">
        <v>5.0000000000000001E-3</v>
      </c>
      <c r="G469" s="15">
        <v>4.41E-2</v>
      </c>
      <c r="H469" s="15">
        <v>-1.78E-2</v>
      </c>
      <c r="I469" s="15">
        <v>7.0999999999999995E-3</v>
      </c>
      <c r="J469" s="15">
        <v>6.6000000000000003E-2</v>
      </c>
      <c r="K469" s="15">
        <v>1.66E-2</v>
      </c>
      <c r="L469" s="15">
        <v>3.4000000000000002E-3</v>
      </c>
      <c r="M469" s="15">
        <v>5.6600000000000004E-2</v>
      </c>
      <c r="N469" s="15">
        <v>2.7200000000000002E-2</v>
      </c>
      <c r="O469" s="15">
        <v>8.0000000000000004E-4</v>
      </c>
      <c r="P469" s="15">
        <v>-1.47E-2</v>
      </c>
      <c r="Q469" s="15">
        <v>4.4299999999999999E-2</v>
      </c>
      <c r="R469" s="7"/>
    </row>
    <row r="470" spans="1:18" x14ac:dyDescent="0.25">
      <c r="A470">
        <v>201301</v>
      </c>
      <c r="B470" s="15">
        <v>5.28E-2</v>
      </c>
      <c r="C470" s="15">
        <v>4.8999999999999998E-3</v>
      </c>
      <c r="D470" s="15">
        <v>7.6799999999999993E-2</v>
      </c>
      <c r="E470" s="15">
        <v>2.87E-2</v>
      </c>
      <c r="F470" s="15">
        <v>8.5099999999999995E-2</v>
      </c>
      <c r="G470" s="15">
        <v>4.9699999999999994E-2</v>
      </c>
      <c r="H470" s="15">
        <v>7.980000000000001E-2</v>
      </c>
      <c r="I470" s="15">
        <v>8.3100000000000007E-2</v>
      </c>
      <c r="J470" s="15">
        <v>4.2000000000000003E-2</v>
      </c>
      <c r="K470" s="15">
        <v>5.28E-2</v>
      </c>
      <c r="L470" s="15">
        <v>1.0200000000000001E-2</v>
      </c>
      <c r="M470" s="15">
        <v>3.1899999999999998E-2</v>
      </c>
      <c r="N470" s="15">
        <v>5.2499999999999998E-2</v>
      </c>
      <c r="O470" s="15">
        <v>5.0499999999999996E-2</v>
      </c>
      <c r="P470" s="15">
        <v>4.8399999999999999E-2</v>
      </c>
      <c r="Q470" s="15">
        <v>6.2400000000000004E-2</v>
      </c>
      <c r="R470" s="7"/>
    </row>
    <row r="471" spans="1:18" x14ac:dyDescent="0.25">
      <c r="A471">
        <v>201302</v>
      </c>
      <c r="B471" s="15">
        <v>3.9800000000000002E-2</v>
      </c>
      <c r="C471" s="15">
        <v>-6.93E-2</v>
      </c>
      <c r="D471" s="15">
        <v>7.7000000000000002E-3</v>
      </c>
      <c r="E471" s="15">
        <v>1.8500000000000003E-2</v>
      </c>
      <c r="F471" s="15">
        <v>2.4700000000000003E-2</v>
      </c>
      <c r="G471" s="15">
        <v>-7.3000000000000001E-3</v>
      </c>
      <c r="H471" s="15">
        <v>2.0099999999999996E-2</v>
      </c>
      <c r="I471" s="15">
        <v>-1.2999999999999999E-3</v>
      </c>
      <c r="J471" s="15">
        <v>-2.69E-2</v>
      </c>
      <c r="K471" s="15">
        <v>2.9700000000000001E-2</v>
      </c>
      <c r="L471" s="15">
        <v>4.0000000000000002E-4</v>
      </c>
      <c r="M471" s="15">
        <v>5.1999999999999998E-3</v>
      </c>
      <c r="N471" s="15">
        <v>3.44E-2</v>
      </c>
      <c r="O471" s="15">
        <v>2.2000000000000002E-2</v>
      </c>
      <c r="P471" s="15">
        <v>5.0000000000000001E-3</v>
      </c>
      <c r="Q471" s="15">
        <v>1.18E-2</v>
      </c>
      <c r="R471" s="7"/>
    </row>
    <row r="472" spans="1:18" x14ac:dyDescent="0.25">
      <c r="A472">
        <v>201303</v>
      </c>
      <c r="B472" s="15">
        <v>6.3E-2</v>
      </c>
      <c r="C472" s="15">
        <v>1.2E-2</v>
      </c>
      <c r="D472" s="15">
        <v>2.2000000000000002E-2</v>
      </c>
      <c r="E472" s="15">
        <v>3.3399999999999999E-2</v>
      </c>
      <c r="F472" s="15">
        <v>5.9699999999999996E-2</v>
      </c>
      <c r="G472" s="15">
        <v>1.09E-2</v>
      </c>
      <c r="H472" s="15">
        <v>4.5899999999999996E-2</v>
      </c>
      <c r="I472" s="15">
        <v>3.1699999999999999E-2</v>
      </c>
      <c r="J472" s="15">
        <v>2.0899999999999998E-2</v>
      </c>
      <c r="K472" s="15">
        <v>3.8599999999999995E-2</v>
      </c>
      <c r="L472" s="15">
        <v>2.1899999999999999E-2</v>
      </c>
      <c r="M472" s="15">
        <v>3.7400000000000003E-2</v>
      </c>
      <c r="N472" s="15">
        <v>5.2699999999999997E-2</v>
      </c>
      <c r="O472" s="15">
        <v>5.6799999999999996E-2</v>
      </c>
      <c r="P472" s="15">
        <v>5.3699999999999998E-2</v>
      </c>
      <c r="Q472" s="15">
        <v>4.5199999999999997E-2</v>
      </c>
      <c r="R472" s="7"/>
    </row>
    <row r="473" spans="1:18" x14ac:dyDescent="0.25">
      <c r="A473">
        <v>201304</v>
      </c>
      <c r="B473" s="15">
        <v>2.92E-2</v>
      </c>
      <c r="C473" s="15">
        <v>-9.6500000000000002E-2</v>
      </c>
      <c r="D473" s="15">
        <v>-1.3100000000000001E-2</v>
      </c>
      <c r="E473" s="15">
        <v>8.2299999999999998E-2</v>
      </c>
      <c r="F473" s="15">
        <v>6.0000000000000001E-3</v>
      </c>
      <c r="G473" s="15">
        <v>3.2799999999999996E-2</v>
      </c>
      <c r="H473" s="15">
        <v>3.2500000000000001E-2</v>
      </c>
      <c r="I473" s="15">
        <v>1.7399999999999999E-2</v>
      </c>
      <c r="J473" s="15">
        <v>-4.3799999999999999E-2</v>
      </c>
      <c r="K473" s="15">
        <v>-1.8500000000000003E-2</v>
      </c>
      <c r="L473" s="15">
        <v>-8.6999999999999994E-3</v>
      </c>
      <c r="M473" s="15">
        <v>4.41E-2</v>
      </c>
      <c r="N473" s="15">
        <v>3.5999999999999999E-3</v>
      </c>
      <c r="O473" s="15">
        <v>5.1299999999999998E-2</v>
      </c>
      <c r="P473" s="15">
        <v>3.0699999999999998E-2</v>
      </c>
      <c r="Q473" s="15">
        <v>1.6200000000000003E-2</v>
      </c>
      <c r="R473" s="7"/>
    </row>
    <row r="474" spans="1:18" x14ac:dyDescent="0.25">
      <c r="A474">
        <v>201305</v>
      </c>
      <c r="B474" s="15">
        <v>-0.03</v>
      </c>
      <c r="C474" s="15">
        <v>3.0999999999999999E-3</v>
      </c>
      <c r="D474" s="15">
        <v>3.0600000000000002E-2</v>
      </c>
      <c r="E474" s="15">
        <v>1.0700000000000001E-2</v>
      </c>
      <c r="F474" s="15">
        <v>2.7000000000000003E-2</v>
      </c>
      <c r="G474" s="15">
        <v>3.2899999999999999E-2</v>
      </c>
      <c r="H474" s="15">
        <v>-3.4999999999999996E-3</v>
      </c>
      <c r="I474" s="15">
        <v>6.0199999999999997E-2</v>
      </c>
      <c r="J474" s="15">
        <v>3.8699999999999998E-2</v>
      </c>
      <c r="K474" s="15">
        <v>6.0999999999999999E-2</v>
      </c>
      <c r="L474" s="15">
        <v>5.3800000000000001E-2</v>
      </c>
      <c r="M474" s="15">
        <v>8.9499999999999996E-2</v>
      </c>
      <c r="N474" s="15">
        <v>4.3799999999999999E-2</v>
      </c>
      <c r="O474" s="15">
        <v>-7.1099999999999997E-2</v>
      </c>
      <c r="P474" s="15">
        <v>1.1699999999999999E-2</v>
      </c>
      <c r="Q474" s="15">
        <v>7.22E-2</v>
      </c>
      <c r="R474" s="7"/>
    </row>
    <row r="475" spans="1:18" x14ac:dyDescent="0.25">
      <c r="A475">
        <v>201306</v>
      </c>
      <c r="B475" s="15">
        <v>8.6999999999999994E-3</v>
      </c>
      <c r="C475" s="15">
        <v>-0.10929999999999999</v>
      </c>
      <c r="D475" s="15">
        <v>-2.12E-2</v>
      </c>
      <c r="E475" s="15">
        <v>8.8000000000000005E-3</v>
      </c>
      <c r="F475" s="15">
        <v>-2.23E-2</v>
      </c>
      <c r="G475" s="15">
        <v>-4.7800000000000002E-2</v>
      </c>
      <c r="H475" s="15">
        <v>-8.6999999999999994E-3</v>
      </c>
      <c r="I475" s="15">
        <v>-4.3400000000000001E-2</v>
      </c>
      <c r="J475" s="15">
        <v>-4.7E-2</v>
      </c>
      <c r="K475" s="15">
        <v>-2.3799999999999998E-2</v>
      </c>
      <c r="L475" s="15">
        <v>-3.56E-2</v>
      </c>
      <c r="M475" s="15">
        <v>2.3E-3</v>
      </c>
      <c r="N475" s="15">
        <v>-1.1000000000000001E-3</v>
      </c>
      <c r="O475" s="15">
        <v>8.199999999999999E-3</v>
      </c>
      <c r="P475" s="15">
        <v>3.8E-3</v>
      </c>
      <c r="Q475" s="15">
        <v>-4.7999999999999996E-3</v>
      </c>
      <c r="R475" s="7"/>
    </row>
    <row r="476" spans="1:18" x14ac:dyDescent="0.25">
      <c r="A476">
        <v>201307</v>
      </c>
      <c r="B476" s="15">
        <v>3.1E-2</v>
      </c>
      <c r="C476" s="15">
        <v>1.7899999999999999E-2</v>
      </c>
      <c r="D476" s="15">
        <v>5.0900000000000001E-2</v>
      </c>
      <c r="E476" s="15">
        <v>2.6600000000000002E-2</v>
      </c>
      <c r="F476" s="15">
        <v>3.8900000000000004E-2</v>
      </c>
      <c r="G476" s="15">
        <v>6.7299999999999999E-2</v>
      </c>
      <c r="H476" s="15">
        <v>6.3500000000000001E-2</v>
      </c>
      <c r="I476" s="15">
        <v>3.9599999999999996E-2</v>
      </c>
      <c r="J476" s="15">
        <v>7.0400000000000004E-2</v>
      </c>
      <c r="K476" s="15">
        <v>8.1500000000000003E-2</v>
      </c>
      <c r="L476" s="15">
        <v>5.1299999999999998E-2</v>
      </c>
      <c r="M476" s="15">
        <v>8.3699999999999997E-2</v>
      </c>
      <c r="N476" s="15">
        <v>5.6900000000000006E-2</v>
      </c>
      <c r="O476" s="15">
        <v>4.58E-2</v>
      </c>
      <c r="P476" s="15">
        <v>5.8600000000000006E-2</v>
      </c>
      <c r="Q476" s="15">
        <v>6.5199999999999994E-2</v>
      </c>
      <c r="R476" s="7"/>
    </row>
    <row r="477" spans="1:18" x14ac:dyDescent="0.25">
      <c r="A477">
        <v>201308</v>
      </c>
      <c r="B477" s="15">
        <v>-3.8699999999999998E-2</v>
      </c>
      <c r="C477" s="15">
        <v>3.78E-2</v>
      </c>
      <c r="D477" s="15">
        <v>-1.9599999999999999E-2</v>
      </c>
      <c r="E477" s="15">
        <v>-2.0799999999999999E-2</v>
      </c>
      <c r="F477" s="15">
        <v>-2.53E-2</v>
      </c>
      <c r="G477" s="15">
        <v>-4.0000000000000001E-3</v>
      </c>
      <c r="H477" s="15">
        <v>-4.0999999999999995E-2</v>
      </c>
      <c r="I477" s="15">
        <v>-3.7000000000000005E-2</v>
      </c>
      <c r="J477" s="15">
        <v>-2.8500000000000001E-2</v>
      </c>
      <c r="K477" s="15">
        <v>-1.43E-2</v>
      </c>
      <c r="L477" s="15">
        <v>-2.5899999999999999E-2</v>
      </c>
      <c r="M477" s="15">
        <v>-1.1200000000000002E-2</v>
      </c>
      <c r="N477" s="15">
        <v>-2.52E-2</v>
      </c>
      <c r="O477" s="15">
        <v>-4.4199999999999996E-2</v>
      </c>
      <c r="P477" s="15">
        <v>-4.6300000000000001E-2</v>
      </c>
      <c r="Q477" s="15">
        <v>-4.2500000000000003E-2</v>
      </c>
      <c r="R477" s="7"/>
    </row>
    <row r="478" spans="1:18" x14ac:dyDescent="0.25">
      <c r="A478">
        <v>201309</v>
      </c>
      <c r="B478" s="15">
        <v>6.0999999999999995E-3</v>
      </c>
      <c r="C478" s="15">
        <v>1.9199999999999998E-2</v>
      </c>
      <c r="D478" s="15">
        <v>2.0400000000000001E-2</v>
      </c>
      <c r="E478" s="15">
        <v>7.3899999999999993E-2</v>
      </c>
      <c r="F478" s="15">
        <v>6.2600000000000003E-2</v>
      </c>
      <c r="G478" s="15">
        <v>5.0199999999999995E-2</v>
      </c>
      <c r="H478" s="15">
        <v>2.9300000000000003E-2</v>
      </c>
      <c r="I478" s="15">
        <v>5.2600000000000001E-2</v>
      </c>
      <c r="J478" s="15">
        <v>8.3499999999999991E-2</v>
      </c>
      <c r="K478" s="15">
        <v>5.6500000000000002E-2</v>
      </c>
      <c r="L478" s="15">
        <v>4.7400000000000005E-2</v>
      </c>
      <c r="M478" s="15">
        <v>5.9900000000000002E-2</v>
      </c>
      <c r="N478" s="15">
        <v>6.8699999999999997E-2</v>
      </c>
      <c r="O478" s="15">
        <v>1.04E-2</v>
      </c>
      <c r="P478" s="15">
        <v>4.4400000000000002E-2</v>
      </c>
      <c r="Q478" s="15">
        <v>3.0099999999999998E-2</v>
      </c>
      <c r="R478" s="7"/>
    </row>
    <row r="479" spans="1:18" x14ac:dyDescent="0.25">
      <c r="A479">
        <v>201310</v>
      </c>
      <c r="B479" s="15">
        <v>4.9500000000000002E-2</v>
      </c>
      <c r="C479" s="15">
        <v>5.8899999999999994E-2</v>
      </c>
      <c r="D479" s="15">
        <v>4.8099999999999997E-2</v>
      </c>
      <c r="E479" s="15">
        <v>2.6699999999999998E-2</v>
      </c>
      <c r="F479" s="15">
        <v>5.8200000000000002E-2</v>
      </c>
      <c r="G479" s="15">
        <v>3.3000000000000002E-2</v>
      </c>
      <c r="H479" s="15">
        <v>5.0700000000000002E-2</v>
      </c>
      <c r="I479" s="15">
        <v>4.2900000000000001E-2</v>
      </c>
      <c r="J479" s="15">
        <v>8.2299999999999998E-2</v>
      </c>
      <c r="K479" s="15">
        <v>4.8300000000000003E-2</v>
      </c>
      <c r="L479" s="15">
        <v>2.75E-2</v>
      </c>
      <c r="M479" s="15">
        <v>5.3E-3</v>
      </c>
      <c r="N479" s="15">
        <v>5.1799999999999999E-2</v>
      </c>
      <c r="O479" s="15">
        <v>3.3399999999999999E-2</v>
      </c>
      <c r="P479" s="15">
        <v>5.5999999999999994E-2</v>
      </c>
      <c r="Q479" s="15">
        <v>3.2899999999999999E-2</v>
      </c>
      <c r="R479" s="7"/>
    </row>
    <row r="480" spans="1:18" x14ac:dyDescent="0.25">
      <c r="A480">
        <v>201311</v>
      </c>
      <c r="B480" s="15">
        <v>1.4999999999999999E-2</v>
      </c>
      <c r="C480" s="15">
        <v>-4.6399999999999997E-2</v>
      </c>
      <c r="D480" s="15">
        <v>9.0000000000000011E-3</v>
      </c>
      <c r="E480" s="15">
        <v>6.5700000000000008E-2</v>
      </c>
      <c r="F480" s="15">
        <v>4.0099999999999997E-2</v>
      </c>
      <c r="G480" s="15">
        <v>1.44E-2</v>
      </c>
      <c r="H480" s="15">
        <v>3.6699999999999997E-2</v>
      </c>
      <c r="I480" s="15">
        <v>2.1099999999999997E-2</v>
      </c>
      <c r="J480" s="15">
        <v>1.6899999999999998E-2</v>
      </c>
      <c r="K480" s="15">
        <v>2.86E-2</v>
      </c>
      <c r="L480" s="15">
        <v>2.23E-2</v>
      </c>
      <c r="M480" s="15">
        <v>1.8100000000000002E-2</v>
      </c>
      <c r="N480" s="15">
        <v>5.1399999999999994E-2</v>
      </c>
      <c r="O480" s="15">
        <v>-1.8000000000000002E-2</v>
      </c>
      <c r="P480" s="15">
        <v>4.1200000000000001E-2</v>
      </c>
      <c r="Q480" s="15">
        <v>6.1100000000000002E-2</v>
      </c>
      <c r="R480" s="7"/>
    </row>
    <row r="481" spans="1:18" x14ac:dyDescent="0.25">
      <c r="A481">
        <v>201312</v>
      </c>
      <c r="B481" s="15">
        <v>2.4399999999999998E-2</v>
      </c>
      <c r="C481" s="15">
        <v>6.8000000000000005E-2</v>
      </c>
      <c r="D481" s="15">
        <v>3.04E-2</v>
      </c>
      <c r="E481" s="15">
        <v>1.3100000000000001E-2</v>
      </c>
      <c r="F481" s="15">
        <v>2.8900000000000002E-2</v>
      </c>
      <c r="G481" s="15">
        <v>5.5300000000000002E-2</v>
      </c>
      <c r="H481" s="15">
        <v>3.5999999999999999E-3</v>
      </c>
      <c r="I481" s="15">
        <v>3.6400000000000002E-2</v>
      </c>
      <c r="J481" s="15">
        <v>6.5599999999999992E-2</v>
      </c>
      <c r="K481" s="15">
        <v>3.9800000000000002E-2</v>
      </c>
      <c r="L481" s="15">
        <v>4.6799999999999994E-2</v>
      </c>
      <c r="M481" s="15">
        <v>1.41E-2</v>
      </c>
      <c r="N481" s="15">
        <v>2.8999999999999998E-2</v>
      </c>
      <c r="O481" s="15">
        <v>1.7899999999999999E-2</v>
      </c>
      <c r="P481" s="15">
        <v>-6.7000000000000002E-3</v>
      </c>
      <c r="Q481" s="15">
        <v>2.6200000000000001E-2</v>
      </c>
      <c r="R481" s="7"/>
    </row>
    <row r="482" spans="1:18" x14ac:dyDescent="0.25">
      <c r="A482">
        <v>201401</v>
      </c>
      <c r="B482" s="15">
        <v>-4.3099999999999999E-2</v>
      </c>
      <c r="C482" s="15">
        <v>-7.0400000000000004E-2</v>
      </c>
      <c r="D482" s="15">
        <v>-6.8199999999999997E-2</v>
      </c>
      <c r="E482" s="15">
        <v>-7.1800000000000003E-2</v>
      </c>
      <c r="F482" s="15">
        <v>-8.6099999999999996E-2</v>
      </c>
      <c r="G482" s="15">
        <v>-4.0599999999999997E-2</v>
      </c>
      <c r="H482" s="15">
        <v>-2.3900000000000001E-2</v>
      </c>
      <c r="I482" s="15">
        <v>-4.4400000000000002E-2</v>
      </c>
      <c r="J482" s="15">
        <v>-5.5E-2</v>
      </c>
      <c r="K482" s="15">
        <v>-5.8600000000000006E-2</v>
      </c>
      <c r="L482" s="15">
        <v>-1.37E-2</v>
      </c>
      <c r="M482" s="15">
        <v>-3.2500000000000001E-2</v>
      </c>
      <c r="N482" s="15">
        <v>-2.0199999999999999E-2</v>
      </c>
      <c r="O482" s="15">
        <v>2.4900000000000002E-2</v>
      </c>
      <c r="P482" s="15">
        <v>-7.4499999999999997E-2</v>
      </c>
      <c r="Q482" s="15">
        <v>-4.2500000000000003E-2</v>
      </c>
      <c r="R482" s="7"/>
    </row>
    <row r="483" spans="1:18" x14ac:dyDescent="0.25">
      <c r="A483">
        <v>201402</v>
      </c>
      <c r="B483" s="15">
        <v>3.27E-2</v>
      </c>
      <c r="C483" s="15">
        <v>5.4800000000000001E-2</v>
      </c>
      <c r="D483" s="15">
        <v>5.7200000000000001E-2</v>
      </c>
      <c r="E483" s="15">
        <v>4.8899999999999999E-2</v>
      </c>
      <c r="F483" s="15">
        <v>3.8399999999999997E-2</v>
      </c>
      <c r="G483" s="15">
        <v>7.6299999999999993E-2</v>
      </c>
      <c r="H483" s="15">
        <v>6.0199999999999997E-2</v>
      </c>
      <c r="I483" s="15">
        <v>6.9400000000000003E-2</v>
      </c>
      <c r="J483" s="15">
        <v>2.5699999999999997E-2</v>
      </c>
      <c r="K483" s="15">
        <v>5.5599999999999997E-2</v>
      </c>
      <c r="L483" s="15">
        <v>4.5899999999999996E-2</v>
      </c>
      <c r="M483" s="15">
        <v>8.8900000000000007E-2</v>
      </c>
      <c r="N483" s="15">
        <v>3.56E-2</v>
      </c>
      <c r="O483" s="15">
        <v>3.0800000000000001E-2</v>
      </c>
      <c r="P483" s="15">
        <v>5.1200000000000002E-2</v>
      </c>
      <c r="Q483" s="15">
        <v>3.2300000000000002E-2</v>
      </c>
      <c r="R483" s="7"/>
    </row>
    <row r="484" spans="1:18" x14ac:dyDescent="0.25">
      <c r="A484">
        <v>201403</v>
      </c>
      <c r="B484" s="15">
        <v>3.1200000000000002E-2</v>
      </c>
      <c r="C484" s="15">
        <v>-6.8999999999999999E-3</v>
      </c>
      <c r="D484" s="15">
        <v>2.5699999999999997E-2</v>
      </c>
      <c r="E484" s="15">
        <v>-8.0000000000000004E-4</v>
      </c>
      <c r="F484" s="15">
        <v>8.1000000000000013E-3</v>
      </c>
      <c r="G484" s="15">
        <v>1.1000000000000001E-2</v>
      </c>
      <c r="H484" s="15">
        <v>0</v>
      </c>
      <c r="I484" s="15">
        <v>-2.8199999999999999E-2</v>
      </c>
      <c r="J484" s="15">
        <v>3.6299999999999999E-2</v>
      </c>
      <c r="K484" s="15">
        <v>-2.5000000000000001E-3</v>
      </c>
      <c r="L484" s="15">
        <v>1.7500000000000002E-2</v>
      </c>
      <c r="M484" s="15">
        <v>-1.37E-2</v>
      </c>
      <c r="N484" s="15">
        <v>1.0700000000000001E-2</v>
      </c>
      <c r="O484" s="15">
        <v>2.6800000000000001E-2</v>
      </c>
      <c r="P484" s="15">
        <v>-5.3E-3</v>
      </c>
      <c r="Q484" s="15">
        <v>2.53E-2</v>
      </c>
      <c r="R484" s="7"/>
    </row>
    <row r="485" spans="1:18" x14ac:dyDescent="0.25">
      <c r="A485">
        <v>201404</v>
      </c>
      <c r="B485" s="15">
        <v>1.34E-2</v>
      </c>
      <c r="C485" s="15">
        <v>3.7000000000000005E-2</v>
      </c>
      <c r="D485" s="15">
        <v>5.6100000000000004E-2</v>
      </c>
      <c r="E485" s="15">
        <v>-3.2799999999999996E-2</v>
      </c>
      <c r="F485" s="15">
        <v>-1.3000000000000001E-2</v>
      </c>
      <c r="G485" s="15">
        <v>-2.9999999999999997E-4</v>
      </c>
      <c r="H485" s="15">
        <v>2.1499999999999998E-2</v>
      </c>
      <c r="I485" s="15">
        <v>-2.4300000000000002E-2</v>
      </c>
      <c r="J485" s="15">
        <v>6.6E-3</v>
      </c>
      <c r="K485" s="15">
        <v>2.3099999999999999E-2</v>
      </c>
      <c r="L485" s="15">
        <v>-6.3E-3</v>
      </c>
      <c r="M485" s="15">
        <v>7.0999999999999995E-3</v>
      </c>
      <c r="N485" s="15">
        <v>1.09E-2</v>
      </c>
      <c r="O485" s="15">
        <v>3.9800000000000002E-2</v>
      </c>
      <c r="P485" s="15">
        <v>-9.5999999999999992E-3</v>
      </c>
      <c r="Q485" s="15">
        <v>-3.5699999999999996E-2</v>
      </c>
      <c r="R485" s="7"/>
    </row>
    <row r="486" spans="1:18" x14ac:dyDescent="0.25">
      <c r="A486">
        <v>201405</v>
      </c>
      <c r="B486" s="15">
        <v>3.85E-2</v>
      </c>
      <c r="C486" s="15">
        <v>-2.7200000000000002E-2</v>
      </c>
      <c r="D486" s="15">
        <v>1.15E-2</v>
      </c>
      <c r="E486" s="15">
        <v>2.0799999999999999E-2</v>
      </c>
      <c r="F486" s="15">
        <v>-5.8999999999999999E-3</v>
      </c>
      <c r="G486" s="15">
        <v>2.52E-2</v>
      </c>
      <c r="H486" s="15">
        <v>1.06E-2</v>
      </c>
      <c r="I486" s="15">
        <v>1.7299999999999999E-2</v>
      </c>
      <c r="J486" s="15">
        <v>-1.7500000000000002E-2</v>
      </c>
      <c r="K486" s="15">
        <v>-2.2000000000000001E-3</v>
      </c>
      <c r="L486" s="15">
        <v>2.2799999999999997E-2</v>
      </c>
      <c r="M486" s="15">
        <v>4.3E-3</v>
      </c>
      <c r="N486" s="15">
        <v>3.8800000000000001E-2</v>
      </c>
      <c r="O486" s="15">
        <v>0</v>
      </c>
      <c r="P486" s="15">
        <v>3.9000000000000003E-3</v>
      </c>
      <c r="Q486" s="15">
        <v>1.7000000000000001E-2</v>
      </c>
      <c r="R486" s="7"/>
    </row>
    <row r="487" spans="1:18" x14ac:dyDescent="0.25">
      <c r="A487">
        <v>201406</v>
      </c>
      <c r="B487" s="15">
        <v>1.8000000000000002E-2</v>
      </c>
      <c r="C487" s="15">
        <v>5.5899999999999998E-2</v>
      </c>
      <c r="D487" s="15">
        <v>4.1599999999999998E-2</v>
      </c>
      <c r="E487" s="15">
        <v>7.4000000000000003E-3</v>
      </c>
      <c r="F487" s="15">
        <v>1.9299999999999998E-2</v>
      </c>
      <c r="G487" s="15">
        <v>5.1999999999999998E-3</v>
      </c>
      <c r="H487" s="15">
        <v>1.3100000000000001E-2</v>
      </c>
      <c r="I487" s="15">
        <v>2.1700000000000001E-2</v>
      </c>
      <c r="J487" s="15">
        <v>4.87E-2</v>
      </c>
      <c r="K487" s="15">
        <v>2.9100000000000001E-2</v>
      </c>
      <c r="L487" s="15">
        <v>4.0899999999999999E-2</v>
      </c>
      <c r="M487" s="15">
        <v>4.1100000000000005E-2</v>
      </c>
      <c r="N487" s="15">
        <v>-2.0000000000000001E-4</v>
      </c>
      <c r="O487" s="15">
        <v>5.4100000000000002E-2</v>
      </c>
      <c r="P487" s="15">
        <v>1.0500000000000001E-2</v>
      </c>
      <c r="Q487" s="15">
        <v>3.1E-2</v>
      </c>
      <c r="R487" s="7"/>
    </row>
    <row r="488" spans="1:18" x14ac:dyDescent="0.25">
      <c r="A488">
        <v>201407</v>
      </c>
      <c r="B488" s="15">
        <v>-5.16E-2</v>
      </c>
      <c r="C488" s="15">
        <v>-5.6999999999999993E-3</v>
      </c>
      <c r="D488" s="15">
        <v>-3.4500000000000003E-2</v>
      </c>
      <c r="E488" s="15">
        <v>-1.3500000000000002E-2</v>
      </c>
      <c r="F488" s="15">
        <v>-5.4600000000000003E-2</v>
      </c>
      <c r="G488" s="15">
        <v>-3.1800000000000002E-2</v>
      </c>
      <c r="H488" s="15">
        <v>-2.1400000000000002E-2</v>
      </c>
      <c r="I488" s="15">
        <v>-4.6500000000000007E-2</v>
      </c>
      <c r="J488" s="15">
        <v>2.41E-2</v>
      </c>
      <c r="K488" s="15">
        <v>-7.4499999999999997E-2</v>
      </c>
      <c r="L488" s="15">
        <v>-2.7900000000000001E-2</v>
      </c>
      <c r="M488" s="15">
        <v>-4.41E-2</v>
      </c>
      <c r="N488" s="15">
        <v>-3.0899999999999997E-2</v>
      </c>
      <c r="O488" s="15">
        <v>-6.4000000000000001E-2</v>
      </c>
      <c r="P488" s="15">
        <v>-1.8799999999999997E-2</v>
      </c>
      <c r="Q488" s="15">
        <v>-2.07E-2</v>
      </c>
      <c r="R488" s="7"/>
    </row>
    <row r="489" spans="1:18" x14ac:dyDescent="0.25">
      <c r="A489">
        <v>201408</v>
      </c>
      <c r="B489" s="15">
        <v>6.2400000000000004E-2</v>
      </c>
      <c r="C489" s="15">
        <v>1.66E-2</v>
      </c>
      <c r="D489" s="15">
        <v>2.4199999999999999E-2</v>
      </c>
      <c r="E489" s="15">
        <v>4.2699999999999995E-2</v>
      </c>
      <c r="F489" s="15">
        <v>4.7199999999999999E-2</v>
      </c>
      <c r="G489" s="15">
        <v>4.3099999999999999E-2</v>
      </c>
      <c r="H489" s="15">
        <v>4.7400000000000005E-2</v>
      </c>
      <c r="I489" s="15">
        <v>9.8800000000000013E-2</v>
      </c>
      <c r="J489" s="15">
        <v>6.1200000000000004E-2</v>
      </c>
      <c r="K489" s="15">
        <v>2.53E-2</v>
      </c>
      <c r="L489" s="15">
        <v>4.5899999999999996E-2</v>
      </c>
      <c r="M489" s="15">
        <v>4.8099999999999997E-2</v>
      </c>
      <c r="N489" s="15">
        <v>4.9200000000000001E-2</v>
      </c>
      <c r="O489" s="15">
        <v>5.3099999999999994E-2</v>
      </c>
      <c r="P489" s="15">
        <v>4.0500000000000001E-2</v>
      </c>
      <c r="Q489" s="15">
        <v>3.85E-2</v>
      </c>
      <c r="R489" s="7"/>
    </row>
    <row r="490" spans="1:18" x14ac:dyDescent="0.25">
      <c r="A490">
        <v>201409</v>
      </c>
      <c r="B490" s="15">
        <v>-3.2000000000000002E-3</v>
      </c>
      <c r="C490" s="15">
        <v>-0.1082</v>
      </c>
      <c r="D490" s="15">
        <v>-7.690000000000001E-2</v>
      </c>
      <c r="E490" s="15">
        <v>3.2099999999999997E-2</v>
      </c>
      <c r="F490" s="15">
        <v>-4.4400000000000002E-2</v>
      </c>
      <c r="G490" s="15">
        <v>-2.1899999999999999E-2</v>
      </c>
      <c r="H490" s="15">
        <v>1.6E-2</v>
      </c>
      <c r="I490" s="15">
        <v>-3.44E-2</v>
      </c>
      <c r="J490" s="15">
        <v>-4.7400000000000005E-2</v>
      </c>
      <c r="K490" s="15">
        <v>-4.5899999999999996E-2</v>
      </c>
      <c r="L490" s="15">
        <v>-3.2300000000000002E-2</v>
      </c>
      <c r="M490" s="15">
        <v>-9.1499999999999998E-2</v>
      </c>
      <c r="N490" s="15">
        <v>1.4000000000000002E-3</v>
      </c>
      <c r="O490" s="15">
        <v>-3.3700000000000001E-2</v>
      </c>
      <c r="P490" s="15">
        <v>-8.3999999999999995E-3</v>
      </c>
      <c r="Q490" s="15">
        <v>-5.5000000000000005E-3</v>
      </c>
      <c r="R490" s="7"/>
    </row>
    <row r="491" spans="1:18" x14ac:dyDescent="0.25">
      <c r="A491">
        <v>201410</v>
      </c>
      <c r="B491" s="15">
        <v>2.12E-2</v>
      </c>
      <c r="C491" s="15">
        <v>-8.4700000000000011E-2</v>
      </c>
      <c r="D491" s="15">
        <v>-4.2500000000000003E-2</v>
      </c>
      <c r="E491" s="15">
        <v>1.54E-2</v>
      </c>
      <c r="F491" s="15">
        <v>5.33E-2</v>
      </c>
      <c r="G491" s="15">
        <v>-1.8500000000000003E-2</v>
      </c>
      <c r="H491" s="15">
        <v>4.3200000000000002E-2</v>
      </c>
      <c r="I491" s="15">
        <v>5.0499999999999996E-2</v>
      </c>
      <c r="J491" s="15">
        <v>2.2200000000000001E-2</v>
      </c>
      <c r="K491" s="15">
        <v>5.74E-2</v>
      </c>
      <c r="L491" s="15">
        <v>1.3999999999999999E-2</v>
      </c>
      <c r="M491" s="15">
        <v>4.2099999999999999E-2</v>
      </c>
      <c r="N491" s="15">
        <v>4.3899999999999995E-2</v>
      </c>
      <c r="O491" s="15">
        <v>6.7099999999999993E-2</v>
      </c>
      <c r="P491" s="15">
        <v>1.4199999999999999E-2</v>
      </c>
      <c r="Q491" s="15">
        <v>3.78E-2</v>
      </c>
      <c r="R491" s="7"/>
    </row>
    <row r="492" spans="1:18" x14ac:dyDescent="0.25">
      <c r="A492">
        <v>201411</v>
      </c>
      <c r="B492" s="15">
        <v>5.2699999999999997E-2</v>
      </c>
      <c r="C492" s="15">
        <v>-6.0999999999999995E-3</v>
      </c>
      <c r="D492" s="15">
        <v>-9.7100000000000006E-2</v>
      </c>
      <c r="E492" s="15">
        <v>8.7400000000000005E-2</v>
      </c>
      <c r="F492" s="15">
        <v>3.4300000000000004E-2</v>
      </c>
      <c r="G492" s="15">
        <v>1.3999999999999999E-2</v>
      </c>
      <c r="H492" s="15">
        <v>3.4700000000000002E-2</v>
      </c>
      <c r="I492" s="15">
        <v>3.9199999999999999E-2</v>
      </c>
      <c r="J492" s="15">
        <v>-2.3300000000000001E-2</v>
      </c>
      <c r="K492" s="15">
        <v>4.1999999999999997E-3</v>
      </c>
      <c r="L492" s="15">
        <v>3.4799999999999998E-2</v>
      </c>
      <c r="M492" s="15">
        <v>4.8300000000000003E-2</v>
      </c>
      <c r="N492" s="15">
        <v>5.3499999999999999E-2</v>
      </c>
      <c r="O492" s="15">
        <v>2.5999999999999999E-3</v>
      </c>
      <c r="P492" s="15">
        <v>9.2399999999999996E-2</v>
      </c>
      <c r="Q492" s="15">
        <v>1.8000000000000002E-2</v>
      </c>
      <c r="R492" s="7"/>
    </row>
    <row r="493" spans="1:18" x14ac:dyDescent="0.25">
      <c r="A493">
        <v>201412</v>
      </c>
      <c r="B493" s="15">
        <v>-2.8199999999999999E-2</v>
      </c>
      <c r="C493" s="15">
        <v>-7.8600000000000003E-2</v>
      </c>
      <c r="D493" s="15">
        <v>7.7000000000000002E-3</v>
      </c>
      <c r="E493" s="15">
        <v>-6.3E-3</v>
      </c>
      <c r="F493" s="15">
        <v>2.5999999999999999E-3</v>
      </c>
      <c r="G493" s="15">
        <v>-8.9999999999999998E-4</v>
      </c>
      <c r="H493" s="15">
        <v>-1.41E-2</v>
      </c>
      <c r="I493" s="15">
        <v>4.0199999999999993E-2</v>
      </c>
      <c r="J493" s="15">
        <v>-6.6600000000000006E-2</v>
      </c>
      <c r="K493" s="15">
        <v>1.1899999999999999E-2</v>
      </c>
      <c r="L493" s="15">
        <v>2.2000000000000001E-3</v>
      </c>
      <c r="M493" s="15">
        <v>1.34E-2</v>
      </c>
      <c r="N493" s="15">
        <v>6.6E-3</v>
      </c>
      <c r="O493" s="15">
        <v>1.8600000000000002E-2</v>
      </c>
      <c r="P493" s="15">
        <v>9.300000000000001E-3</v>
      </c>
      <c r="Q493" s="15">
        <v>2.1400000000000002E-2</v>
      </c>
      <c r="R493" s="7"/>
    </row>
    <row r="494" spans="1:18" x14ac:dyDescent="0.25">
      <c r="A494">
        <v>201501</v>
      </c>
      <c r="B494" s="15">
        <v>-1.1299999999999999E-2</v>
      </c>
      <c r="C494" s="15">
        <v>-6.8099999999999994E-2</v>
      </c>
      <c r="D494" s="15">
        <v>-4.0999999999999995E-2</v>
      </c>
      <c r="E494" s="15">
        <v>-3.2199999999999999E-2</v>
      </c>
      <c r="F494" s="15">
        <v>-7.7000000000000002E-3</v>
      </c>
      <c r="G494" s="15">
        <v>-2.3300000000000001E-2</v>
      </c>
      <c r="H494" s="15">
        <v>-8.0000000000000004E-4</v>
      </c>
      <c r="I494" s="15">
        <v>-2.1099999999999997E-2</v>
      </c>
      <c r="J494" s="15">
        <v>-9.4800000000000009E-2</v>
      </c>
      <c r="K494" s="15">
        <v>-6.3700000000000007E-2</v>
      </c>
      <c r="L494" s="15">
        <v>-6.2199999999999998E-2</v>
      </c>
      <c r="M494" s="15">
        <v>-5.9400000000000001E-2</v>
      </c>
      <c r="N494" s="15">
        <v>-2.3700000000000002E-2</v>
      </c>
      <c r="O494" s="15">
        <v>1.24E-2</v>
      </c>
      <c r="P494" s="15">
        <v>1.9E-3</v>
      </c>
      <c r="Q494" s="15">
        <v>-7.7600000000000002E-2</v>
      </c>
      <c r="R494" s="7"/>
    </row>
    <row r="495" spans="1:18" x14ac:dyDescent="0.25">
      <c r="A495">
        <v>201502</v>
      </c>
      <c r="B495" s="15">
        <v>4.36E-2</v>
      </c>
      <c r="C495" s="15">
        <v>0.14380000000000001</v>
      </c>
      <c r="D495" s="15">
        <v>4.8000000000000001E-2</v>
      </c>
      <c r="E495" s="15">
        <v>6.8600000000000008E-2</v>
      </c>
      <c r="F495" s="15">
        <v>4.7699999999999992E-2</v>
      </c>
      <c r="G495" s="15">
        <v>8.5099999999999995E-2</v>
      </c>
      <c r="H495" s="15">
        <v>4.4000000000000004E-2</v>
      </c>
      <c r="I495" s="15">
        <v>8.5500000000000007E-2</v>
      </c>
      <c r="J495" s="15">
        <v>3.5699999999999996E-2</v>
      </c>
      <c r="K495" s="15">
        <v>9.8299999999999998E-2</v>
      </c>
      <c r="L495" s="15">
        <v>7.17E-2</v>
      </c>
      <c r="M495" s="15">
        <v>7.7499999999999999E-2</v>
      </c>
      <c r="N495" s="15">
        <v>4.3299999999999998E-2</v>
      </c>
      <c r="O495" s="15">
        <v>-4.3499999999999997E-2</v>
      </c>
      <c r="P495" s="15">
        <v>5.33E-2</v>
      </c>
      <c r="Q495" s="15">
        <v>0.08</v>
      </c>
      <c r="R495" s="7"/>
    </row>
    <row r="496" spans="1:18" x14ac:dyDescent="0.25">
      <c r="A496">
        <v>201503</v>
      </c>
      <c r="B496" s="15">
        <v>-1.06E-2</v>
      </c>
      <c r="C496" s="15">
        <v>-7.5800000000000006E-2</v>
      </c>
      <c r="D496" s="15">
        <v>-2.3599999999999999E-2</v>
      </c>
      <c r="E496" s="15">
        <v>1.4800000000000001E-2</v>
      </c>
      <c r="F496" s="15">
        <v>-1.24E-2</v>
      </c>
      <c r="G496" s="15">
        <v>-3.56E-2</v>
      </c>
      <c r="H496" s="15">
        <v>-1.4999999999999999E-2</v>
      </c>
      <c r="I496" s="15">
        <v>1E-3</v>
      </c>
      <c r="J496" s="15">
        <v>-2.8799999999999999E-2</v>
      </c>
      <c r="K496" s="15">
        <v>6.9999999999999993E-3</v>
      </c>
      <c r="L496" s="15">
        <v>-3.1200000000000002E-2</v>
      </c>
      <c r="M496" s="15">
        <v>2.9999999999999997E-4</v>
      </c>
      <c r="N496" s="15">
        <v>-2.1000000000000001E-2</v>
      </c>
      <c r="O496" s="15">
        <v>-3.2000000000000002E-3</v>
      </c>
      <c r="P496" s="15">
        <v>7.1999999999999998E-3</v>
      </c>
      <c r="Q496" s="15">
        <v>2E-3</v>
      </c>
      <c r="R496" s="7"/>
    </row>
    <row r="497" spans="1:18" x14ac:dyDescent="0.25">
      <c r="A497">
        <v>201504</v>
      </c>
      <c r="B497" s="15">
        <v>-2.8999999999999998E-3</v>
      </c>
      <c r="C497" s="15">
        <v>0.121</v>
      </c>
      <c r="D497" s="15">
        <v>6.5000000000000002E-2</v>
      </c>
      <c r="E497" s="15">
        <v>-2.23E-2</v>
      </c>
      <c r="F497" s="15">
        <v>-2E-3</v>
      </c>
      <c r="G497" s="15">
        <v>1.7600000000000001E-2</v>
      </c>
      <c r="H497" s="15">
        <v>2.8000000000000004E-3</v>
      </c>
      <c r="I497" s="15">
        <v>-4.7199999999999999E-2</v>
      </c>
      <c r="J497" s="15">
        <v>4.0800000000000003E-2</v>
      </c>
      <c r="K497" s="15">
        <v>4.6999999999999993E-3</v>
      </c>
      <c r="L497" s="15">
        <v>2.0999999999999999E-3</v>
      </c>
      <c r="M497" s="15">
        <v>-3.5999999999999999E-3</v>
      </c>
      <c r="N497" s="15">
        <v>-2.5499999999999998E-2</v>
      </c>
      <c r="O497" s="15">
        <v>2.8000000000000004E-3</v>
      </c>
      <c r="P497" s="15">
        <v>-1.7500000000000002E-2</v>
      </c>
      <c r="Q497" s="15">
        <v>7.3000000000000001E-3</v>
      </c>
      <c r="R497" s="7"/>
    </row>
    <row r="498" spans="1:18" x14ac:dyDescent="0.25">
      <c r="A498">
        <v>201505</v>
      </c>
      <c r="B498" s="15">
        <v>1.9099999999999999E-2</v>
      </c>
      <c r="C498" s="15">
        <v>-5.96E-2</v>
      </c>
      <c r="D498" s="15">
        <v>-5.0199999999999995E-2</v>
      </c>
      <c r="E498" s="15">
        <v>3.4999999999999996E-3</v>
      </c>
      <c r="F498" s="15">
        <v>6.6E-3</v>
      </c>
      <c r="G498" s="15">
        <v>7.4000000000000003E-3</v>
      </c>
      <c r="H498" s="15">
        <v>3.04E-2</v>
      </c>
      <c r="I498" s="15">
        <v>2.9399999999999999E-2</v>
      </c>
      <c r="J498" s="15">
        <v>-3.8699999999999998E-2</v>
      </c>
      <c r="K498" s="15">
        <v>7.000000000000001E-4</v>
      </c>
      <c r="L498" s="15">
        <v>3.32E-2</v>
      </c>
      <c r="M498" s="15">
        <v>9.0000000000000011E-3</v>
      </c>
      <c r="N498" s="15">
        <v>-1.1200000000000002E-2</v>
      </c>
      <c r="O498" s="15">
        <v>-4.5999999999999999E-3</v>
      </c>
      <c r="P498" s="15">
        <v>6.7000000000000002E-3</v>
      </c>
      <c r="Q498" s="15">
        <v>3.1200000000000002E-2</v>
      </c>
      <c r="R498" s="7"/>
    </row>
    <row r="499" spans="1:18" x14ac:dyDescent="0.25">
      <c r="A499">
        <v>201506</v>
      </c>
      <c r="B499" s="15">
        <v>-1.8700000000000001E-2</v>
      </c>
      <c r="C499" s="15">
        <v>-7.5899999999999995E-2</v>
      </c>
      <c r="D499" s="15">
        <v>-3.73E-2</v>
      </c>
      <c r="E499" s="15">
        <v>4.0099999999999997E-2</v>
      </c>
      <c r="F499" s="15">
        <v>-9.1000000000000004E-3</v>
      </c>
      <c r="G499" s="15">
        <v>-2.9900000000000003E-2</v>
      </c>
      <c r="H499" s="15">
        <v>-1.6E-2</v>
      </c>
      <c r="I499" s="15">
        <v>-3.8E-3</v>
      </c>
      <c r="J499" s="15">
        <v>-5.3499999999999999E-2</v>
      </c>
      <c r="K499" s="15">
        <v>-1.84E-2</v>
      </c>
      <c r="L499" s="15">
        <v>-4.7E-2</v>
      </c>
      <c r="M499" s="15">
        <v>-1.15E-2</v>
      </c>
      <c r="N499" s="15">
        <v>-3.0600000000000002E-2</v>
      </c>
      <c r="O499" s="15">
        <v>-5.2900000000000003E-2</v>
      </c>
      <c r="P499" s="15">
        <v>-2.0999999999999999E-3</v>
      </c>
      <c r="Q499" s="15">
        <v>1.4800000000000001E-2</v>
      </c>
      <c r="R499" s="7"/>
    </row>
    <row r="500" spans="1:18" x14ac:dyDescent="0.25">
      <c r="A500">
        <v>201507</v>
      </c>
      <c r="B500" s="15">
        <v>3.8100000000000002E-2</v>
      </c>
      <c r="C500" s="15">
        <v>-0.13780000000000001</v>
      </c>
      <c r="D500" s="15">
        <v>-8.8100000000000012E-2</v>
      </c>
      <c r="E500" s="15">
        <v>4.9100000000000005E-2</v>
      </c>
      <c r="F500" s="15">
        <v>-5.9999999999999995E-4</v>
      </c>
      <c r="G500" s="15">
        <v>-5.4299999999999994E-2</v>
      </c>
      <c r="H500" s="15">
        <v>4.1599999999999998E-2</v>
      </c>
      <c r="I500" s="15">
        <v>2.6499999999999999E-2</v>
      </c>
      <c r="J500" s="15">
        <v>-8.2500000000000004E-2</v>
      </c>
      <c r="K500" s="15">
        <v>-3.49E-2</v>
      </c>
      <c r="L500" s="15">
        <v>-1.4199999999999999E-2</v>
      </c>
      <c r="M500" s="15">
        <v>-9.7000000000000003E-3</v>
      </c>
      <c r="N500" s="15">
        <v>1.8000000000000002E-2</v>
      </c>
      <c r="O500" s="15">
        <v>2.6499999999999999E-2</v>
      </c>
      <c r="P500" s="15">
        <v>6.5500000000000003E-2</v>
      </c>
      <c r="Q500" s="15">
        <v>1.9400000000000001E-2</v>
      </c>
      <c r="R500" s="7"/>
    </row>
    <row r="501" spans="1:18" x14ac:dyDescent="0.25">
      <c r="A501">
        <v>201508</v>
      </c>
      <c r="B501" s="15">
        <v>-3.6799999999999999E-2</v>
      </c>
      <c r="C501" s="15">
        <v>-1.06E-2</v>
      </c>
      <c r="D501" s="15">
        <v>-3.8199999999999998E-2</v>
      </c>
      <c r="E501" s="15">
        <v>-3.7200000000000004E-2</v>
      </c>
      <c r="F501" s="15">
        <v>-6.4000000000000001E-2</v>
      </c>
      <c r="G501" s="15">
        <v>-6.7099999999999993E-2</v>
      </c>
      <c r="H501" s="15">
        <v>-7.1199999999999999E-2</v>
      </c>
      <c r="I501" s="15">
        <v>-2.4500000000000001E-2</v>
      </c>
      <c r="J501" s="15">
        <v>-4.4000000000000004E-2</v>
      </c>
      <c r="K501" s="15">
        <v>-2.06E-2</v>
      </c>
      <c r="L501" s="15">
        <v>-5.8099999999999999E-2</v>
      </c>
      <c r="M501" s="15">
        <v>-4.9599999999999998E-2</v>
      </c>
      <c r="N501" s="15">
        <v>-5.6600000000000004E-2</v>
      </c>
      <c r="O501" s="15">
        <v>-4.0599999999999997E-2</v>
      </c>
      <c r="P501" s="15">
        <v>-6.3200000000000006E-2</v>
      </c>
      <c r="Q501" s="15">
        <v>-6.5299999999999997E-2</v>
      </c>
      <c r="R501" s="7"/>
    </row>
    <row r="502" spans="1:18" x14ac:dyDescent="0.25">
      <c r="A502">
        <v>201509</v>
      </c>
      <c r="B502" s="15">
        <v>-3.3E-3</v>
      </c>
      <c r="C502" s="15">
        <v>-8.199999999999999E-2</v>
      </c>
      <c r="D502" s="15">
        <v>-5.8099999999999999E-2</v>
      </c>
      <c r="E502" s="15">
        <v>-4.5000000000000005E-3</v>
      </c>
      <c r="F502" s="15">
        <v>-6.6699999999999995E-2</v>
      </c>
      <c r="G502" s="15">
        <v>-8.1300000000000011E-2</v>
      </c>
      <c r="H502" s="15">
        <v>-2.8399999999999998E-2</v>
      </c>
      <c r="I502" s="15">
        <v>-3.7999999999999999E-2</v>
      </c>
      <c r="J502" s="15">
        <v>-0.10619999999999999</v>
      </c>
      <c r="K502" s="15">
        <v>-7.5800000000000006E-2</v>
      </c>
      <c r="L502" s="15">
        <v>-3.3099999999999997E-2</v>
      </c>
      <c r="M502" s="15">
        <v>-1.1399999999999999E-2</v>
      </c>
      <c r="N502" s="15">
        <v>-1.3100000000000001E-2</v>
      </c>
      <c r="O502" s="15">
        <v>-5.0000000000000001E-3</v>
      </c>
      <c r="P502" s="15">
        <v>-1.8200000000000001E-2</v>
      </c>
      <c r="Q502" s="15">
        <v>-3.1800000000000002E-2</v>
      </c>
      <c r="R502" s="7"/>
    </row>
    <row r="503" spans="1:18" x14ac:dyDescent="0.25">
      <c r="A503">
        <v>201510</v>
      </c>
      <c r="B503" s="15">
        <v>6.4500000000000002E-2</v>
      </c>
      <c r="C503" s="15">
        <v>7.3099999999999998E-2</v>
      </c>
      <c r="D503" s="15">
        <v>0.12300000000000001</v>
      </c>
      <c r="E503" s="15">
        <v>1.6200000000000003E-2</v>
      </c>
      <c r="F503" s="15">
        <v>7.5899999999999995E-2</v>
      </c>
      <c r="G503" s="15">
        <v>0.16070000000000001</v>
      </c>
      <c r="H503" s="15">
        <v>8.2799999999999999E-2</v>
      </c>
      <c r="I503" s="15">
        <v>7.7699999999999991E-2</v>
      </c>
      <c r="J503" s="15">
        <v>5.9000000000000004E-2</v>
      </c>
      <c r="K503" s="15">
        <v>8.77E-2</v>
      </c>
      <c r="L503" s="15">
        <v>8.7100000000000011E-2</v>
      </c>
      <c r="M503" s="15">
        <v>6.1900000000000004E-2</v>
      </c>
      <c r="N503" s="15">
        <v>7.400000000000001E-2</v>
      </c>
      <c r="O503" s="15">
        <v>2.0899999999999998E-2</v>
      </c>
      <c r="P503" s="15">
        <v>4.2699999999999995E-2</v>
      </c>
      <c r="Q503" s="15">
        <v>5.7800000000000004E-2</v>
      </c>
      <c r="R503" s="7"/>
    </row>
    <row r="504" spans="1:18" x14ac:dyDescent="0.25">
      <c r="A504">
        <v>201511</v>
      </c>
      <c r="B504" s="15">
        <v>2.9999999999999997E-4</v>
      </c>
      <c r="C504" s="15">
        <v>-4.99E-2</v>
      </c>
      <c r="D504" s="15">
        <v>9.300000000000001E-3</v>
      </c>
      <c r="E504" s="15">
        <v>-1.52E-2</v>
      </c>
      <c r="F504" s="15">
        <v>-5.0000000000000001E-4</v>
      </c>
      <c r="G504" s="15">
        <v>1.5700000000000002E-2</v>
      </c>
      <c r="H504" s="15">
        <v>-6.0000000000000001E-3</v>
      </c>
      <c r="I504" s="15">
        <v>5.79E-2</v>
      </c>
      <c r="J504" s="15">
        <v>-8.8999999999999999E-3</v>
      </c>
      <c r="K504" s="15">
        <v>5.5000000000000005E-3</v>
      </c>
      <c r="L504" s="15">
        <v>1.1899999999999999E-2</v>
      </c>
      <c r="M504" s="15">
        <v>2.7000000000000001E-3</v>
      </c>
      <c r="N504" s="15">
        <v>-7.3000000000000001E-3</v>
      </c>
      <c r="O504" s="15">
        <v>-3.44E-2</v>
      </c>
      <c r="P504" s="15">
        <v>3.2000000000000002E-3</v>
      </c>
      <c r="Q504" s="15">
        <v>2.18E-2</v>
      </c>
      <c r="R504" s="7"/>
    </row>
    <row r="505" spans="1:18" x14ac:dyDescent="0.25">
      <c r="A505">
        <v>201512</v>
      </c>
      <c r="B505" s="15">
        <v>1.3500000000000002E-2</v>
      </c>
      <c r="C505" s="15">
        <v>-6.2600000000000003E-2</v>
      </c>
      <c r="D505" s="15">
        <v>-9.7899999999999987E-2</v>
      </c>
      <c r="E505" s="15">
        <v>-0.04</v>
      </c>
      <c r="F505" s="15">
        <v>-3.39E-2</v>
      </c>
      <c r="G505" s="15">
        <v>-4.5999999999999999E-2</v>
      </c>
      <c r="H505" s="15">
        <v>1.8600000000000002E-2</v>
      </c>
      <c r="I505" s="15">
        <v>-2.9600000000000001E-2</v>
      </c>
      <c r="J505" s="15">
        <v>-2.64E-2</v>
      </c>
      <c r="K505" s="15">
        <v>-2.3399999999999997E-2</v>
      </c>
      <c r="L505" s="15">
        <v>-2.3799999999999998E-2</v>
      </c>
      <c r="M505" s="15">
        <v>-3.7599999999999995E-2</v>
      </c>
      <c r="N505" s="15">
        <v>-3.6200000000000003E-2</v>
      </c>
      <c r="O505" s="15">
        <v>-2.3599999999999999E-2</v>
      </c>
      <c r="P505" s="15">
        <v>9.300000000000001E-3</v>
      </c>
      <c r="Q505" s="15">
        <v>-2.8799999999999999E-2</v>
      </c>
      <c r="R505" s="7"/>
    </row>
    <row r="506" spans="1:18" x14ac:dyDescent="0.25">
      <c r="A506">
        <v>201601</v>
      </c>
      <c r="B506" s="15">
        <v>-1.38E-2</v>
      </c>
      <c r="C506" s="15">
        <v>-5.28E-2</v>
      </c>
      <c r="D506" s="15">
        <v>-4.4699999999999997E-2</v>
      </c>
      <c r="E506" s="15">
        <v>8.199999999999999E-3</v>
      </c>
      <c r="F506" s="15">
        <v>-6.1699999999999998E-2</v>
      </c>
      <c r="G506" s="15">
        <v>-0.12619999999999998</v>
      </c>
      <c r="H506" s="15">
        <v>-4.5499999999999999E-2</v>
      </c>
      <c r="I506" s="15">
        <v>-6.3399999999999998E-2</v>
      </c>
      <c r="J506" s="15">
        <v>-9.6999999999999989E-2</v>
      </c>
      <c r="K506" s="15">
        <v>-3.5900000000000001E-2</v>
      </c>
      <c r="L506" s="15">
        <v>-7.2999999999999995E-2</v>
      </c>
      <c r="M506" s="15">
        <v>-9.6799999999999997E-2</v>
      </c>
      <c r="N506" s="15">
        <v>-8.6500000000000007E-2</v>
      </c>
      <c r="O506" s="15">
        <v>4.6699999999999998E-2</v>
      </c>
      <c r="P506" s="15">
        <v>-3.7200000000000004E-2</v>
      </c>
      <c r="Q506" s="15">
        <v>-9.7899999999999987E-2</v>
      </c>
      <c r="R506" s="7"/>
    </row>
    <row r="507" spans="1:18" x14ac:dyDescent="0.25">
      <c r="A507">
        <v>201602</v>
      </c>
      <c r="B507" s="15">
        <v>4.0000000000000001E-3</v>
      </c>
      <c r="C507" s="15">
        <v>0.1216</v>
      </c>
      <c r="D507" s="15">
        <v>-2.8399999999999998E-2</v>
      </c>
      <c r="E507" s="15">
        <v>1.2E-2</v>
      </c>
      <c r="F507" s="15">
        <v>5.8099999999999999E-2</v>
      </c>
      <c r="G507" s="15">
        <v>7.4400000000000008E-2</v>
      </c>
      <c r="H507" s="15">
        <v>-9.1000000000000004E-3</v>
      </c>
      <c r="I507" s="15">
        <v>-4.0000000000000001E-3</v>
      </c>
      <c r="J507" s="15">
        <v>7.3800000000000004E-2</v>
      </c>
      <c r="K507" s="15">
        <v>3.1699999999999999E-2</v>
      </c>
      <c r="L507" s="15">
        <v>2.7900000000000001E-2</v>
      </c>
      <c r="M507" s="15">
        <v>2.98E-2</v>
      </c>
      <c r="N507" s="15">
        <v>5.5500000000000001E-2</v>
      </c>
      <c r="O507" s="15">
        <v>1.7500000000000002E-2</v>
      </c>
      <c r="P507" s="15">
        <v>-3.4999999999999996E-3</v>
      </c>
      <c r="Q507" s="15">
        <v>-3.0099999999999998E-2</v>
      </c>
      <c r="R507" s="7"/>
    </row>
    <row r="508" spans="1:18" x14ac:dyDescent="0.25">
      <c r="A508">
        <v>201603</v>
      </c>
      <c r="B508" s="15">
        <v>5.0900000000000001E-2</v>
      </c>
      <c r="C508" s="15">
        <v>0.1376</v>
      </c>
      <c r="D508" s="15">
        <v>0.107</v>
      </c>
      <c r="E508" s="15">
        <v>2.6699999999999998E-2</v>
      </c>
      <c r="F508" s="15">
        <v>9.2799999999999994E-2</v>
      </c>
      <c r="G508" s="15">
        <v>7.4299999999999991E-2</v>
      </c>
      <c r="H508" s="15">
        <v>3.0099999999999998E-2</v>
      </c>
      <c r="I508" s="15">
        <v>0.1069</v>
      </c>
      <c r="J508" s="15">
        <v>0.17739999999999997</v>
      </c>
      <c r="K508" s="15">
        <v>7.1500000000000008E-2</v>
      </c>
      <c r="L508" s="15">
        <v>8.1699999999999995E-2</v>
      </c>
      <c r="M508" s="15">
        <v>9.849999999999999E-2</v>
      </c>
      <c r="N508" s="15">
        <v>5.62E-2</v>
      </c>
      <c r="O508" s="15">
        <v>7.8600000000000003E-2</v>
      </c>
      <c r="P508" s="15">
        <v>5.1399999999999994E-2</v>
      </c>
      <c r="Q508" s="15">
        <v>6.6199999999999995E-2</v>
      </c>
      <c r="R508" s="7"/>
    </row>
    <row r="509" spans="1:18" x14ac:dyDescent="0.25">
      <c r="A509">
        <v>201604</v>
      </c>
      <c r="B509" s="15">
        <v>4.7999999999999996E-3</v>
      </c>
      <c r="C509" s="15">
        <v>0.1593</v>
      </c>
      <c r="D509" s="15">
        <v>9.1899999999999996E-2</v>
      </c>
      <c r="E509" s="15">
        <v>-1.72E-2</v>
      </c>
      <c r="F509" s="15">
        <v>-1.11E-2</v>
      </c>
      <c r="G509" s="15">
        <v>4.5599999999999995E-2</v>
      </c>
      <c r="H509" s="15">
        <v>0.03</v>
      </c>
      <c r="I509" s="15">
        <v>1.8E-3</v>
      </c>
      <c r="J509" s="15">
        <v>9.8599999999999993E-2</v>
      </c>
      <c r="K509" s="15">
        <v>1.4999999999999999E-2</v>
      </c>
      <c r="L509" s="15">
        <v>-1.0200000000000001E-2</v>
      </c>
      <c r="M509" s="15">
        <v>5.4000000000000003E-3</v>
      </c>
      <c r="N509" s="15">
        <v>1.5100000000000001E-2</v>
      </c>
      <c r="O509" s="15">
        <v>-8.0000000000000002E-3</v>
      </c>
      <c r="P509" s="15">
        <v>-7.1999999999999998E-3</v>
      </c>
      <c r="Q509" s="15">
        <v>4.1500000000000002E-2</v>
      </c>
      <c r="R509" s="7"/>
    </row>
    <row r="510" spans="1:18" x14ac:dyDescent="0.25">
      <c r="A510">
        <v>201605</v>
      </c>
      <c r="B510" s="15">
        <v>1.41E-2</v>
      </c>
      <c r="C510" s="15">
        <v>-4.41E-2</v>
      </c>
      <c r="D510" s="15">
        <v>-7.3000000000000001E-3</v>
      </c>
      <c r="E510" s="15">
        <v>-4.4000000000000004E-2</v>
      </c>
      <c r="F510" s="15">
        <v>1.3999999999999999E-2</v>
      </c>
      <c r="G510" s="15">
        <v>-1.4999999999999999E-2</v>
      </c>
      <c r="H510" s="15">
        <v>1.77E-2</v>
      </c>
      <c r="I510" s="15">
        <v>1.89E-2</v>
      </c>
      <c r="J510" s="15">
        <v>-8.4900000000000003E-2</v>
      </c>
      <c r="K510" s="15">
        <v>1.0500000000000001E-2</v>
      </c>
      <c r="L510" s="15">
        <v>3.9399999999999998E-2</v>
      </c>
      <c r="M510" s="15">
        <v>-1.24E-2</v>
      </c>
      <c r="N510" s="15">
        <v>-1.72E-2</v>
      </c>
      <c r="O510" s="15">
        <v>2.2400000000000003E-2</v>
      </c>
      <c r="P510" s="15">
        <v>8.3999999999999995E-3</v>
      </c>
      <c r="Q510" s="15">
        <v>2.2000000000000002E-2</v>
      </c>
      <c r="R510" s="7"/>
    </row>
    <row r="511" spans="1:18" x14ac:dyDescent="0.25">
      <c r="A511">
        <v>201606</v>
      </c>
      <c r="B511" s="15">
        <v>5.0099999999999999E-2</v>
      </c>
      <c r="C511" s="15">
        <v>7.8700000000000006E-2</v>
      </c>
      <c r="D511" s="15">
        <v>2.64E-2</v>
      </c>
      <c r="E511" s="15">
        <v>9.7000000000000003E-3</v>
      </c>
      <c r="F511" s="15">
        <v>-1.5E-3</v>
      </c>
      <c r="G511" s="15">
        <v>-9.8999999999999991E-3</v>
      </c>
      <c r="H511" s="15">
        <v>3.1699999999999999E-2</v>
      </c>
      <c r="I511" s="15">
        <v>-1.7600000000000001E-2</v>
      </c>
      <c r="J511" s="15">
        <v>2.5600000000000001E-2</v>
      </c>
      <c r="K511" s="15">
        <v>-1.7399999999999999E-2</v>
      </c>
      <c r="L511" s="15">
        <v>-4.5999999999999999E-3</v>
      </c>
      <c r="M511" s="15">
        <v>-4.1799999999999997E-2</v>
      </c>
      <c r="N511" s="15">
        <v>-8.6999999999999994E-3</v>
      </c>
      <c r="O511" s="15">
        <v>7.4200000000000002E-2</v>
      </c>
      <c r="P511" s="15">
        <v>1.11E-2</v>
      </c>
      <c r="Q511" s="15">
        <v>-5.3200000000000004E-2</v>
      </c>
      <c r="R511" s="7"/>
    </row>
    <row r="512" spans="1:18" x14ac:dyDescent="0.25">
      <c r="A512">
        <v>201607</v>
      </c>
      <c r="B512" s="15">
        <v>4.0000000000000002E-4</v>
      </c>
      <c r="C512" s="15">
        <v>7.4800000000000005E-2</v>
      </c>
      <c r="D512" s="15">
        <v>-2.7300000000000001E-2</v>
      </c>
      <c r="E512" s="15">
        <v>2.5699999999999997E-2</v>
      </c>
      <c r="F512" s="15">
        <v>7.2700000000000001E-2</v>
      </c>
      <c r="G512" s="15">
        <v>5.04E-2</v>
      </c>
      <c r="H512" s="15">
        <v>3.4099999999999998E-2</v>
      </c>
      <c r="I512" s="15">
        <v>5.6399999999999999E-2</v>
      </c>
      <c r="J512" s="15">
        <v>0.13730000000000001</v>
      </c>
      <c r="K512" s="15">
        <v>3.9399999999999998E-2</v>
      </c>
      <c r="L512" s="15">
        <v>7.2999999999999995E-2</v>
      </c>
      <c r="M512" s="15">
        <v>7.4099999999999999E-2</v>
      </c>
      <c r="N512" s="15">
        <v>4.8499999999999995E-2</v>
      </c>
      <c r="O512" s="15">
        <v>-2.5999999999999999E-3</v>
      </c>
      <c r="P512" s="15">
        <v>3.2599999999999997E-2</v>
      </c>
      <c r="Q512" s="15">
        <v>4.0599999999999997E-2</v>
      </c>
      <c r="R512" s="7"/>
    </row>
    <row r="513" spans="1:18" x14ac:dyDescent="0.25">
      <c r="A513">
        <v>201608</v>
      </c>
      <c r="B513" s="15">
        <v>-6.0999999999999995E-3</v>
      </c>
      <c r="C513" s="15">
        <v>-9.2399999999999996E-2</v>
      </c>
      <c r="D513" s="15">
        <v>1.6200000000000003E-2</v>
      </c>
      <c r="E513" s="15">
        <v>1.0800000000000001E-2</v>
      </c>
      <c r="F513" s="15">
        <v>1.46E-2</v>
      </c>
      <c r="G513" s="15">
        <v>3.3000000000000002E-2</v>
      </c>
      <c r="H513" s="15">
        <v>-2.98E-2</v>
      </c>
      <c r="I513" s="15">
        <v>-2.07E-2</v>
      </c>
      <c r="J513" s="15">
        <v>-7.6700000000000004E-2</v>
      </c>
      <c r="K513" s="15">
        <v>2.5699999999999997E-2</v>
      </c>
      <c r="L513" s="15">
        <v>2.3300000000000001E-2</v>
      </c>
      <c r="M513" s="15">
        <v>-1.2500000000000001E-2</v>
      </c>
      <c r="N513" s="15">
        <v>3.5999999999999999E-3</v>
      </c>
      <c r="O513" s="15">
        <v>-3.7699999999999997E-2</v>
      </c>
      <c r="P513" s="15">
        <v>-8.3999999999999995E-3</v>
      </c>
      <c r="Q513" s="15">
        <v>4.9200000000000001E-2</v>
      </c>
      <c r="R513" s="7"/>
    </row>
    <row r="514" spans="1:18" x14ac:dyDescent="0.25">
      <c r="A514">
        <v>201609</v>
      </c>
      <c r="B514" s="15">
        <v>-1.9900000000000001E-2</v>
      </c>
      <c r="C514" s="15">
        <v>2.4199999999999999E-2</v>
      </c>
      <c r="D514" s="15">
        <v>2.8399999999999998E-2</v>
      </c>
      <c r="E514" s="15">
        <v>-6.5500000000000003E-2</v>
      </c>
      <c r="F514" s="15">
        <v>-4.53E-2</v>
      </c>
      <c r="G514" s="15">
        <v>-1.5900000000000001E-2</v>
      </c>
      <c r="H514" s="15">
        <v>-1.06E-2</v>
      </c>
      <c r="I514" s="15">
        <v>-3.6799999999999999E-2</v>
      </c>
      <c r="J514" s="15">
        <v>2.46E-2</v>
      </c>
      <c r="K514" s="15">
        <v>0.02</v>
      </c>
      <c r="L514" s="15">
        <v>3.1800000000000002E-2</v>
      </c>
      <c r="M514" s="15">
        <v>-4.1999999999999997E-3</v>
      </c>
      <c r="N514" s="15">
        <v>1.2699999999999999E-2</v>
      </c>
      <c r="O514" s="15">
        <v>1.83E-2</v>
      </c>
      <c r="P514" s="15">
        <v>3.7000000000000002E-3</v>
      </c>
      <c r="Q514" s="15">
        <v>-1.49E-2</v>
      </c>
      <c r="R514" s="7"/>
    </row>
    <row r="515" spans="1:18" x14ac:dyDescent="0.25">
      <c r="A515">
        <v>201610</v>
      </c>
      <c r="B515" s="15">
        <v>-6.8999999999999999E-3</v>
      </c>
      <c r="C515" s="15">
        <v>-1.1999999999999999E-3</v>
      </c>
      <c r="D515" s="15">
        <v>-3.0899999999999997E-2</v>
      </c>
      <c r="E515" s="15">
        <v>-5.5199999999999999E-2</v>
      </c>
      <c r="F515" s="15">
        <v>-4.4000000000000004E-2</v>
      </c>
      <c r="G515" s="15">
        <v>-3.8E-3</v>
      </c>
      <c r="H515" s="15">
        <v>-3.7499999999999999E-2</v>
      </c>
      <c r="I515" s="15">
        <v>-5.7999999999999996E-2</v>
      </c>
      <c r="J515" s="15">
        <v>-2.92E-2</v>
      </c>
      <c r="K515" s="15">
        <v>-3.0099999999999998E-2</v>
      </c>
      <c r="L515" s="15">
        <v>-3.3099999999999997E-2</v>
      </c>
      <c r="M515" s="15">
        <v>-3.4500000000000003E-2</v>
      </c>
      <c r="N515" s="15">
        <v>4.7999999999999996E-3</v>
      </c>
      <c r="O515" s="15">
        <v>-6.7000000000000002E-3</v>
      </c>
      <c r="P515" s="15">
        <v>-3.0899999999999997E-2</v>
      </c>
      <c r="Q515" s="15">
        <v>1.54E-2</v>
      </c>
      <c r="R515" s="7"/>
    </row>
    <row r="516" spans="1:18" x14ac:dyDescent="0.25">
      <c r="A516">
        <v>201611</v>
      </c>
      <c r="B516" s="15">
        <v>-4.3200000000000002E-2</v>
      </c>
      <c r="C516" s="15">
        <v>0.1273</v>
      </c>
      <c r="D516" s="15">
        <v>9.5299999999999996E-2</v>
      </c>
      <c r="E516" s="15">
        <v>1.9E-2</v>
      </c>
      <c r="F516" s="15">
        <v>7.8700000000000006E-2</v>
      </c>
      <c r="G516" s="15">
        <v>7.9000000000000001E-2</v>
      </c>
      <c r="H516" s="15">
        <v>-4.4000000000000003E-3</v>
      </c>
      <c r="I516" s="15">
        <v>7.5499999999999998E-2</v>
      </c>
      <c r="J516" s="15">
        <v>0.21629999999999999</v>
      </c>
      <c r="K516" s="15">
        <v>7.0499999999999993E-2</v>
      </c>
      <c r="L516" s="15">
        <v>5.9400000000000001E-2</v>
      </c>
      <c r="M516" s="15">
        <v>6.2800000000000009E-2</v>
      </c>
      <c r="N516" s="15">
        <v>0.11210000000000001</v>
      </c>
      <c r="O516" s="15">
        <v>-2.64E-2</v>
      </c>
      <c r="P516" s="15">
        <v>2.7900000000000001E-2</v>
      </c>
      <c r="Q516" s="15">
        <v>0.1326</v>
      </c>
      <c r="R516" s="7"/>
    </row>
    <row r="517" spans="1:18" x14ac:dyDescent="0.25">
      <c r="A517">
        <v>201612</v>
      </c>
      <c r="B517" s="15">
        <v>4.2199999999999994E-2</v>
      </c>
      <c r="C517" s="15">
        <v>-2.0199999999999999E-2</v>
      </c>
      <c r="D517" s="15">
        <v>2.06E-2</v>
      </c>
      <c r="E517" s="15">
        <v>-5.6000000000000008E-3</v>
      </c>
      <c r="F517" s="15">
        <v>-2.0000000000000001E-4</v>
      </c>
      <c r="G517" s="15">
        <v>6.4000000000000003E-3</v>
      </c>
      <c r="H517" s="15">
        <v>2.0499999999999997E-2</v>
      </c>
      <c r="I517" s="15">
        <v>1.3300000000000001E-2</v>
      </c>
      <c r="J517" s="15">
        <v>-2.1499999999999998E-2</v>
      </c>
      <c r="K517" s="15">
        <v>-2.9999999999999997E-4</v>
      </c>
      <c r="L517" s="15">
        <v>7.9000000000000008E-3</v>
      </c>
      <c r="M517" s="15">
        <v>3.1400000000000004E-2</v>
      </c>
      <c r="N517" s="15">
        <v>5.1000000000000004E-3</v>
      </c>
      <c r="O517" s="15">
        <v>3.61E-2</v>
      </c>
      <c r="P517" s="15">
        <v>-1.41E-2</v>
      </c>
      <c r="Q517" s="15">
        <v>3.8599999999999995E-2</v>
      </c>
      <c r="R517" s="7"/>
    </row>
    <row r="518" spans="1:18" x14ac:dyDescent="0.25">
      <c r="A518">
        <v>201701</v>
      </c>
      <c r="B518" s="15">
        <v>3.0999999999999999E-3</v>
      </c>
      <c r="C518" s="15">
        <v>0.10679999999999999</v>
      </c>
      <c r="D518" s="15">
        <v>-4.1700000000000001E-2</v>
      </c>
      <c r="E518" s="15">
        <v>8.0000000000000002E-3</v>
      </c>
      <c r="F518" s="15">
        <v>-9.5999999999999992E-3</v>
      </c>
      <c r="G518" s="15">
        <v>2.9500000000000002E-2</v>
      </c>
      <c r="H518" s="15">
        <v>1.6500000000000001E-2</v>
      </c>
      <c r="I518" s="15">
        <v>3.9800000000000002E-2</v>
      </c>
      <c r="J518" s="15">
        <v>3.49E-2</v>
      </c>
      <c r="K518" s="15">
        <v>2.07E-2</v>
      </c>
      <c r="L518" s="15">
        <v>3.2400000000000005E-2</v>
      </c>
      <c r="M518" s="15">
        <v>2.87E-2</v>
      </c>
      <c r="N518" s="15">
        <v>1.9199999999999998E-2</v>
      </c>
      <c r="O518" s="15">
        <v>1.0700000000000001E-2</v>
      </c>
      <c r="P518" s="15">
        <v>9.7000000000000003E-3</v>
      </c>
      <c r="Q518" s="15">
        <v>5.1999999999999998E-3</v>
      </c>
      <c r="R518" s="7"/>
    </row>
    <row r="519" spans="1:18" x14ac:dyDescent="0.25">
      <c r="A519">
        <v>201702</v>
      </c>
      <c r="B519" s="15">
        <v>2.5499999999999998E-2</v>
      </c>
      <c r="C519" s="15">
        <v>-7.6499999999999999E-2</v>
      </c>
      <c r="D519" s="15">
        <v>-2.4500000000000001E-2</v>
      </c>
      <c r="E519" s="15">
        <v>2.87E-2</v>
      </c>
      <c r="F519" s="15">
        <v>2.8799999999999999E-2</v>
      </c>
      <c r="G519" s="15">
        <v>3.3399999999999999E-2</v>
      </c>
      <c r="H519" s="15">
        <v>7.3700000000000002E-2</v>
      </c>
      <c r="I519" s="15">
        <v>3.1300000000000001E-2</v>
      </c>
      <c r="J519" s="15">
        <v>9.1600000000000001E-2</v>
      </c>
      <c r="K519" s="15">
        <v>1.03E-2</v>
      </c>
      <c r="L519" s="15">
        <v>3.8300000000000001E-2</v>
      </c>
      <c r="M519" s="15">
        <v>3.4000000000000002E-3</v>
      </c>
      <c r="N519" s="15">
        <v>4.3400000000000001E-2</v>
      </c>
      <c r="O519" s="15">
        <v>3.9800000000000002E-2</v>
      </c>
      <c r="P519" s="15">
        <v>0.03</v>
      </c>
      <c r="Q519" s="15">
        <v>4.5599999999999995E-2</v>
      </c>
      <c r="R519" s="7"/>
    </row>
    <row r="520" spans="1:18" x14ac:dyDescent="0.25">
      <c r="A520">
        <v>201703</v>
      </c>
      <c r="B520" s="15">
        <v>6.1999999999999998E-3</v>
      </c>
      <c r="C520" s="15">
        <v>-2.3300000000000001E-2</v>
      </c>
      <c r="D520" s="15">
        <v>-1.24E-2</v>
      </c>
      <c r="E520" s="15">
        <v>8.199999999999999E-3</v>
      </c>
      <c r="F520" s="15">
        <v>5.4000000000000003E-3</v>
      </c>
      <c r="G520" s="15">
        <v>2.2499999999999999E-2</v>
      </c>
      <c r="H520" s="15">
        <v>3.4999999999999996E-3</v>
      </c>
      <c r="I520" s="15">
        <v>3.2300000000000002E-2</v>
      </c>
      <c r="J520" s="15">
        <v>-6.1900000000000004E-2</v>
      </c>
      <c r="K520" s="15">
        <v>1.54E-2</v>
      </c>
      <c r="L520" s="15">
        <v>1.2199999999999999E-2</v>
      </c>
      <c r="M520" s="15">
        <v>-4.6999999999999993E-3</v>
      </c>
      <c r="N520" s="15">
        <v>-2.2799999999999997E-2</v>
      </c>
      <c r="O520" s="15">
        <v>3.7000000000000002E-3</v>
      </c>
      <c r="P520" s="15">
        <v>8.3999999999999995E-3</v>
      </c>
      <c r="Q520" s="15">
        <v>-2.3300000000000001E-2</v>
      </c>
      <c r="R520" s="7"/>
    </row>
    <row r="521" spans="1:18" x14ac:dyDescent="0.25">
      <c r="A521">
        <v>201704</v>
      </c>
      <c r="B521" s="15">
        <v>1.1299999999999999E-2</v>
      </c>
      <c r="C521" s="15">
        <v>-1.5800000000000002E-2</v>
      </c>
      <c r="D521" s="15">
        <v>-2.7300000000000001E-2</v>
      </c>
      <c r="E521" s="15">
        <v>-6.6E-3</v>
      </c>
      <c r="F521" s="15">
        <v>3.1E-2</v>
      </c>
      <c r="G521" s="15">
        <v>5.0000000000000001E-3</v>
      </c>
      <c r="H521" s="15">
        <v>-6.6E-3</v>
      </c>
      <c r="I521" s="15">
        <v>3.6499999999999998E-2</v>
      </c>
      <c r="J521" s="15">
        <v>-5.6000000000000008E-3</v>
      </c>
      <c r="K521" s="15">
        <v>3.0200000000000001E-2</v>
      </c>
      <c r="L521" s="15">
        <v>1.67E-2</v>
      </c>
      <c r="M521" s="15">
        <v>3.9000000000000003E-3</v>
      </c>
      <c r="N521" s="15">
        <v>2.9300000000000003E-2</v>
      </c>
      <c r="O521" s="15">
        <v>3.3E-3</v>
      </c>
      <c r="P521" s="15">
        <v>3.73E-2</v>
      </c>
      <c r="Q521" s="15">
        <v>1.7000000000000001E-3</v>
      </c>
      <c r="R521" s="7"/>
    </row>
    <row r="522" spans="1:18" x14ac:dyDescent="0.25">
      <c r="A522">
        <v>201705</v>
      </c>
      <c r="B522" s="15">
        <v>2.35E-2</v>
      </c>
      <c r="C522" s="15">
        <v>-1.6899999999999998E-2</v>
      </c>
      <c r="D522" s="15">
        <v>-3.2799999999999996E-2</v>
      </c>
      <c r="E522" s="15">
        <v>-1.44E-2</v>
      </c>
      <c r="F522" s="15">
        <v>2.1700000000000001E-2</v>
      </c>
      <c r="G522" s="15">
        <v>-4.4000000000000003E-3</v>
      </c>
      <c r="H522" s="15">
        <v>2.8300000000000002E-2</v>
      </c>
      <c r="I522" s="15">
        <v>-2.6200000000000001E-2</v>
      </c>
      <c r="J522" s="15">
        <v>-4.5999999999999999E-2</v>
      </c>
      <c r="K522" s="15">
        <v>1.3300000000000001E-2</v>
      </c>
      <c r="L522" s="15">
        <v>3.4500000000000003E-2</v>
      </c>
      <c r="M522" s="15">
        <v>-1.11E-2</v>
      </c>
      <c r="N522" s="15">
        <v>2.8199999999999999E-2</v>
      </c>
      <c r="O522" s="15">
        <v>2.4300000000000002E-2</v>
      </c>
      <c r="P522" s="15">
        <v>2.5399999999999999E-2</v>
      </c>
      <c r="Q522" s="15">
        <v>-1.1299999999999999E-2</v>
      </c>
      <c r="R522" s="7"/>
    </row>
    <row r="523" spans="1:18" x14ac:dyDescent="0.25">
      <c r="A523">
        <v>201706</v>
      </c>
      <c r="B523" s="15">
        <v>-2.58E-2</v>
      </c>
      <c r="C523" s="15">
        <v>-4.3E-3</v>
      </c>
      <c r="D523" s="15">
        <v>-1.2999999999999999E-3</v>
      </c>
      <c r="E523" s="15">
        <v>8.4600000000000009E-2</v>
      </c>
      <c r="F523" s="15">
        <v>2.2200000000000001E-2</v>
      </c>
      <c r="G523" s="15">
        <v>1.5100000000000001E-2</v>
      </c>
      <c r="H523" s="15">
        <v>1.9099999999999999E-2</v>
      </c>
      <c r="I523" s="15">
        <v>2.0299999999999999E-2</v>
      </c>
      <c r="J523" s="15">
        <v>-1.9E-3</v>
      </c>
      <c r="K523" s="15">
        <v>1.44E-2</v>
      </c>
      <c r="L523" s="15">
        <v>-1.8700000000000001E-2</v>
      </c>
      <c r="M523" s="15">
        <v>1.18E-2</v>
      </c>
      <c r="N523" s="15">
        <v>2.5399999999999999E-2</v>
      </c>
      <c r="O523" s="15">
        <v>-1.9099999999999999E-2</v>
      </c>
      <c r="P523" s="15">
        <v>-2.4799999999999999E-2</v>
      </c>
      <c r="Q523" s="15">
        <v>5.9500000000000004E-2</v>
      </c>
      <c r="R523" s="7"/>
    </row>
    <row r="524" spans="1:18" x14ac:dyDescent="0.25">
      <c r="A524">
        <v>201707</v>
      </c>
      <c r="B524" s="15">
        <v>1.6399999999999998E-2</v>
      </c>
      <c r="C524" s="15">
        <v>8.2299999999999998E-2</v>
      </c>
      <c r="D524" s="15">
        <v>1.8799999999999997E-2</v>
      </c>
      <c r="E524" s="15">
        <v>1.44E-2</v>
      </c>
      <c r="F524" s="15">
        <v>-4.7599999999999996E-2</v>
      </c>
      <c r="G524" s="15">
        <v>1.9699999999999999E-2</v>
      </c>
      <c r="H524" s="15">
        <v>1.5E-3</v>
      </c>
      <c r="I524" s="15">
        <v>-1.34E-2</v>
      </c>
      <c r="J524" s="15">
        <v>1.3100000000000001E-2</v>
      </c>
      <c r="K524" s="15">
        <v>8.6E-3</v>
      </c>
      <c r="L524" s="15">
        <v>2.9700000000000001E-2</v>
      </c>
      <c r="M524" s="15">
        <v>-1.6200000000000003E-2</v>
      </c>
      <c r="N524" s="15">
        <v>3.0000000000000001E-3</v>
      </c>
      <c r="O524" s="15">
        <v>2.9900000000000003E-2</v>
      </c>
      <c r="P524" s="15">
        <v>7.7000000000000002E-3</v>
      </c>
      <c r="Q524" s="15">
        <v>1.8500000000000003E-2</v>
      </c>
      <c r="R524" s="7"/>
    </row>
    <row r="525" spans="1:18" x14ac:dyDescent="0.25">
      <c r="A525">
        <v>201708</v>
      </c>
      <c r="B525" s="15">
        <v>-1.8000000000000002E-2</v>
      </c>
      <c r="C525" s="15">
        <v>7.9000000000000008E-3</v>
      </c>
      <c r="D525" s="15">
        <v>-5.1200000000000002E-2</v>
      </c>
      <c r="E525" s="15">
        <v>-4.3200000000000002E-2</v>
      </c>
      <c r="F525" s="15">
        <v>-3.7599999999999995E-2</v>
      </c>
      <c r="G525" s="15">
        <v>1.6299999999999999E-2</v>
      </c>
      <c r="H525" s="15">
        <v>5.8999999999999999E-3</v>
      </c>
      <c r="I525" s="15">
        <v>-3.8E-3</v>
      </c>
      <c r="J525" s="15">
        <v>1.67E-2</v>
      </c>
      <c r="K525" s="15">
        <v>-1.4199999999999999E-2</v>
      </c>
      <c r="L525" s="15">
        <v>1.3300000000000001E-2</v>
      </c>
      <c r="M525" s="15">
        <v>8.6E-3</v>
      </c>
      <c r="N525" s="15">
        <v>1.6299999999999999E-2</v>
      </c>
      <c r="O525" s="15">
        <v>2.1700000000000001E-2</v>
      </c>
      <c r="P525" s="15">
        <v>-1.24E-2</v>
      </c>
      <c r="Q525" s="15">
        <v>-1.29E-2</v>
      </c>
      <c r="R525" s="7"/>
    </row>
    <row r="526" spans="1:18" x14ac:dyDescent="0.25">
      <c r="A526">
        <v>201709</v>
      </c>
      <c r="B526" s="15">
        <v>-2.7000000000000001E-3</v>
      </c>
      <c r="C526" s="15">
        <v>-1.1200000000000002E-2</v>
      </c>
      <c r="D526" s="15">
        <v>0.10980000000000001</v>
      </c>
      <c r="E526" s="15">
        <v>1.2199999999999999E-2</v>
      </c>
      <c r="F526" s="15">
        <v>4.4800000000000006E-2</v>
      </c>
      <c r="G526" s="15">
        <v>7.0599999999999996E-2</v>
      </c>
      <c r="H526" s="15">
        <v>5.5000000000000005E-3</v>
      </c>
      <c r="I526" s="15">
        <v>7.8299999999999995E-2</v>
      </c>
      <c r="J526" s="15">
        <v>3.73E-2</v>
      </c>
      <c r="K526" s="15">
        <v>7.3800000000000004E-2</v>
      </c>
      <c r="L526" s="15">
        <v>5.7099999999999998E-2</v>
      </c>
      <c r="M526" s="15">
        <v>7.5300000000000006E-2</v>
      </c>
      <c r="N526" s="15">
        <v>4.7500000000000001E-2</v>
      </c>
      <c r="O526" s="15">
        <v>-1.95E-2</v>
      </c>
      <c r="P526" s="15">
        <v>8.5000000000000006E-3</v>
      </c>
      <c r="Q526" s="15">
        <v>5.2699999999999997E-2</v>
      </c>
      <c r="R526" s="7"/>
    </row>
    <row r="527" spans="1:18" x14ac:dyDescent="0.25">
      <c r="A527">
        <v>201710</v>
      </c>
      <c r="B527" s="15">
        <v>9.7999999999999997E-3</v>
      </c>
      <c r="C527" s="15">
        <v>1.23E-2</v>
      </c>
      <c r="D527" s="15">
        <v>4.0999999999999995E-3</v>
      </c>
      <c r="E527" s="15">
        <v>3.0499999999999999E-2</v>
      </c>
      <c r="F527" s="15">
        <v>-1.6399999999999998E-2</v>
      </c>
      <c r="G527" s="15">
        <v>4.7899999999999998E-2</v>
      </c>
      <c r="H527" s="15">
        <v>-3.6600000000000001E-2</v>
      </c>
      <c r="I527" s="15">
        <v>4.0800000000000003E-2</v>
      </c>
      <c r="J527" s="15">
        <v>2.23E-2</v>
      </c>
      <c r="K527" s="15">
        <v>1.7600000000000001E-2</v>
      </c>
      <c r="L527" s="15">
        <v>6.1699999999999998E-2</v>
      </c>
      <c r="M527" s="15">
        <v>1.1599999999999999E-2</v>
      </c>
      <c r="N527" s="15">
        <v>-2.3999999999999998E-3</v>
      </c>
      <c r="O527" s="15">
        <v>3.0200000000000001E-2</v>
      </c>
      <c r="P527" s="15">
        <v>3.9199999999999999E-2</v>
      </c>
      <c r="Q527" s="15">
        <v>3.3700000000000001E-2</v>
      </c>
      <c r="R527" s="7"/>
    </row>
    <row r="528" spans="1:18" x14ac:dyDescent="0.25">
      <c r="A528">
        <v>201711</v>
      </c>
      <c r="B528" s="15">
        <v>4.2500000000000003E-2</v>
      </c>
      <c r="C528" s="15">
        <v>8.6E-3</v>
      </c>
      <c r="D528" s="15">
        <v>2.8799999999999999E-2</v>
      </c>
      <c r="E528" s="15">
        <v>7.2999999999999995E-2</v>
      </c>
      <c r="F528" s="15">
        <v>3.8300000000000001E-2</v>
      </c>
      <c r="G528" s="15">
        <v>2.3199999999999998E-2</v>
      </c>
      <c r="H528" s="15">
        <v>2.6600000000000002E-2</v>
      </c>
      <c r="I528" s="15">
        <v>6.9800000000000001E-2</v>
      </c>
      <c r="J528" s="15">
        <v>-1.3899999999999999E-2</v>
      </c>
      <c r="K528" s="15">
        <v>3.8E-3</v>
      </c>
      <c r="L528" s="15">
        <v>2.4E-2</v>
      </c>
      <c r="M528" s="15">
        <v>2.52E-2</v>
      </c>
      <c r="N528" s="15">
        <v>5.5599999999999997E-2</v>
      </c>
      <c r="O528" s="15">
        <v>2.4199999999999999E-2</v>
      </c>
      <c r="P528" s="15">
        <v>8.48E-2</v>
      </c>
      <c r="Q528" s="15">
        <v>3.9599999999999996E-2</v>
      </c>
      <c r="R528" s="7"/>
    </row>
    <row r="529" spans="1:18" x14ac:dyDescent="0.25">
      <c r="A529">
        <v>201712</v>
      </c>
      <c r="B529" s="15">
        <v>1.3000000000000001E-2</v>
      </c>
      <c r="C529" s="15">
        <v>0.1137</v>
      </c>
      <c r="D529" s="15">
        <v>5.0999999999999997E-2</v>
      </c>
      <c r="E529" s="15">
        <v>3.8100000000000002E-2</v>
      </c>
      <c r="F529" s="15">
        <v>-2.3099999999999999E-2</v>
      </c>
      <c r="G529" s="15">
        <v>5.6999999999999993E-3</v>
      </c>
      <c r="H529" s="15">
        <v>1.9E-2</v>
      </c>
      <c r="I529" s="15">
        <v>3.8399999999999997E-2</v>
      </c>
      <c r="J529" s="15">
        <v>0.1321</v>
      </c>
      <c r="K529" s="15">
        <v>6.0999999999999995E-3</v>
      </c>
      <c r="L529" s="15">
        <v>3.3E-3</v>
      </c>
      <c r="M529" s="15">
        <v>-5.1999999999999998E-3</v>
      </c>
      <c r="N529" s="15">
        <v>3.1E-2</v>
      </c>
      <c r="O529" s="15">
        <v>-4.9800000000000004E-2</v>
      </c>
      <c r="P529" s="15">
        <v>1.67E-2</v>
      </c>
      <c r="Q529" s="15">
        <v>1.03E-2</v>
      </c>
      <c r="R529" s="7"/>
    </row>
    <row r="530" spans="1:18" x14ac:dyDescent="0.25">
      <c r="A530">
        <v>201801</v>
      </c>
      <c r="B530" s="15">
        <v>1.8500000000000003E-2</v>
      </c>
      <c r="C530" s="15">
        <v>3.2300000000000002E-2</v>
      </c>
      <c r="D530" s="15">
        <v>2.86E-2</v>
      </c>
      <c r="E530" s="15">
        <v>6.5700000000000008E-2</v>
      </c>
      <c r="F530" s="15">
        <v>2.2200000000000001E-2</v>
      </c>
      <c r="G530" s="15">
        <v>1.67E-2</v>
      </c>
      <c r="H530" s="15">
        <v>1.1200000000000002E-2</v>
      </c>
      <c r="I530" s="15">
        <v>3.6499999999999998E-2</v>
      </c>
      <c r="J530" s="15">
        <v>3.6000000000000004E-2</v>
      </c>
      <c r="K530" s="15">
        <v>1.9E-2</v>
      </c>
      <c r="L530" s="15">
        <v>7.3300000000000004E-2</v>
      </c>
      <c r="M530" s="15">
        <v>4.8000000000000001E-2</v>
      </c>
      <c r="N530" s="15">
        <v>6.6600000000000006E-2</v>
      </c>
      <c r="O530" s="15">
        <v>-2.81E-2</v>
      </c>
      <c r="P530" s="15">
        <v>0.10460000000000001</v>
      </c>
      <c r="Q530" s="15">
        <v>6.13E-2</v>
      </c>
      <c r="R530" s="7"/>
    </row>
    <row r="531" spans="1:18" x14ac:dyDescent="0.25">
      <c r="A531">
        <v>201802</v>
      </c>
      <c r="B531" s="15">
        <v>-6.6400000000000001E-2</v>
      </c>
      <c r="C531" s="15">
        <v>-2.4199999999999999E-2</v>
      </c>
      <c r="D531" s="15">
        <v>-0.1091</v>
      </c>
      <c r="E531" s="15">
        <v>-2.9500000000000002E-2</v>
      </c>
      <c r="F531" s="15">
        <v>-5.0700000000000002E-2</v>
      </c>
      <c r="G531" s="15">
        <v>-5.3899999999999997E-2</v>
      </c>
      <c r="H531" s="15">
        <v>-5.16E-2</v>
      </c>
      <c r="I531" s="15">
        <v>-9.6699999999999994E-2</v>
      </c>
      <c r="J531" s="15">
        <v>-0.02</v>
      </c>
      <c r="K531" s="15">
        <v>-5.2499999999999998E-2</v>
      </c>
      <c r="L531" s="15">
        <v>-1.0200000000000001E-2</v>
      </c>
      <c r="M531" s="15">
        <v>-6.3399999999999998E-2</v>
      </c>
      <c r="N531" s="15">
        <v>-3.2500000000000001E-2</v>
      </c>
      <c r="O531" s="15">
        <v>-4.5400000000000003E-2</v>
      </c>
      <c r="P531" s="15">
        <v>-3.0699999999999998E-2</v>
      </c>
      <c r="Q531" s="15">
        <v>-2.5899999999999999E-2</v>
      </c>
      <c r="R531" s="7"/>
    </row>
    <row r="532" spans="1:18" x14ac:dyDescent="0.25">
      <c r="A532">
        <v>201803</v>
      </c>
      <c r="B532" s="15">
        <v>-9.8999999999999991E-3</v>
      </c>
      <c r="C532" s="15">
        <v>-9.7999999999999997E-3</v>
      </c>
      <c r="D532" s="15">
        <v>3.1099999999999999E-2</v>
      </c>
      <c r="E532" s="15">
        <v>4.4000000000000003E-3</v>
      </c>
      <c r="F532" s="15">
        <v>-2.6499999999999999E-2</v>
      </c>
      <c r="G532" s="15">
        <v>-1.95E-2</v>
      </c>
      <c r="H532" s="15">
        <v>-2.8999999999999998E-3</v>
      </c>
      <c r="I532" s="15">
        <v>-4.4000000000000003E-3</v>
      </c>
      <c r="J532" s="15">
        <v>-5.8700000000000002E-2</v>
      </c>
      <c r="K532" s="15">
        <v>-2.0999999999999999E-3</v>
      </c>
      <c r="L532" s="15">
        <v>-1.3999999999999999E-2</v>
      </c>
      <c r="M532" s="15">
        <v>-5.0199999999999995E-2</v>
      </c>
      <c r="N532" s="15">
        <v>-2.52E-2</v>
      </c>
      <c r="O532" s="15">
        <v>3.1699999999999999E-2</v>
      </c>
      <c r="P532" s="15">
        <v>-3.0800000000000001E-2</v>
      </c>
      <c r="Q532" s="15">
        <v>-3.44E-2</v>
      </c>
      <c r="R532" s="7"/>
    </row>
    <row r="533" spans="1:18" x14ac:dyDescent="0.25">
      <c r="A533">
        <v>201804</v>
      </c>
      <c r="B533" s="15">
        <v>-0.02</v>
      </c>
      <c r="C533" s="15">
        <v>-2.7099999999999999E-2</v>
      </c>
      <c r="D533" s="15">
        <v>0.10249999999999999</v>
      </c>
      <c r="E533" s="15">
        <v>2.18E-2</v>
      </c>
      <c r="F533" s="15">
        <v>5.5000000000000005E-3</v>
      </c>
      <c r="G533" s="15">
        <v>2.3099999999999999E-2</v>
      </c>
      <c r="H533" s="15">
        <v>-3.5699999999999996E-2</v>
      </c>
      <c r="I533" s="15">
        <v>-1.0800000000000001E-2</v>
      </c>
      <c r="J533" s="15">
        <v>3.6799999999999999E-2</v>
      </c>
      <c r="K533" s="15">
        <v>-1.5800000000000002E-2</v>
      </c>
      <c r="L533" s="15">
        <v>-3.3599999999999998E-2</v>
      </c>
      <c r="M533" s="15">
        <v>-1.6000000000000001E-3</v>
      </c>
      <c r="N533" s="15">
        <v>-1.06E-2</v>
      </c>
      <c r="O533" s="15">
        <v>2.7799999999999998E-2</v>
      </c>
      <c r="P533" s="15">
        <v>4.8000000000000001E-2</v>
      </c>
      <c r="Q533" s="15">
        <v>1.15E-2</v>
      </c>
      <c r="R533" s="7"/>
    </row>
    <row r="534" spans="1:18" x14ac:dyDescent="0.25">
      <c r="A534">
        <v>201805</v>
      </c>
      <c r="B534" s="15">
        <v>-5.3E-3</v>
      </c>
      <c r="C534" s="15">
        <v>4.0300000000000002E-2</v>
      </c>
      <c r="D534" s="15">
        <v>3.4500000000000003E-2</v>
      </c>
      <c r="E534" s="15">
        <v>3.4599999999999999E-2</v>
      </c>
      <c r="F534" s="15">
        <v>8.3999999999999995E-3</v>
      </c>
      <c r="G534" s="15">
        <v>2.76E-2</v>
      </c>
      <c r="H534" s="15">
        <v>-1.11E-2</v>
      </c>
      <c r="I534" s="15">
        <v>2.8500000000000001E-2</v>
      </c>
      <c r="J534" s="15">
        <v>5.5999999999999994E-2</v>
      </c>
      <c r="K534" s="15">
        <v>1.95E-2</v>
      </c>
      <c r="L534" s="15">
        <v>5.28E-2</v>
      </c>
      <c r="M534" s="15">
        <v>4.4199999999999996E-2</v>
      </c>
      <c r="N534" s="15">
        <v>4.1500000000000002E-2</v>
      </c>
      <c r="O534" s="15">
        <v>2.2000000000000001E-3</v>
      </c>
      <c r="P534" s="15">
        <v>-4.0000000000000002E-4</v>
      </c>
      <c r="Q534" s="15">
        <v>3.8E-3</v>
      </c>
      <c r="R534" s="7"/>
    </row>
    <row r="535" spans="1:18" x14ac:dyDescent="0.25">
      <c r="A535">
        <v>201806</v>
      </c>
      <c r="B535" s="15">
        <v>5.0999999999999997E-2</v>
      </c>
      <c r="C535" s="15">
        <v>-1.46E-2</v>
      </c>
      <c r="D535" s="15">
        <v>4.5000000000000005E-3</v>
      </c>
      <c r="E535" s="15">
        <v>6.5099999999999991E-2</v>
      </c>
      <c r="F535" s="15">
        <v>1.9099999999999999E-2</v>
      </c>
      <c r="G535" s="15">
        <v>-7.8000000000000005E-3</v>
      </c>
      <c r="H535" s="15">
        <v>2.1899999999999999E-2</v>
      </c>
      <c r="I535" s="15">
        <v>2.07E-2</v>
      </c>
      <c r="J535" s="15">
        <v>-5.1399999999999994E-2</v>
      </c>
      <c r="K535" s="15">
        <v>-4.3299999999999998E-2</v>
      </c>
      <c r="L535" s="15">
        <v>-3.1699999999999999E-2</v>
      </c>
      <c r="M535" s="15">
        <v>1.0800000000000001E-2</v>
      </c>
      <c r="N535" s="15">
        <v>-3.3700000000000001E-2</v>
      </c>
      <c r="O535" s="15">
        <v>2.6099999999999998E-2</v>
      </c>
      <c r="P535" s="15">
        <v>3.27E-2</v>
      </c>
      <c r="Q535" s="15">
        <v>-1.0200000000000001E-2</v>
      </c>
      <c r="R535" s="7"/>
    </row>
    <row r="536" spans="1:18" x14ac:dyDescent="0.25">
      <c r="A536">
        <v>201807</v>
      </c>
      <c r="B536" s="15">
        <v>2.3199999999999998E-2</v>
      </c>
      <c r="C536" s="15">
        <v>-1.95E-2</v>
      </c>
      <c r="D536" s="15">
        <v>1.0700000000000001E-2</v>
      </c>
      <c r="E536" s="15">
        <v>0</v>
      </c>
      <c r="F536" s="15">
        <v>2.2599999999999999E-2</v>
      </c>
      <c r="G536" s="15">
        <v>4.4400000000000002E-2</v>
      </c>
      <c r="H536" s="15">
        <v>6.4299999999999996E-2</v>
      </c>
      <c r="I536" s="15">
        <v>2.23E-2</v>
      </c>
      <c r="J536" s="15">
        <v>4.2500000000000003E-2</v>
      </c>
      <c r="K536" s="15">
        <v>8.1699999999999995E-2</v>
      </c>
      <c r="L536" s="15">
        <v>3.5099999999999999E-2</v>
      </c>
      <c r="M536" s="15">
        <v>-6.8000000000000005E-3</v>
      </c>
      <c r="N536" s="15">
        <v>7.6200000000000004E-2</v>
      </c>
      <c r="O536" s="15">
        <v>1.6899999999999998E-2</v>
      </c>
      <c r="P536" s="15">
        <v>3.2599999999999997E-2</v>
      </c>
      <c r="Q536" s="15">
        <v>4.2500000000000003E-2</v>
      </c>
      <c r="R536" s="7"/>
    </row>
    <row r="537" spans="1:18" x14ac:dyDescent="0.25">
      <c r="A537">
        <v>201808</v>
      </c>
      <c r="B537" s="15">
        <v>-4.8999999999999998E-3</v>
      </c>
      <c r="C537" s="15">
        <v>-9.5899999999999999E-2</v>
      </c>
      <c r="D537" s="15">
        <v>-2.9100000000000001E-2</v>
      </c>
      <c r="E537" s="15">
        <v>4.9800000000000004E-2</v>
      </c>
      <c r="F537" s="15">
        <v>2.1099999999999997E-2</v>
      </c>
      <c r="G537" s="15">
        <v>-2.7000000000000001E-3</v>
      </c>
      <c r="H537" s="15">
        <v>2.86E-2</v>
      </c>
      <c r="I537" s="15">
        <v>2.1600000000000001E-2</v>
      </c>
      <c r="J537" s="15">
        <v>-3.2300000000000002E-2</v>
      </c>
      <c r="K537" s="15">
        <v>2.86E-2</v>
      </c>
      <c r="L537" s="15">
        <v>3.5900000000000001E-2</v>
      </c>
      <c r="M537" s="15">
        <v>1.1200000000000002E-2</v>
      </c>
      <c r="N537" s="15">
        <v>5.8999999999999999E-3</v>
      </c>
      <c r="O537" s="15">
        <v>9.300000000000001E-3</v>
      </c>
      <c r="P537" s="15">
        <v>9.3100000000000002E-2</v>
      </c>
      <c r="Q537" s="15">
        <v>2.4399999999999998E-2</v>
      </c>
      <c r="R537" s="7"/>
    </row>
    <row r="538" spans="1:18" x14ac:dyDescent="0.25">
      <c r="A538">
        <v>201809</v>
      </c>
      <c r="B538" s="15">
        <v>-3.4000000000000002E-3</v>
      </c>
      <c r="C538" s="15">
        <v>-2.2099999999999998E-2</v>
      </c>
      <c r="D538" s="15">
        <v>3.4500000000000003E-2</v>
      </c>
      <c r="E538" s="15">
        <v>6.0999999999999995E-3</v>
      </c>
      <c r="F538" s="15">
        <v>8.6999999999999994E-3</v>
      </c>
      <c r="G538" s="15">
        <v>-3.0800000000000001E-2</v>
      </c>
      <c r="H538" s="15">
        <v>2.9500000000000002E-2</v>
      </c>
      <c r="I538" s="15">
        <v>1.6000000000000001E-3</v>
      </c>
      <c r="J538" s="15">
        <v>-6.8999999999999999E-3</v>
      </c>
      <c r="K538" s="15">
        <v>4.4900000000000002E-2</v>
      </c>
      <c r="L538" s="15">
        <v>1.7000000000000001E-3</v>
      </c>
      <c r="M538" s="15">
        <v>-0.04</v>
      </c>
      <c r="N538" s="15">
        <v>3.61E-2</v>
      </c>
      <c r="O538" s="15">
        <v>-5.6000000000000008E-3</v>
      </c>
      <c r="P538" s="15">
        <v>4.6999999999999993E-3</v>
      </c>
      <c r="Q538" s="15">
        <v>-2.06E-2</v>
      </c>
      <c r="R538" s="7"/>
    </row>
    <row r="539" spans="1:18" x14ac:dyDescent="0.25">
      <c r="A539">
        <v>201810</v>
      </c>
      <c r="B539" s="15">
        <v>-1E-4</v>
      </c>
      <c r="C539" s="15">
        <v>-9.3900000000000011E-2</v>
      </c>
      <c r="D539" s="15">
        <v>-0.11960000000000001</v>
      </c>
      <c r="E539" s="15">
        <v>-0.1106</v>
      </c>
      <c r="F539" s="15">
        <v>-0.12300000000000001</v>
      </c>
      <c r="G539" s="15">
        <v>-0.13</v>
      </c>
      <c r="H539" s="15">
        <v>-2.3E-2</v>
      </c>
      <c r="I539" s="15">
        <v>-0.13900000000000001</v>
      </c>
      <c r="J539" s="15">
        <v>-0.1162</v>
      </c>
      <c r="K539" s="15">
        <v>-0.11789999999999999</v>
      </c>
      <c r="L539" s="15">
        <v>-0.11210000000000001</v>
      </c>
      <c r="M539" s="15">
        <v>-8.3999999999999995E-3</v>
      </c>
      <c r="N539" s="15">
        <v>-0.10039999999999999</v>
      </c>
      <c r="O539" s="15">
        <v>-7.000000000000001E-4</v>
      </c>
      <c r="P539" s="15">
        <v>-8.1799999999999998E-2</v>
      </c>
      <c r="Q539" s="15">
        <v>-5.4900000000000004E-2</v>
      </c>
      <c r="R539" s="7"/>
    </row>
    <row r="540" spans="1:18" x14ac:dyDescent="0.25">
      <c r="A540">
        <v>201811</v>
      </c>
      <c r="B540" s="15">
        <v>3.27E-2</v>
      </c>
      <c r="C540" s="15">
        <v>-1.9E-2</v>
      </c>
      <c r="D540" s="15">
        <v>-2.2499999999999999E-2</v>
      </c>
      <c r="E540" s="15">
        <v>-7.7000000000000002E-3</v>
      </c>
      <c r="F540" s="15">
        <v>3.4300000000000004E-2</v>
      </c>
      <c r="G540" s="15">
        <v>4.4600000000000001E-2</v>
      </c>
      <c r="H540" s="15">
        <v>4.5400000000000003E-2</v>
      </c>
      <c r="I540" s="15">
        <v>2.9300000000000003E-2</v>
      </c>
      <c r="J540" s="15">
        <v>-2.9900000000000003E-2</v>
      </c>
      <c r="K540" s="15">
        <v>6.4100000000000004E-2</v>
      </c>
      <c r="L540" s="15">
        <v>0.03</v>
      </c>
      <c r="M540" s="15">
        <v>4.87E-2</v>
      </c>
      <c r="N540" s="15">
        <v>3.85E-2</v>
      </c>
      <c r="O540" s="15">
        <v>3.2799999999999996E-2</v>
      </c>
      <c r="P540" s="15">
        <v>2.3E-2</v>
      </c>
      <c r="Q540" s="15">
        <v>2.8199999999999999E-2</v>
      </c>
      <c r="R540" s="7"/>
    </row>
    <row r="541" spans="1:18" x14ac:dyDescent="0.25">
      <c r="A541">
        <v>201812</v>
      </c>
      <c r="B541" s="15">
        <v>-9.6999999999999989E-2</v>
      </c>
      <c r="C541" s="15">
        <v>-7.1800000000000003E-2</v>
      </c>
      <c r="D541" s="15">
        <v>-0.13189999999999999</v>
      </c>
      <c r="E541" s="15">
        <v>-7.9500000000000001E-2</v>
      </c>
      <c r="F541" s="15">
        <v>-0.11630000000000001</v>
      </c>
      <c r="G541" s="15">
        <v>-8.0100000000000005E-2</v>
      </c>
      <c r="H541" s="15">
        <v>-7.6399999999999996E-2</v>
      </c>
      <c r="I541" s="15">
        <v>-6.8400000000000002E-2</v>
      </c>
      <c r="J541" s="15">
        <v>-0.1479</v>
      </c>
      <c r="K541" s="15">
        <v>-0.1079</v>
      </c>
      <c r="L541" s="15">
        <v>-8.3599999999999994E-2</v>
      </c>
      <c r="M541" s="15">
        <v>-9.0999999999999998E-2</v>
      </c>
      <c r="N541" s="15">
        <v>-0.13369999999999999</v>
      </c>
      <c r="O541" s="15">
        <v>-4.7599999999999996E-2</v>
      </c>
      <c r="P541" s="15">
        <v>-9.5500000000000002E-2</v>
      </c>
      <c r="Q541" s="15">
        <v>-0.11560000000000001</v>
      </c>
      <c r="R541" s="7"/>
    </row>
    <row r="542" spans="1:18" x14ac:dyDescent="0.25">
      <c r="A542">
        <v>201901</v>
      </c>
      <c r="B542" s="15">
        <v>5.7000000000000002E-2</v>
      </c>
      <c r="C542" s="15">
        <v>8.8000000000000009E-2</v>
      </c>
      <c r="D542" s="15">
        <v>0.10300000000000001</v>
      </c>
      <c r="E542" s="15">
        <v>0.1232</v>
      </c>
      <c r="F542" s="15">
        <v>0.12369999999999999</v>
      </c>
      <c r="G542" s="15">
        <v>5.6500000000000002E-2</v>
      </c>
      <c r="H542" s="15">
        <v>4.2900000000000001E-2</v>
      </c>
      <c r="I542" s="15">
        <v>8.8100000000000012E-2</v>
      </c>
      <c r="J542" s="15">
        <v>0.1709</v>
      </c>
      <c r="K542" s="15">
        <v>0.12539999999999998</v>
      </c>
      <c r="L542" s="15">
        <v>8.8200000000000001E-2</v>
      </c>
      <c r="M542" s="15">
        <v>7.51E-2</v>
      </c>
      <c r="N542" s="15">
        <v>0.11990000000000001</v>
      </c>
      <c r="O542" s="15">
        <v>5.4199999999999998E-2</v>
      </c>
      <c r="P542" s="15">
        <v>8.9200000000000002E-2</v>
      </c>
      <c r="Q542" s="15">
        <v>9.8599999999999993E-2</v>
      </c>
      <c r="R542" s="7"/>
    </row>
    <row r="543" spans="1:18" x14ac:dyDescent="0.25">
      <c r="A543">
        <v>201902</v>
      </c>
      <c r="B543" s="15">
        <v>-1.5300000000000001E-2</v>
      </c>
      <c r="C543" s="15">
        <v>5.8099999999999999E-2</v>
      </c>
      <c r="D543" s="15">
        <v>2.5399999999999999E-2</v>
      </c>
      <c r="E543" s="15">
        <v>5.6100000000000004E-2</v>
      </c>
      <c r="F543" s="15">
        <v>6.9900000000000004E-2</v>
      </c>
      <c r="G543" s="15">
        <v>3.78E-2</v>
      </c>
      <c r="H543" s="15">
        <v>4.7800000000000002E-2</v>
      </c>
      <c r="I543" s="15">
        <v>3.4500000000000003E-2</v>
      </c>
      <c r="J543" s="15">
        <v>2.2700000000000001E-2</v>
      </c>
      <c r="K543" s="15">
        <v>6.3299999999999995E-2</v>
      </c>
      <c r="L543" s="15">
        <v>7.4099999999999999E-2</v>
      </c>
      <c r="M543" s="15">
        <v>4.5999999999999999E-2</v>
      </c>
      <c r="N543" s="15">
        <v>6.6299999999999998E-2</v>
      </c>
      <c r="O543" s="15">
        <v>3.56E-2</v>
      </c>
      <c r="P543" s="15">
        <v>-2.8000000000000004E-3</v>
      </c>
      <c r="Q543" s="15">
        <v>2.75E-2</v>
      </c>
      <c r="R543" s="7"/>
    </row>
    <row r="544" spans="1:18" x14ac:dyDescent="0.25">
      <c r="A544">
        <v>201903</v>
      </c>
      <c r="B544" s="15">
        <v>3.7599999999999995E-2</v>
      </c>
      <c r="C544" s="15">
        <v>4.6100000000000002E-2</v>
      </c>
      <c r="D544" s="15">
        <v>2.1000000000000001E-2</v>
      </c>
      <c r="E544" s="15">
        <v>-6.6E-3</v>
      </c>
      <c r="F544" s="15">
        <v>-6.5000000000000006E-3</v>
      </c>
      <c r="G544" s="15">
        <v>-1.8000000000000002E-2</v>
      </c>
      <c r="H544" s="15">
        <v>2.3599999999999999E-2</v>
      </c>
      <c r="I544" s="15">
        <v>2.4500000000000001E-2</v>
      </c>
      <c r="J544" s="15">
        <v>-4.6600000000000003E-2</v>
      </c>
      <c r="K544" s="15">
        <v>-1.1999999999999999E-3</v>
      </c>
      <c r="L544" s="15">
        <v>0.02</v>
      </c>
      <c r="M544" s="15">
        <v>-2.7000000000000003E-2</v>
      </c>
      <c r="N544" s="15">
        <v>-3.1600000000000003E-2</v>
      </c>
      <c r="O544" s="15">
        <v>3.3300000000000003E-2</v>
      </c>
      <c r="P544" s="15">
        <v>3.8800000000000001E-2</v>
      </c>
      <c r="Q544" s="15">
        <v>-2.5000000000000001E-2</v>
      </c>
      <c r="R544" s="7"/>
    </row>
    <row r="545" spans="1:18" x14ac:dyDescent="0.25">
      <c r="A545">
        <v>201904</v>
      </c>
      <c r="B545" s="15">
        <v>4.4800000000000006E-2</v>
      </c>
      <c r="C545" s="15">
        <v>-9.8999999999999991E-3</v>
      </c>
      <c r="D545" s="15">
        <v>8.0000000000000004E-4</v>
      </c>
      <c r="E545" s="15">
        <v>5.0900000000000001E-2</v>
      </c>
      <c r="F545" s="15">
        <v>3.9800000000000002E-2</v>
      </c>
      <c r="G545" s="15">
        <v>5.5399999999999998E-2</v>
      </c>
      <c r="H545" s="15">
        <v>-1.83E-2</v>
      </c>
      <c r="I545" s="15">
        <v>6.3799999999999996E-2</v>
      </c>
      <c r="J545" s="15">
        <v>-2.64E-2</v>
      </c>
      <c r="K545" s="15">
        <v>4.9299999999999997E-2</v>
      </c>
      <c r="L545" s="15">
        <v>5.2300000000000006E-2</v>
      </c>
      <c r="M545" s="15">
        <v>2.64E-2</v>
      </c>
      <c r="N545" s="15">
        <v>4.87E-2</v>
      </c>
      <c r="O545" s="15">
        <v>0.01</v>
      </c>
      <c r="P545" s="15">
        <v>4.6600000000000003E-2</v>
      </c>
      <c r="Q545" s="15">
        <v>7.1300000000000002E-2</v>
      </c>
      <c r="R545" s="7"/>
    </row>
    <row r="546" spans="1:18" x14ac:dyDescent="0.25">
      <c r="A546">
        <v>201905</v>
      </c>
      <c r="B546" s="15">
        <v>-3.4500000000000003E-2</v>
      </c>
      <c r="C546" s="15">
        <v>-8.77E-2</v>
      </c>
      <c r="D546" s="15">
        <v>-0.11840000000000001</v>
      </c>
      <c r="E546" s="15">
        <v>-0.105</v>
      </c>
      <c r="F546" s="15">
        <v>-7.8799999999999995E-2</v>
      </c>
      <c r="G546" s="15">
        <v>-0.13619999999999999</v>
      </c>
      <c r="H546" s="15">
        <v>-3.5000000000000003E-2</v>
      </c>
      <c r="I546" s="15">
        <v>-8.5299999999999987E-2</v>
      </c>
      <c r="J546" s="15">
        <v>-0.15460000000000002</v>
      </c>
      <c r="K546" s="15">
        <v>-6.54E-2</v>
      </c>
      <c r="L546" s="15">
        <v>-0.11840000000000001</v>
      </c>
      <c r="M546" s="15">
        <v>-0.1033</v>
      </c>
      <c r="N546" s="15">
        <v>-8.3199999999999996E-2</v>
      </c>
      <c r="O546" s="15">
        <v>-1.55E-2</v>
      </c>
      <c r="P546" s="15">
        <v>-5.7099999999999998E-2</v>
      </c>
      <c r="Q546" s="15">
        <v>-5.57E-2</v>
      </c>
      <c r="R546" s="7"/>
    </row>
    <row r="547" spans="1:18" x14ac:dyDescent="0.25">
      <c r="A547">
        <v>201906</v>
      </c>
      <c r="B547" s="15">
        <v>4.6900000000000004E-2</v>
      </c>
      <c r="C547" s="15">
        <v>0.1399</v>
      </c>
      <c r="D547" s="15">
        <v>8.900000000000001E-2</v>
      </c>
      <c r="E547" s="15">
        <v>9.06E-2</v>
      </c>
      <c r="F547" s="15">
        <v>0.10249999999999999</v>
      </c>
      <c r="G547" s="15">
        <v>2.1400000000000002E-2</v>
      </c>
      <c r="H547" s="15">
        <v>5.2000000000000005E-2</v>
      </c>
      <c r="I547" s="15">
        <v>9.2899999999999996E-2</v>
      </c>
      <c r="J547" s="15">
        <v>0.16039999999999999</v>
      </c>
      <c r="K547" s="15">
        <v>9.9299999999999999E-2</v>
      </c>
      <c r="L547" s="15">
        <v>0.111</v>
      </c>
      <c r="M547" s="15">
        <v>0.1027</v>
      </c>
      <c r="N547" s="15">
        <v>7.1099999999999997E-2</v>
      </c>
      <c r="O547" s="15">
        <v>3.6400000000000002E-2</v>
      </c>
      <c r="P547" s="15">
        <v>6.88E-2</v>
      </c>
      <c r="Q547" s="15">
        <v>6.1900000000000004E-2</v>
      </c>
      <c r="R547" s="7"/>
    </row>
    <row r="548" spans="1:18" x14ac:dyDescent="0.25">
      <c r="A548">
        <v>201907</v>
      </c>
      <c r="B548" s="15">
        <v>1.15E-2</v>
      </c>
      <c r="C548" s="15">
        <v>-3.0099999999999998E-2</v>
      </c>
      <c r="D548" s="15">
        <v>-2.6200000000000001E-2</v>
      </c>
      <c r="E548" s="15">
        <v>1.06E-2</v>
      </c>
      <c r="F548" s="15">
        <v>4.4500000000000005E-2</v>
      </c>
      <c r="G548" s="15">
        <v>-1.1000000000000001E-3</v>
      </c>
      <c r="H548" s="15">
        <v>-1.01E-2</v>
      </c>
      <c r="I548" s="15">
        <v>0.02</v>
      </c>
      <c r="J548" s="15">
        <v>-2.6000000000000002E-2</v>
      </c>
      <c r="K548" s="15">
        <v>1.6799999999999999E-2</v>
      </c>
      <c r="L548" s="15">
        <v>1.3100000000000001E-2</v>
      </c>
      <c r="M548" s="15">
        <v>9.7999999999999997E-3</v>
      </c>
      <c r="N548" s="15">
        <v>3.2000000000000002E-3</v>
      </c>
      <c r="O548" s="15">
        <v>-1.01E-2</v>
      </c>
      <c r="P548" s="15">
        <v>8.0000000000000002E-3</v>
      </c>
      <c r="Q548" s="15">
        <v>3.1300000000000001E-2</v>
      </c>
      <c r="R548" s="7"/>
    </row>
    <row r="549" spans="1:18" x14ac:dyDescent="0.25">
      <c r="A549">
        <v>201908</v>
      </c>
      <c r="B549" s="15">
        <v>2.5000000000000001E-2</v>
      </c>
      <c r="C549" s="15">
        <v>-3.3300000000000003E-2</v>
      </c>
      <c r="D549" s="15">
        <v>-8.8300000000000003E-2</v>
      </c>
      <c r="E549" s="15">
        <v>-5.2000000000000005E-2</v>
      </c>
      <c r="F549" s="15">
        <v>-1.3500000000000002E-2</v>
      </c>
      <c r="G549" s="15">
        <v>-6.4500000000000002E-2</v>
      </c>
      <c r="H549" s="15">
        <v>-5.1999999999999998E-3</v>
      </c>
      <c r="I549" s="15">
        <v>4.3799999999999999E-2</v>
      </c>
      <c r="J549" s="15">
        <v>-0.12029999999999999</v>
      </c>
      <c r="K549" s="15">
        <v>-5.3E-3</v>
      </c>
      <c r="L549" s="15">
        <v>-4.2999999999999997E-2</v>
      </c>
      <c r="M549" s="15">
        <v>-6.0400000000000002E-2</v>
      </c>
      <c r="N549" s="15">
        <v>-2.3199999999999998E-2</v>
      </c>
      <c r="O549" s="15">
        <v>3.44E-2</v>
      </c>
      <c r="P549" s="15">
        <v>-4.6999999999999993E-3</v>
      </c>
      <c r="Q549" s="15">
        <v>-4.8300000000000003E-2</v>
      </c>
      <c r="R549" s="7"/>
    </row>
    <row r="550" spans="1:18" x14ac:dyDescent="0.25">
      <c r="A550">
        <v>201909</v>
      </c>
      <c r="B550" s="15">
        <v>1.18E-2</v>
      </c>
      <c r="C550" s="15">
        <v>2.4799999999999999E-2</v>
      </c>
      <c r="D550" s="15">
        <v>3.8599999999999995E-2</v>
      </c>
      <c r="E550" s="15">
        <v>8.8900000000000007E-2</v>
      </c>
      <c r="F550" s="15">
        <v>-1.8E-3</v>
      </c>
      <c r="G550" s="15">
        <v>5.0700000000000002E-2</v>
      </c>
      <c r="H550" s="15">
        <v>3.8E-3</v>
      </c>
      <c r="I550" s="15">
        <v>3.4200000000000001E-2</v>
      </c>
      <c r="J550" s="15">
        <v>7.0900000000000005E-2</v>
      </c>
      <c r="K550" s="15">
        <v>3.7000000000000002E-3</v>
      </c>
      <c r="L550" s="15">
        <v>3.8800000000000001E-2</v>
      </c>
      <c r="M550" s="15">
        <v>5.62E-2</v>
      </c>
      <c r="N550" s="15">
        <v>1.3899999999999999E-2</v>
      </c>
      <c r="O550" s="15">
        <v>3.9300000000000002E-2</v>
      </c>
      <c r="P550" s="15">
        <v>-1E-4</v>
      </c>
      <c r="Q550" s="15">
        <v>2.6800000000000001E-2</v>
      </c>
      <c r="R550" s="7"/>
    </row>
    <row r="551" spans="1:18" x14ac:dyDescent="0.25">
      <c r="A551">
        <v>201910</v>
      </c>
      <c r="B551" s="15">
        <v>-1.43E-2</v>
      </c>
      <c r="C551" s="15">
        <v>1.3000000000000001E-2</v>
      </c>
      <c r="D551" s="15">
        <v>-2.06E-2</v>
      </c>
      <c r="E551" s="15">
        <v>-1.3899999999999999E-2</v>
      </c>
      <c r="F551" s="15">
        <v>4.1599999999999998E-2</v>
      </c>
      <c r="G551" s="15">
        <v>-2.7900000000000001E-2</v>
      </c>
      <c r="H551" s="15">
        <v>2.9900000000000003E-2</v>
      </c>
      <c r="I551" s="15">
        <v>2.3099999999999999E-2</v>
      </c>
      <c r="J551" s="15">
        <v>3.5400000000000001E-2</v>
      </c>
      <c r="K551" s="15">
        <v>2.0999999999999999E-3</v>
      </c>
      <c r="L551" s="15">
        <v>3.3700000000000001E-2</v>
      </c>
      <c r="M551" s="15">
        <v>6.3399999999999998E-2</v>
      </c>
      <c r="N551" s="15">
        <v>-7.9000000000000008E-3</v>
      </c>
      <c r="O551" s="15">
        <v>-1.3899999999999999E-2</v>
      </c>
      <c r="P551" s="15">
        <v>5.9999999999999995E-4</v>
      </c>
      <c r="Q551" s="15">
        <v>3.3700000000000001E-2</v>
      </c>
      <c r="R551" s="7"/>
    </row>
    <row r="552" spans="1:18" x14ac:dyDescent="0.25">
      <c r="A552">
        <v>201911</v>
      </c>
      <c r="B552" s="15">
        <v>1.29E-2</v>
      </c>
      <c r="C552" s="15">
        <v>3.0099999999999998E-2</v>
      </c>
      <c r="D552" s="15">
        <v>1.18E-2</v>
      </c>
      <c r="E552" s="15">
        <v>4.2099999999999999E-2</v>
      </c>
      <c r="F552" s="15">
        <v>3.3E-3</v>
      </c>
      <c r="G552" s="15">
        <v>4.1700000000000001E-2</v>
      </c>
      <c r="H552" s="15">
        <v>2.6499999999999999E-2</v>
      </c>
      <c r="I552" s="15">
        <v>-3.0999999999999999E-3</v>
      </c>
      <c r="J552" s="15">
        <v>6.08E-2</v>
      </c>
      <c r="K552" s="15">
        <v>4.0500000000000001E-2</v>
      </c>
      <c r="L552" s="15">
        <v>3.5200000000000002E-2</v>
      </c>
      <c r="M552" s="15">
        <v>2.92E-2</v>
      </c>
      <c r="N552" s="15">
        <v>4.2699999999999995E-2</v>
      </c>
      <c r="O552" s="15">
        <v>-2.1400000000000002E-2</v>
      </c>
      <c r="P552" s="15">
        <v>2.6499999999999999E-2</v>
      </c>
      <c r="Q552" s="15">
        <v>5.74E-2</v>
      </c>
      <c r="R552" s="7"/>
    </row>
    <row r="553" spans="1:18" x14ac:dyDescent="0.25">
      <c r="A553">
        <v>201912</v>
      </c>
      <c r="B553" s="15">
        <v>3.2300000000000002E-2</v>
      </c>
      <c r="C553" s="15">
        <v>9.2399999999999996E-2</v>
      </c>
      <c r="D553" s="15">
        <v>6.2400000000000004E-2</v>
      </c>
      <c r="E553" s="15">
        <v>7.0499999999999993E-2</v>
      </c>
      <c r="F553" s="15">
        <v>1.29E-2</v>
      </c>
      <c r="G553" s="15">
        <v>1.41E-2</v>
      </c>
      <c r="H553" s="15">
        <v>4.0899999999999999E-2</v>
      </c>
      <c r="I553" s="15">
        <v>7.000000000000001E-4</v>
      </c>
      <c r="J553" s="15">
        <v>7.8000000000000005E-3</v>
      </c>
      <c r="K553" s="15">
        <v>1.38E-2</v>
      </c>
      <c r="L553" s="15">
        <v>4.7199999999999999E-2</v>
      </c>
      <c r="M553" s="15">
        <v>5.5099999999999996E-2</v>
      </c>
      <c r="N553" s="15">
        <v>-1.9699999999999999E-2</v>
      </c>
      <c r="O553" s="15">
        <v>4.1100000000000005E-2</v>
      </c>
      <c r="P553" s="15">
        <v>1.4499999999999999E-2</v>
      </c>
      <c r="Q553" s="15">
        <v>2.64E-2</v>
      </c>
      <c r="R553" s="7"/>
    </row>
    <row r="554" spans="1:18" x14ac:dyDescent="0.25">
      <c r="A554">
        <v>202001</v>
      </c>
      <c r="B554" s="15">
        <v>1.1000000000000001E-2</v>
      </c>
      <c r="C554" s="15">
        <v>-6.4600000000000005E-2</v>
      </c>
      <c r="D554" s="15">
        <v>-0.1197</v>
      </c>
      <c r="E554" s="15">
        <v>-5.3800000000000001E-2</v>
      </c>
      <c r="F554" s="15">
        <v>-3.49E-2</v>
      </c>
      <c r="G554" s="15">
        <v>-7.8600000000000003E-2</v>
      </c>
      <c r="H554" s="15">
        <v>-3.5999999999999999E-3</v>
      </c>
      <c r="I554" s="15">
        <v>1.47E-2</v>
      </c>
      <c r="J554" s="15">
        <v>-0.15310000000000001</v>
      </c>
      <c r="K554" s="15">
        <v>1.18E-2</v>
      </c>
      <c r="L554" s="15">
        <v>-2.1499999999999998E-2</v>
      </c>
      <c r="M554" s="15">
        <v>4.9400000000000006E-2</v>
      </c>
      <c r="N554" s="15">
        <v>7.7000000000000002E-3</v>
      </c>
      <c r="O554" s="15">
        <v>4.8300000000000003E-2</v>
      </c>
      <c r="P554" s="15">
        <v>1.7299999999999999E-2</v>
      </c>
      <c r="Q554" s="15">
        <v>-2.46E-2</v>
      </c>
      <c r="R554" s="7"/>
    </row>
    <row r="555" spans="1:18" x14ac:dyDescent="0.25">
      <c r="A555">
        <v>202002</v>
      </c>
      <c r="B555" s="15">
        <v>-8.9399999999999993E-2</v>
      </c>
      <c r="C555" s="15">
        <v>-9.4E-2</v>
      </c>
      <c r="D555" s="15">
        <v>-0.15509999999999999</v>
      </c>
      <c r="E555" s="15">
        <v>-9.4700000000000006E-2</v>
      </c>
      <c r="F555" s="15">
        <v>-0.1275</v>
      </c>
      <c r="G555" s="15">
        <v>-0.1017</v>
      </c>
      <c r="H555" s="15">
        <v>-7.5999999999999998E-2</v>
      </c>
      <c r="I555" s="15">
        <v>-7.0599999999999996E-2</v>
      </c>
      <c r="J555" s="15">
        <v>-0.1051</v>
      </c>
      <c r="K555" s="15">
        <v>-5.7599999999999998E-2</v>
      </c>
      <c r="L555" s="15">
        <v>-7.2800000000000004E-2</v>
      </c>
      <c r="M555" s="15">
        <v>-6.54E-2</v>
      </c>
      <c r="N555" s="15">
        <v>-0.11470000000000001</v>
      </c>
      <c r="O555" s="15">
        <v>-9.849999999999999E-2</v>
      </c>
      <c r="P555" s="15">
        <v>-6.59E-2</v>
      </c>
      <c r="Q555" s="15">
        <v>-0.10679999999999999</v>
      </c>
      <c r="R555" s="7"/>
    </row>
    <row r="556" spans="1:18" x14ac:dyDescent="0.25">
      <c r="A556">
        <v>202003</v>
      </c>
      <c r="B556" s="15">
        <v>-0.10279999999999999</v>
      </c>
      <c r="C556" s="15">
        <v>-0.1368</v>
      </c>
      <c r="D556" s="15">
        <v>-0.34659999999999996</v>
      </c>
      <c r="E556" s="15">
        <v>-0.20190000000000002</v>
      </c>
      <c r="F556" s="15">
        <v>-0.16750000000000001</v>
      </c>
      <c r="G556" s="15">
        <v>-0.18640000000000001</v>
      </c>
      <c r="H556" s="15">
        <v>-2.3700000000000002E-2</v>
      </c>
      <c r="I556" s="15">
        <v>-0.2029</v>
      </c>
      <c r="J556" s="15">
        <v>-0.22210000000000002</v>
      </c>
      <c r="K556" s="15">
        <v>-0.17989999999999998</v>
      </c>
      <c r="L556" s="15">
        <v>-0.11449999999999999</v>
      </c>
      <c r="M556" s="15">
        <v>-0.2271</v>
      </c>
      <c r="N556" s="15">
        <v>-0.22989999999999999</v>
      </c>
      <c r="O556" s="15">
        <v>-0.12939999999999999</v>
      </c>
      <c r="P556" s="15">
        <v>-4.2500000000000003E-2</v>
      </c>
      <c r="Q556" s="15">
        <v>-0.20180000000000001</v>
      </c>
      <c r="R556" s="7"/>
    </row>
    <row r="557" spans="1:18" x14ac:dyDescent="0.25">
      <c r="A557">
        <v>202004</v>
      </c>
      <c r="B557" s="15">
        <v>8.7899999999999992E-2</v>
      </c>
      <c r="C557" s="15">
        <v>0.188</v>
      </c>
      <c r="D557" s="15">
        <v>0.32840000000000003</v>
      </c>
      <c r="E557" s="15">
        <v>0.1119</v>
      </c>
      <c r="F557" s="15">
        <v>0.191</v>
      </c>
      <c r="G557" s="15">
        <v>0.1784</v>
      </c>
      <c r="H557" s="15">
        <v>0.1032</v>
      </c>
      <c r="I557" s="15">
        <v>0.18010000000000001</v>
      </c>
      <c r="J557" s="15">
        <v>0.11630000000000001</v>
      </c>
      <c r="K557" s="15">
        <v>9.2600000000000002E-2</v>
      </c>
      <c r="L557" s="15">
        <v>0.13089999999999999</v>
      </c>
      <c r="M557" s="15">
        <v>0.26729999999999998</v>
      </c>
      <c r="N557" s="15">
        <v>9.2100000000000015E-2</v>
      </c>
      <c r="O557" s="15">
        <v>5.0799999999999998E-2</v>
      </c>
      <c r="P557" s="15">
        <v>0.18440000000000001</v>
      </c>
      <c r="Q557" s="15">
        <v>0.1192</v>
      </c>
      <c r="R557" s="7"/>
    </row>
    <row r="558" spans="1:18" x14ac:dyDescent="0.25">
      <c r="A558">
        <v>202005</v>
      </c>
      <c r="B558" s="15">
        <v>2.8300000000000002E-2</v>
      </c>
      <c r="C558" s="15">
        <v>2.8999999999999998E-2</v>
      </c>
      <c r="D558" s="15">
        <v>4.4000000000000003E-3</v>
      </c>
      <c r="E558" s="15">
        <v>0.11349999999999999</v>
      </c>
      <c r="F558" s="15">
        <v>5.4400000000000004E-2</v>
      </c>
      <c r="G558" s="15">
        <v>8.48E-2</v>
      </c>
      <c r="H558" s="15">
        <v>2.1400000000000002E-2</v>
      </c>
      <c r="I558" s="15">
        <v>0.1467</v>
      </c>
      <c r="J558" s="15">
        <v>5.8200000000000002E-2</v>
      </c>
      <c r="K558" s="15">
        <v>7.6200000000000004E-2</v>
      </c>
      <c r="L558" s="15">
        <v>7.7800000000000008E-2</v>
      </c>
      <c r="M558" s="15">
        <v>9.1199999999999989E-2</v>
      </c>
      <c r="N558" s="15">
        <v>6.5500000000000003E-2</v>
      </c>
      <c r="O558" s="15">
        <v>4.5999999999999999E-2</v>
      </c>
      <c r="P558" s="15">
        <v>2.2400000000000003E-2</v>
      </c>
      <c r="Q558" s="15">
        <v>3.6499999999999998E-2</v>
      </c>
      <c r="R558" s="7"/>
    </row>
    <row r="559" spans="1:18" x14ac:dyDescent="0.25">
      <c r="A559">
        <v>202006</v>
      </c>
      <c r="B559" s="15">
        <v>-8.6999999999999994E-3</v>
      </c>
      <c r="C559" s="15">
        <v>8.1300000000000011E-2</v>
      </c>
      <c r="D559" s="15">
        <v>-4.1999999999999997E-3</v>
      </c>
      <c r="E559" s="15">
        <v>3.1E-2</v>
      </c>
      <c r="F559" s="15">
        <v>6.7799999999999999E-2</v>
      </c>
      <c r="G559" s="15">
        <v>1.34E-2</v>
      </c>
      <c r="H559" s="15">
        <v>-2.1499999999999998E-2</v>
      </c>
      <c r="I559" s="15">
        <v>2.3900000000000001E-2</v>
      </c>
      <c r="J559" s="15">
        <v>4.6399999999999997E-2</v>
      </c>
      <c r="K559" s="15">
        <v>3.6299999999999999E-2</v>
      </c>
      <c r="L559" s="15">
        <v>2.9500000000000002E-2</v>
      </c>
      <c r="M559" s="15">
        <v>0.11470000000000001</v>
      </c>
      <c r="N559" s="15">
        <v>1.95E-2</v>
      </c>
      <c r="O559" s="15">
        <v>-0.05</v>
      </c>
      <c r="P559" s="15">
        <v>5.2400000000000002E-2</v>
      </c>
      <c r="Q559" s="15">
        <v>-3.4000000000000002E-3</v>
      </c>
      <c r="R559" s="7"/>
    </row>
    <row r="560" spans="1:18" x14ac:dyDescent="0.25">
      <c r="A560">
        <v>202007</v>
      </c>
      <c r="B560" s="15">
        <v>5.7300000000000004E-2</v>
      </c>
      <c r="C560" s="15">
        <v>9.1899999999999996E-2</v>
      </c>
      <c r="D560" s="15">
        <v>-4.9599999999999998E-2</v>
      </c>
      <c r="E560" s="15">
        <v>-1.5E-3</v>
      </c>
      <c r="F560" s="15">
        <v>0.12480000000000001</v>
      </c>
      <c r="G560" s="15">
        <v>6.8199999999999997E-2</v>
      </c>
      <c r="H560" s="15">
        <v>4.53E-2</v>
      </c>
      <c r="I560" s="15">
        <v>9.1999999999999998E-2</v>
      </c>
      <c r="J560" s="15">
        <v>2.2400000000000003E-2</v>
      </c>
      <c r="K560" s="15">
        <v>2.9600000000000001E-2</v>
      </c>
      <c r="L560" s="15">
        <v>6.2899999999999998E-2</v>
      </c>
      <c r="M560" s="15">
        <v>0.18260000000000001</v>
      </c>
      <c r="N560" s="15">
        <v>1.95E-2</v>
      </c>
      <c r="O560" s="15">
        <v>6.3500000000000001E-2</v>
      </c>
      <c r="P560" s="15">
        <v>9.98E-2</v>
      </c>
      <c r="Q560" s="15">
        <v>1.9699999999999999E-2</v>
      </c>
      <c r="R560" s="7"/>
    </row>
    <row r="561" spans="1:18" x14ac:dyDescent="0.25">
      <c r="A561">
        <v>202008</v>
      </c>
      <c r="B561" s="15">
        <v>4.0899999999999999E-2</v>
      </c>
      <c r="C561" s="15">
        <v>5.0499999999999996E-2</v>
      </c>
      <c r="D561" s="15">
        <v>-1.15E-2</v>
      </c>
      <c r="E561" s="15">
        <v>0.12210000000000001</v>
      </c>
      <c r="F561" s="15">
        <v>5.96E-2</v>
      </c>
      <c r="G561" s="15">
        <v>4.7E-2</v>
      </c>
      <c r="H561" s="15">
        <v>3.6200000000000003E-2</v>
      </c>
      <c r="I561" s="15">
        <v>7.690000000000001E-2</v>
      </c>
      <c r="J561" s="15">
        <v>8.2599999999999993E-2</v>
      </c>
      <c r="K561" s="15">
        <v>8.7899999999999992E-2</v>
      </c>
      <c r="L561" s="15">
        <v>5.57E-2</v>
      </c>
      <c r="M561" s="15">
        <v>0.39319999999999999</v>
      </c>
      <c r="N561" s="15">
        <v>0.1033</v>
      </c>
      <c r="O561" s="15">
        <v>-2.2400000000000003E-2</v>
      </c>
      <c r="P561" s="15">
        <v>8.5299999999999987E-2</v>
      </c>
      <c r="Q561" s="15">
        <v>4.9000000000000002E-2</v>
      </c>
      <c r="R561" s="7"/>
    </row>
    <row r="562" spans="1:18" x14ac:dyDescent="0.25">
      <c r="A562">
        <v>202009</v>
      </c>
      <c r="B562" s="15">
        <v>-1.8000000000000002E-2</v>
      </c>
      <c r="C562" s="15">
        <v>-1.09E-2</v>
      </c>
      <c r="D562" s="15">
        <v>-0.15380000000000002</v>
      </c>
      <c r="E562" s="15">
        <v>5.7200000000000001E-2</v>
      </c>
      <c r="F562" s="15">
        <v>4.4600000000000001E-2</v>
      </c>
      <c r="G562" s="15">
        <v>2.8999999999999998E-3</v>
      </c>
      <c r="H562" s="15">
        <v>-2.5600000000000001E-2</v>
      </c>
      <c r="I562" s="15">
        <v>0</v>
      </c>
      <c r="J562" s="15">
        <v>-4.9100000000000005E-2</v>
      </c>
      <c r="K562" s="15">
        <v>-1.7000000000000001E-3</v>
      </c>
      <c r="L562" s="15">
        <v>-7.4000000000000003E-3</v>
      </c>
      <c r="M562" s="15">
        <v>-9.2399999999999996E-2</v>
      </c>
      <c r="N562" s="15">
        <v>-8.6E-3</v>
      </c>
      <c r="O562" s="15">
        <v>-3.2000000000000002E-3</v>
      </c>
      <c r="P562" s="15">
        <v>-4.41E-2</v>
      </c>
      <c r="Q562" s="15">
        <v>-4.0899999999999999E-2</v>
      </c>
      <c r="R562" s="7"/>
    </row>
    <row r="563" spans="1:18" x14ac:dyDescent="0.25">
      <c r="A563">
        <v>202010</v>
      </c>
      <c r="B563" s="15">
        <v>-3.27E-2</v>
      </c>
      <c r="C563" s="15">
        <v>6.8099999999999994E-2</v>
      </c>
      <c r="D563" s="15">
        <v>-4.5899999999999996E-2</v>
      </c>
      <c r="E563" s="15">
        <v>-1.54E-2</v>
      </c>
      <c r="F563" s="15">
        <v>4.1599999999999998E-2</v>
      </c>
      <c r="G563" s="15">
        <v>-5.3E-3</v>
      </c>
      <c r="H563" s="15">
        <v>-5.2300000000000006E-2</v>
      </c>
      <c r="I563" s="15">
        <v>-3.5699999999999996E-2</v>
      </c>
      <c r="J563" s="15">
        <v>7.3099999999999998E-2</v>
      </c>
      <c r="K563" s="15">
        <v>5.7699999999999994E-2</v>
      </c>
      <c r="L563" s="15">
        <v>-5.6000000000000008E-3</v>
      </c>
      <c r="M563" s="15">
        <v>-3.8300000000000001E-2</v>
      </c>
      <c r="N563" s="15">
        <v>-4.5999999999999999E-2</v>
      </c>
      <c r="O563" s="15">
        <v>4.4699999999999997E-2</v>
      </c>
      <c r="P563" s="15">
        <v>-2.7000000000000003E-2</v>
      </c>
      <c r="Q563" s="15">
        <v>-8.0000000000000002E-3</v>
      </c>
      <c r="R563" s="7"/>
    </row>
    <row r="564" spans="1:18" x14ac:dyDescent="0.25">
      <c r="A564">
        <v>202011</v>
      </c>
      <c r="B564" s="15">
        <v>9.8599999999999993E-2</v>
      </c>
      <c r="C564" s="15">
        <v>7.8899999999999998E-2</v>
      </c>
      <c r="D564" s="15">
        <v>0.28939999999999999</v>
      </c>
      <c r="E564" s="15">
        <v>0.14779999999999999</v>
      </c>
      <c r="F564" s="15">
        <v>0.1396</v>
      </c>
      <c r="G564" s="15">
        <v>0.13100000000000001</v>
      </c>
      <c r="H564" s="15">
        <v>7.22E-2</v>
      </c>
      <c r="I564" s="15">
        <v>6.4600000000000005E-2</v>
      </c>
      <c r="J564" s="15">
        <v>0.1913</v>
      </c>
      <c r="K564" s="15">
        <v>0.16010000000000002</v>
      </c>
      <c r="L564" s="15">
        <v>0.14169999999999999</v>
      </c>
      <c r="M564" s="15">
        <v>0.30879999999999996</v>
      </c>
      <c r="N564" s="15">
        <v>0.19949999999999998</v>
      </c>
      <c r="O564" s="15">
        <v>2.6800000000000001E-2</v>
      </c>
      <c r="P564" s="15">
        <v>8.3100000000000007E-2</v>
      </c>
      <c r="Q564" s="15">
        <v>0.16320000000000001</v>
      </c>
      <c r="R564" s="7"/>
    </row>
    <row r="565" spans="1:18" x14ac:dyDescent="0.25">
      <c r="A565">
        <v>202012</v>
      </c>
      <c r="B565" s="15">
        <v>3.5900000000000001E-2</v>
      </c>
      <c r="C565" s="15">
        <v>8.5800000000000001E-2</v>
      </c>
      <c r="D565" s="15">
        <v>6.2199999999999998E-2</v>
      </c>
      <c r="E565" s="15">
        <v>4.6699999999999998E-2</v>
      </c>
      <c r="F565" s="15">
        <v>0.1036</v>
      </c>
      <c r="G565" s="15">
        <v>4.8499999999999995E-2</v>
      </c>
      <c r="H565" s="15">
        <v>3.6499999999999998E-2</v>
      </c>
      <c r="I565" s="15">
        <v>2.9999999999999997E-4</v>
      </c>
      <c r="J565" s="15">
        <v>6.4500000000000002E-2</v>
      </c>
      <c r="K565" s="15">
        <v>2.7099999999999999E-2</v>
      </c>
      <c r="L565" s="15">
        <v>4.0800000000000003E-2</v>
      </c>
      <c r="M565" s="15">
        <v>0.15390000000000001</v>
      </c>
      <c r="N565" s="15">
        <v>1.1200000000000002E-2</v>
      </c>
      <c r="O565" s="15">
        <v>6.3E-3</v>
      </c>
      <c r="P565" s="15">
        <v>1.4499999999999999E-2</v>
      </c>
      <c r="Q565" s="15">
        <v>6.9199999999999998E-2</v>
      </c>
      <c r="R565" s="7"/>
    </row>
    <row r="566" spans="1:18" x14ac:dyDescent="0.25">
      <c r="A566">
        <v>202101</v>
      </c>
      <c r="B566" s="15">
        <v>-4.7500000000000001E-2</v>
      </c>
      <c r="C566" s="15">
        <v>1.04E-2</v>
      </c>
      <c r="D566" s="15">
        <v>4.7400000000000005E-2</v>
      </c>
      <c r="E566" s="15">
        <v>-4.5899999999999996E-2</v>
      </c>
      <c r="F566" s="15">
        <v>3.2400000000000005E-2</v>
      </c>
      <c r="G566" s="15">
        <v>1.1699999999999999E-2</v>
      </c>
      <c r="H566" s="15">
        <v>-3.7000000000000002E-3</v>
      </c>
      <c r="I566" s="15">
        <v>2.1099999999999997E-2</v>
      </c>
      <c r="J566" s="15">
        <v>-4.7899999999999998E-2</v>
      </c>
      <c r="K566" s="15">
        <v>-1.0200000000000001E-2</v>
      </c>
      <c r="L566" s="15">
        <v>2.52E-2</v>
      </c>
      <c r="M566" s="15">
        <v>9.8400000000000001E-2</v>
      </c>
      <c r="N566" s="15">
        <v>-5.2600000000000001E-2</v>
      </c>
      <c r="O566" s="15">
        <v>-4.4000000000000003E-3</v>
      </c>
      <c r="P566" s="15">
        <v>-5.0000000000000001E-4</v>
      </c>
      <c r="Q566" s="15">
        <v>-2.81E-2</v>
      </c>
      <c r="R566" s="7"/>
    </row>
    <row r="567" spans="1:18" x14ac:dyDescent="0.25">
      <c r="A567">
        <v>202102</v>
      </c>
      <c r="B567" s="15">
        <v>2.7000000000000001E-3</v>
      </c>
      <c r="C567" s="15">
        <v>9.0700000000000003E-2</v>
      </c>
      <c r="D567" s="15">
        <v>0.24170000000000003</v>
      </c>
      <c r="E567" s="15">
        <v>4.7300000000000002E-2</v>
      </c>
      <c r="F567" s="15">
        <v>1.8799999999999997E-2</v>
      </c>
      <c r="G567" s="15">
        <v>3.3799999999999997E-2</v>
      </c>
      <c r="H567" s="15">
        <v>-1.5800000000000002E-2</v>
      </c>
      <c r="I567" s="15">
        <v>-2.3E-3</v>
      </c>
      <c r="J567" s="15">
        <v>0.17420000000000002</v>
      </c>
      <c r="K567" s="15">
        <v>4.6799999999999994E-2</v>
      </c>
      <c r="L567" s="15">
        <v>4.2699999999999995E-2</v>
      </c>
      <c r="M567" s="15">
        <v>-8.7499999999999994E-2</v>
      </c>
      <c r="N567" s="15">
        <v>8.4499999999999992E-2</v>
      </c>
      <c r="O567" s="15">
        <v>-4.5700000000000005E-2</v>
      </c>
      <c r="P567" s="15">
        <v>-2.4500000000000001E-2</v>
      </c>
      <c r="Q567" s="15">
        <v>0.1075</v>
      </c>
      <c r="R567" s="7"/>
    </row>
    <row r="568" spans="1:18" x14ac:dyDescent="0.25">
      <c r="A568">
        <v>202103</v>
      </c>
      <c r="B568" s="15">
        <v>7.4299999999999991E-2</v>
      </c>
      <c r="C568" s="15">
        <v>2.1600000000000001E-2</v>
      </c>
      <c r="D568" s="15">
        <v>2.3799999999999998E-2</v>
      </c>
      <c r="E568" s="15">
        <v>7.8000000000000005E-3</v>
      </c>
      <c r="F568" s="15">
        <v>-1.3600000000000001E-2</v>
      </c>
      <c r="G568" s="15">
        <v>7.3399999999999993E-2</v>
      </c>
      <c r="H568" s="15">
        <v>4.7800000000000002E-2</v>
      </c>
      <c r="I568" s="15">
        <v>0.1472</v>
      </c>
      <c r="J568" s="15">
        <v>0.22289999999999999</v>
      </c>
      <c r="K568" s="15">
        <v>2.76E-2</v>
      </c>
      <c r="L568" s="15">
        <v>3.3599999999999998E-2</v>
      </c>
      <c r="M568" s="15">
        <v>2.06E-2</v>
      </c>
      <c r="N568" s="15">
        <v>9.1999999999999998E-2</v>
      </c>
      <c r="O568" s="15">
        <v>0.10369999999999999</v>
      </c>
      <c r="P568" s="15">
        <v>3.44E-2</v>
      </c>
      <c r="Q568" s="15">
        <v>5.8700000000000002E-2</v>
      </c>
      <c r="R568" s="7"/>
    </row>
    <row r="569" spans="1:18" x14ac:dyDescent="0.25">
      <c r="A569">
        <v>202104</v>
      </c>
      <c r="B569" s="15">
        <v>3.2799999999999996E-2</v>
      </c>
      <c r="C569" s="15">
        <v>5.21E-2</v>
      </c>
      <c r="D569" s="15">
        <v>4.7999999999999996E-3</v>
      </c>
      <c r="E569" s="15">
        <v>0.05</v>
      </c>
      <c r="F569" s="15">
        <v>3.9100000000000003E-2</v>
      </c>
      <c r="G569" s="15">
        <v>2.4399999999999998E-2</v>
      </c>
      <c r="H569" s="15">
        <v>8.1000000000000013E-3</v>
      </c>
      <c r="I569" s="15">
        <v>6.8900000000000003E-2</v>
      </c>
      <c r="J569" s="15">
        <v>2.8500000000000001E-2</v>
      </c>
      <c r="K569" s="15">
        <v>4.82E-2</v>
      </c>
      <c r="L569" s="15">
        <v>1.9299999999999998E-2</v>
      </c>
      <c r="M569" s="15">
        <v>5.04E-2</v>
      </c>
      <c r="N569" s="15">
        <v>3.1099999999999999E-2</v>
      </c>
      <c r="O569" s="15">
        <v>3.9699999999999999E-2</v>
      </c>
      <c r="P569" s="15">
        <v>7.5899999999999995E-2</v>
      </c>
      <c r="Q569" s="15">
        <v>6.2100000000000002E-2</v>
      </c>
      <c r="R569" s="7"/>
    </row>
    <row r="570" spans="1:18" x14ac:dyDescent="0.25">
      <c r="A570">
        <v>202105</v>
      </c>
      <c r="B570" s="15">
        <v>2.1499999999999998E-2</v>
      </c>
      <c r="C570" s="15">
        <v>0.1007</v>
      </c>
      <c r="D570" s="15">
        <v>6.2100000000000002E-2</v>
      </c>
      <c r="E570" s="15">
        <v>-5.3E-3</v>
      </c>
      <c r="F570" s="15">
        <v>3.9300000000000002E-2</v>
      </c>
      <c r="G570" s="15">
        <v>5.0199999999999995E-2</v>
      </c>
      <c r="H570" s="15">
        <v>2.12E-2</v>
      </c>
      <c r="I570" s="15">
        <v>-4.4000000000000003E-3</v>
      </c>
      <c r="J570" s="15">
        <v>0.14449999999999999</v>
      </c>
      <c r="K570" s="15">
        <v>-3.4799999999999998E-2</v>
      </c>
      <c r="L570" s="15">
        <v>0.02</v>
      </c>
      <c r="M570" s="15">
        <v>-5.5899999999999998E-2</v>
      </c>
      <c r="N570" s="15">
        <v>2.63E-2</v>
      </c>
      <c r="O570" s="15">
        <v>-1.1599999999999999E-2</v>
      </c>
      <c r="P570" s="15">
        <v>-2.5600000000000001E-2</v>
      </c>
      <c r="Q570" s="15">
        <v>3.1899999999999998E-2</v>
      </c>
      <c r="R570" s="7"/>
    </row>
    <row r="571" spans="1:18" x14ac:dyDescent="0.25">
      <c r="A571">
        <v>202106</v>
      </c>
      <c r="B571" s="15">
        <v>-2.1700000000000001E-2</v>
      </c>
      <c r="C571" s="15">
        <v>-9.11E-2</v>
      </c>
      <c r="D571" s="15">
        <v>5.7800000000000004E-2</v>
      </c>
      <c r="E571" s="15">
        <v>7.6799999999999993E-2</v>
      </c>
      <c r="F571" s="15">
        <v>5.8799999999999998E-2</v>
      </c>
      <c r="G571" s="15">
        <v>-5.2900000000000003E-2</v>
      </c>
      <c r="H571" s="15">
        <v>2.0899999999999998E-2</v>
      </c>
      <c r="I571" s="15">
        <v>-1.9599999999999999E-2</v>
      </c>
      <c r="J571" s="15">
        <v>-6.1200000000000004E-2</v>
      </c>
      <c r="K571" s="15">
        <v>2.3E-2</v>
      </c>
      <c r="L571" s="15">
        <v>4.4800000000000006E-2</v>
      </c>
      <c r="M571" s="15">
        <v>5.2900000000000003E-2</v>
      </c>
      <c r="N571" s="15">
        <v>-3.6799999999999999E-2</v>
      </c>
      <c r="O571" s="15">
        <v>-1.41E-2</v>
      </c>
      <c r="P571" s="15">
        <v>3.8300000000000001E-2</v>
      </c>
      <c r="Q571" s="15">
        <v>-2.2599999999999999E-2</v>
      </c>
      <c r="R571" s="7"/>
    </row>
    <row r="572" spans="1:18" x14ac:dyDescent="0.25">
      <c r="A572">
        <v>202107</v>
      </c>
      <c r="B572" s="15">
        <v>-2.0000000000000001E-4</v>
      </c>
      <c r="C572" s="15">
        <v>1.38E-2</v>
      </c>
      <c r="D572" s="15">
        <v>-8.9700000000000002E-2</v>
      </c>
      <c r="E572" s="15">
        <v>4.4699999999999997E-2</v>
      </c>
      <c r="F572" s="15">
        <v>-8.8000000000000005E-3</v>
      </c>
      <c r="G572" s="15">
        <v>-5.7999999999999996E-3</v>
      </c>
      <c r="H572" s="15">
        <v>3.8100000000000002E-2</v>
      </c>
      <c r="I572" s="15">
        <v>1.9199999999999998E-2</v>
      </c>
      <c r="J572" s="15">
        <v>7.2000000000000008E-2</v>
      </c>
      <c r="K572" s="15">
        <v>4.3E-3</v>
      </c>
      <c r="L572" s="15">
        <v>1.5300000000000001E-2</v>
      </c>
      <c r="M572" s="15">
        <v>3.4000000000000002E-3</v>
      </c>
      <c r="N572" s="15">
        <v>-3.3099999999999997E-2</v>
      </c>
      <c r="O572" s="15">
        <v>2.9700000000000001E-2</v>
      </c>
      <c r="P572" s="15">
        <v>-6.0000000000000001E-3</v>
      </c>
      <c r="Q572" s="15">
        <v>2.0999999999999999E-3</v>
      </c>
      <c r="R572" s="7"/>
    </row>
    <row r="573" spans="1:18" x14ac:dyDescent="0.25">
      <c r="A573">
        <v>202108</v>
      </c>
      <c r="B573" s="15">
        <v>-2.8999999999999998E-3</v>
      </c>
      <c r="C573" s="15">
        <v>-2.58E-2</v>
      </c>
      <c r="D573" s="15">
        <v>-1.3000000000000001E-2</v>
      </c>
      <c r="E573" s="15">
        <v>-5.6000000000000008E-3</v>
      </c>
      <c r="F573" s="15">
        <v>-3.6900000000000002E-2</v>
      </c>
      <c r="G573" s="15">
        <v>2.0000000000000001E-4</v>
      </c>
      <c r="H573" s="15">
        <v>2.2400000000000003E-2</v>
      </c>
      <c r="I573" s="15">
        <v>1.83E-2</v>
      </c>
      <c r="J573" s="15">
        <v>3.5400000000000001E-2</v>
      </c>
      <c r="K573" s="15">
        <v>5.2300000000000006E-2</v>
      </c>
      <c r="L573" s="15">
        <v>3.5099999999999999E-2</v>
      </c>
      <c r="M573" s="15">
        <v>1.9799999999999998E-2</v>
      </c>
      <c r="N573" s="15">
        <v>-6.7000000000000002E-3</v>
      </c>
      <c r="O573" s="15">
        <v>3.2300000000000002E-2</v>
      </c>
      <c r="P573" s="15">
        <v>3.0200000000000001E-2</v>
      </c>
      <c r="Q573" s="15">
        <v>2.86E-2</v>
      </c>
      <c r="R573" s="7"/>
    </row>
    <row r="574" spans="1:18" x14ac:dyDescent="0.25">
      <c r="A574">
        <v>202109</v>
      </c>
      <c r="B574" s="15">
        <v>-3.2799999999999996E-2</v>
      </c>
      <c r="C574" s="15">
        <v>-8.1000000000000003E-2</v>
      </c>
      <c r="D574" s="15">
        <v>0.11380000000000001</v>
      </c>
      <c r="E574" s="15">
        <v>-9.11E-2</v>
      </c>
      <c r="F574" s="15">
        <v>-0.08</v>
      </c>
      <c r="G574" s="15">
        <v>-4.6300000000000001E-2</v>
      </c>
      <c r="H574" s="15">
        <v>-6.0499999999999998E-2</v>
      </c>
      <c r="I574" s="15">
        <v>-3.7100000000000001E-2</v>
      </c>
      <c r="J574" s="15">
        <v>-0.10640000000000001</v>
      </c>
      <c r="K574" s="15">
        <v>-5.5999999999999994E-2</v>
      </c>
      <c r="L574" s="15">
        <v>-5.7200000000000001E-2</v>
      </c>
      <c r="M574" s="15">
        <v>4.0399999999999998E-2</v>
      </c>
      <c r="N574" s="15">
        <v>-2.1099999999999997E-2</v>
      </c>
      <c r="O574" s="15">
        <v>-4.8600000000000004E-2</v>
      </c>
      <c r="P574" s="15">
        <v>-5.4299999999999994E-2</v>
      </c>
      <c r="Q574" s="15">
        <v>-1.54E-2</v>
      </c>
      <c r="R574" s="7"/>
    </row>
    <row r="575" spans="1:18" x14ac:dyDescent="0.25">
      <c r="A575">
        <v>202110</v>
      </c>
      <c r="B575" s="15">
        <v>3.6600000000000001E-2</v>
      </c>
      <c r="C575" s="15">
        <v>8.6800000000000002E-2</v>
      </c>
      <c r="D575" s="15">
        <v>0.1033</v>
      </c>
      <c r="E575" s="15">
        <v>0.1173</v>
      </c>
      <c r="F575" s="15">
        <v>3.5200000000000002E-2</v>
      </c>
      <c r="G575" s="15">
        <v>7.6600000000000001E-2</v>
      </c>
      <c r="H575" s="15">
        <v>3.8699999999999998E-2</v>
      </c>
      <c r="I575" s="15">
        <v>0.1142</v>
      </c>
      <c r="J575" s="15">
        <v>0.1013</v>
      </c>
      <c r="K575" s="15">
        <v>3.73E-2</v>
      </c>
      <c r="L575" s="15">
        <v>7.5700000000000003E-2</v>
      </c>
      <c r="M575" s="15">
        <v>0.309</v>
      </c>
      <c r="N575" s="15">
        <v>6.0400000000000002E-2</v>
      </c>
      <c r="O575" s="15">
        <v>5.1100000000000007E-2</v>
      </c>
      <c r="P575" s="15">
        <v>3.7699999999999997E-2</v>
      </c>
      <c r="Q575" s="15">
        <v>7.0800000000000002E-2</v>
      </c>
      <c r="R575" s="7"/>
    </row>
    <row r="576" spans="1:18" x14ac:dyDescent="0.25">
      <c r="A576">
        <v>202111</v>
      </c>
      <c r="B576" s="15">
        <v>-3.1E-2</v>
      </c>
      <c r="C576" s="15">
        <v>-1.7000000000000001E-3</v>
      </c>
      <c r="D576" s="15">
        <v>-5.3399999999999996E-2</v>
      </c>
      <c r="E576" s="15">
        <v>-5.9999999999999995E-4</v>
      </c>
      <c r="F576" s="15">
        <v>-7.9699999999999993E-2</v>
      </c>
      <c r="G576" s="15">
        <v>-1.38E-2</v>
      </c>
      <c r="H576" s="15">
        <v>-1.0500000000000001E-2</v>
      </c>
      <c r="I576" s="15">
        <v>5.3200000000000004E-2</v>
      </c>
      <c r="J576" s="15">
        <v>-6.2800000000000009E-2</v>
      </c>
      <c r="K576" s="15">
        <v>2.3E-3</v>
      </c>
      <c r="L576" s="15">
        <v>6.7699999999999996E-2</v>
      </c>
      <c r="M576" s="15">
        <v>2.69E-2</v>
      </c>
      <c r="N576" s="15">
        <v>-5.4100000000000002E-2</v>
      </c>
      <c r="O576" s="15">
        <v>-1.9599999999999999E-2</v>
      </c>
      <c r="P576" s="15">
        <v>1.1599999999999999E-2</v>
      </c>
      <c r="Q576" s="15">
        <v>-5.67E-2</v>
      </c>
      <c r="R576" s="7"/>
    </row>
    <row r="577" spans="1:18" x14ac:dyDescent="0.25">
      <c r="A577">
        <v>202112</v>
      </c>
      <c r="B577" s="15">
        <v>0.10150000000000001</v>
      </c>
      <c r="C577" s="15">
        <v>9.0999999999999998E-2</v>
      </c>
      <c r="D577" s="15">
        <v>2.92E-2</v>
      </c>
      <c r="E577" s="15">
        <v>-3.2099999999999997E-2</v>
      </c>
      <c r="F577" s="15">
        <v>2.3300000000000001E-2</v>
      </c>
      <c r="G577" s="15">
        <v>6.0499999999999998E-2</v>
      </c>
      <c r="H577" s="15">
        <v>0.10220000000000001</v>
      </c>
      <c r="I577" s="15">
        <v>6.4100000000000004E-2</v>
      </c>
      <c r="J577" s="15">
        <v>9.8000000000000004E-2</v>
      </c>
      <c r="K577" s="15">
        <v>2.5499999999999998E-2</v>
      </c>
      <c r="L577" s="15">
        <v>2.4500000000000001E-2</v>
      </c>
      <c r="M577" s="15">
        <v>-3.7900000000000003E-2</v>
      </c>
      <c r="N577" s="15">
        <v>7.5399999999999995E-2</v>
      </c>
      <c r="O577" s="15">
        <v>8.5500000000000007E-2</v>
      </c>
      <c r="P577" s="15">
        <v>-7.000000000000001E-4</v>
      </c>
      <c r="Q577" s="15">
        <v>4.7199999999999999E-2</v>
      </c>
      <c r="R577" s="7"/>
    </row>
    <row r="578" spans="1:18" x14ac:dyDescent="0.25">
      <c r="A578">
        <v>202201</v>
      </c>
      <c r="B578" s="15">
        <v>-4.0000000000000002E-4</v>
      </c>
      <c r="C578" s="15">
        <v>-5.45E-2</v>
      </c>
      <c r="D578" s="15">
        <v>0.1812</v>
      </c>
      <c r="E578" s="15">
        <v>-0.1118</v>
      </c>
      <c r="F578" s="15">
        <v>-0.1424</v>
      </c>
      <c r="G578" s="15">
        <v>-4.99E-2</v>
      </c>
      <c r="H578" s="15">
        <v>-3.1800000000000002E-2</v>
      </c>
      <c r="I578" s="15">
        <v>-0.1222</v>
      </c>
      <c r="J578" s="15">
        <v>-0.10339999999999999</v>
      </c>
      <c r="K578" s="15">
        <v>-3.8800000000000001E-2</v>
      </c>
      <c r="L578" s="15">
        <v>-0.109</v>
      </c>
      <c r="M578" s="15">
        <v>-9.8599999999999993E-2</v>
      </c>
      <c r="N578" s="15">
        <v>-3.2400000000000005E-2</v>
      </c>
      <c r="O578" s="15">
        <v>-2.1000000000000001E-2</v>
      </c>
      <c r="P578" s="15">
        <v>-8.8699999999999987E-2</v>
      </c>
      <c r="Q578" s="15">
        <v>-6.8999999999999999E-3</v>
      </c>
      <c r="R578" s="7"/>
    </row>
    <row r="579" spans="1:18" x14ac:dyDescent="0.25">
      <c r="A579">
        <v>202202</v>
      </c>
      <c r="B579" s="15">
        <v>2E-3</v>
      </c>
      <c r="C579" s="15">
        <v>0.11849999999999999</v>
      </c>
      <c r="D579" s="15">
        <v>8.2500000000000004E-2</v>
      </c>
      <c r="E579" s="15">
        <v>-5.8899999999999994E-2</v>
      </c>
      <c r="F579" s="15">
        <v>-3.2599999999999997E-2</v>
      </c>
      <c r="G579" s="15">
        <v>-3.8E-3</v>
      </c>
      <c r="H579" s="15">
        <v>-3.0099999999999998E-2</v>
      </c>
      <c r="I579" s="15">
        <v>-8.0399999999999985E-2</v>
      </c>
      <c r="J579" s="15">
        <v>0.23899999999999999</v>
      </c>
      <c r="K579" s="15">
        <v>-2.06E-2</v>
      </c>
      <c r="L579" s="15">
        <v>-1.4199999999999999E-2</v>
      </c>
      <c r="M579" s="15">
        <v>-6.8900000000000003E-2</v>
      </c>
      <c r="N579" s="15">
        <v>2.75E-2</v>
      </c>
      <c r="O579" s="15">
        <v>-1.1000000000000001E-2</v>
      </c>
      <c r="P579" s="15">
        <v>-2.0999999999999999E-3</v>
      </c>
      <c r="Q579" s="15">
        <v>-1.6200000000000003E-2</v>
      </c>
      <c r="R579" s="7"/>
    </row>
    <row r="580" spans="1:18" x14ac:dyDescent="0.25">
      <c r="A580">
        <v>202203</v>
      </c>
      <c r="B580" s="15">
        <v>1.24E-2</v>
      </c>
      <c r="C580" s="15">
        <v>0.10009999999999999</v>
      </c>
      <c r="D580" s="15">
        <v>9.849999999999999E-2</v>
      </c>
      <c r="E580" s="15">
        <v>-1.1399999999999999E-2</v>
      </c>
      <c r="F580" s="15">
        <v>-4.9800000000000004E-2</v>
      </c>
      <c r="G580" s="15">
        <v>4.9599999999999998E-2</v>
      </c>
      <c r="H580" s="15">
        <v>4.8399999999999999E-2</v>
      </c>
      <c r="I580" s="15">
        <v>-5.8200000000000002E-2</v>
      </c>
      <c r="J580" s="15">
        <v>0.15539999999999998</v>
      </c>
      <c r="K580" s="15">
        <v>-1.7000000000000001E-3</v>
      </c>
      <c r="L580" s="15">
        <v>3.1800000000000002E-2</v>
      </c>
      <c r="M580" s="15">
        <v>0.15490000000000001</v>
      </c>
      <c r="N580" s="15">
        <v>2.1499999999999998E-2</v>
      </c>
      <c r="O580" s="15">
        <v>9.6699999999999994E-2</v>
      </c>
      <c r="P580" s="15">
        <v>4.1700000000000001E-2</v>
      </c>
      <c r="Q580" s="15">
        <v>-1.06E-2</v>
      </c>
      <c r="R580" s="7"/>
    </row>
    <row r="581" spans="1:18" x14ac:dyDescent="0.25">
      <c r="A581">
        <v>202204</v>
      </c>
      <c r="B581" s="15">
        <v>3.0099999999999998E-2</v>
      </c>
      <c r="C581" s="15">
        <v>-0.12050000000000001</v>
      </c>
      <c r="D581" s="15">
        <v>-1.3899999999999999E-2</v>
      </c>
      <c r="E581" s="15">
        <v>-6.4100000000000004E-2</v>
      </c>
      <c r="F581" s="15">
        <v>-0.1007</v>
      </c>
      <c r="G581" s="15">
        <v>-4.4000000000000004E-2</v>
      </c>
      <c r="H581" s="15">
        <v>1.29E-2</v>
      </c>
      <c r="I581" s="15">
        <v>-1.1699999999999999E-2</v>
      </c>
      <c r="J581" s="15">
        <v>-6.4199999999999993E-2</v>
      </c>
      <c r="K581" s="15">
        <v>-8.6899999999999991E-2</v>
      </c>
      <c r="L581" s="15">
        <v>-0.13750000000000001</v>
      </c>
      <c r="M581" s="15">
        <v>-0.16320000000000001</v>
      </c>
      <c r="N581" s="15">
        <v>-9.2899999999999996E-2</v>
      </c>
      <c r="O581" s="15">
        <v>-3.7100000000000001E-2</v>
      </c>
      <c r="P581" s="15">
        <v>-0.1226</v>
      </c>
      <c r="Q581" s="15">
        <v>-7.980000000000001E-2</v>
      </c>
      <c r="R581" s="7"/>
    </row>
    <row r="582" spans="1:18" x14ac:dyDescent="0.25">
      <c r="A582">
        <v>202205</v>
      </c>
      <c r="B582" s="15">
        <v>-1.7500000000000002E-2</v>
      </c>
      <c r="C582" s="15">
        <v>-3.2199999999999999E-2</v>
      </c>
      <c r="D582" s="15">
        <v>0.1585</v>
      </c>
      <c r="E582" s="15">
        <v>-6.3099999999999989E-2</v>
      </c>
      <c r="F582" s="15">
        <v>-8.1000000000000013E-3</v>
      </c>
      <c r="G582" s="15">
        <v>6.5299999999999997E-2</v>
      </c>
      <c r="H582" s="15">
        <v>1.15E-2</v>
      </c>
      <c r="I582" s="15">
        <v>1.44E-2</v>
      </c>
      <c r="J582" s="15">
        <v>-8.1699999999999995E-2</v>
      </c>
      <c r="K582" s="15">
        <v>-3.15E-2</v>
      </c>
      <c r="L582" s="15">
        <v>2.5899999999999999E-2</v>
      </c>
      <c r="M582" s="15">
        <v>-8.1900000000000001E-2</v>
      </c>
      <c r="N582" s="15">
        <v>-3.2199999999999999E-2</v>
      </c>
      <c r="O582" s="15">
        <v>4.7899999999999998E-2</v>
      </c>
      <c r="P582" s="15">
        <v>-6.0499999999999998E-2</v>
      </c>
      <c r="Q582" s="15">
        <v>2.8799999999999999E-2</v>
      </c>
      <c r="R582" s="7"/>
    </row>
    <row r="583" spans="1:18" x14ac:dyDescent="0.25">
      <c r="A583">
        <v>202206</v>
      </c>
      <c r="B583" s="15">
        <v>-1.18E-2</v>
      </c>
      <c r="C583" s="15">
        <v>-0.17069999999999999</v>
      </c>
      <c r="D583" s="15">
        <v>-0.16699999999999998</v>
      </c>
      <c r="E583" s="15">
        <v>-0.1186</v>
      </c>
      <c r="F583" s="15">
        <v>-0.10289999999999999</v>
      </c>
      <c r="G583" s="15">
        <v>-0.15670000000000001</v>
      </c>
      <c r="H583" s="15">
        <v>-1.7000000000000001E-2</v>
      </c>
      <c r="I583" s="15">
        <v>-0.10710000000000001</v>
      </c>
      <c r="J583" s="15">
        <v>-0.21149999999999999</v>
      </c>
      <c r="K583" s="15">
        <v>-7.8100000000000003E-2</v>
      </c>
      <c r="L583" s="15">
        <v>-0.1231</v>
      </c>
      <c r="M583" s="15">
        <v>-0.1026</v>
      </c>
      <c r="N583" s="15">
        <v>-6.3E-2</v>
      </c>
      <c r="O583" s="15">
        <v>-6.54E-2</v>
      </c>
      <c r="P583" s="15">
        <v>-8.0600000000000005E-2</v>
      </c>
      <c r="Q583" s="15">
        <v>-9.0500000000000011E-2</v>
      </c>
      <c r="R583" s="7"/>
    </row>
    <row r="584" spans="1:18" x14ac:dyDescent="0.25">
      <c r="A584">
        <v>202207</v>
      </c>
      <c r="B584" s="15">
        <v>3.9800000000000002E-2</v>
      </c>
      <c r="C584" s="15">
        <v>1.29E-2</v>
      </c>
      <c r="D584" s="15">
        <v>0.10439999999999999</v>
      </c>
      <c r="E584" s="15">
        <v>0.11560000000000001</v>
      </c>
      <c r="F584" s="15">
        <v>8.9800000000000005E-2</v>
      </c>
      <c r="G584" s="15">
        <v>7.22E-2</v>
      </c>
      <c r="H584" s="15">
        <v>-3.0999999999999999E-3</v>
      </c>
      <c r="I584" s="15">
        <v>0.12560000000000002</v>
      </c>
      <c r="J584" s="15">
        <v>0.20449999999999999</v>
      </c>
      <c r="K584" s="15">
        <v>0.12429999999999999</v>
      </c>
      <c r="L584" s="15">
        <v>0.14019999999999999</v>
      </c>
      <c r="M584" s="15">
        <v>0.26440000000000002</v>
      </c>
      <c r="N584" s="15">
        <v>7.5600000000000001E-2</v>
      </c>
      <c r="O584" s="15">
        <v>6.3E-2</v>
      </c>
      <c r="P584" s="15">
        <v>0.16930000000000001</v>
      </c>
      <c r="Q584" s="15">
        <v>7.400000000000001E-2</v>
      </c>
      <c r="R584" s="7"/>
    </row>
    <row r="585" spans="1:18" x14ac:dyDescent="0.25">
      <c r="A585">
        <v>202208</v>
      </c>
      <c r="B585" s="15">
        <v>-1.66E-2</v>
      </c>
      <c r="C585" s="15">
        <v>-2.81E-2</v>
      </c>
      <c r="D585" s="15">
        <v>3.27E-2</v>
      </c>
      <c r="E585" s="15">
        <v>-6.1699999999999998E-2</v>
      </c>
      <c r="F585" s="15">
        <v>-5.8799999999999998E-2</v>
      </c>
      <c r="G585" s="15">
        <v>-1.06E-2</v>
      </c>
      <c r="H585" s="15">
        <v>-4.7599999999999996E-2</v>
      </c>
      <c r="I585" s="15">
        <v>-3.9699999999999999E-2</v>
      </c>
      <c r="J585" s="15">
        <v>-1.3000000000000001E-2</v>
      </c>
      <c r="K585" s="15">
        <v>-9.4200000000000006E-2</v>
      </c>
      <c r="L585" s="15">
        <v>-7.5600000000000001E-2</v>
      </c>
      <c r="M585" s="15">
        <v>-5.3399999999999996E-2</v>
      </c>
      <c r="N585" s="15">
        <v>-1.41E-2</v>
      </c>
      <c r="O585" s="15">
        <v>1.5E-3</v>
      </c>
      <c r="P585" s="15">
        <v>-3.5200000000000002E-2</v>
      </c>
      <c r="Q585" s="15">
        <v>-2.1499999999999998E-2</v>
      </c>
      <c r="R585" s="7"/>
    </row>
    <row r="586" spans="1:18" x14ac:dyDescent="0.25">
      <c r="A586">
        <v>202209</v>
      </c>
      <c r="B586" s="15">
        <v>-7.4999999999999997E-2</v>
      </c>
      <c r="C586" s="15">
        <v>-0.06</v>
      </c>
      <c r="D586" s="15">
        <v>-9.1899999999999996E-2</v>
      </c>
      <c r="E586" s="15">
        <v>-0.17370000000000002</v>
      </c>
      <c r="F586" s="15">
        <v>-0.1474</v>
      </c>
      <c r="G586" s="15">
        <v>-0.10980000000000001</v>
      </c>
      <c r="H586" s="15">
        <v>-2.4E-2</v>
      </c>
      <c r="I586" s="15">
        <v>-6.3500000000000001E-2</v>
      </c>
      <c r="J586" s="15">
        <v>-0.18</v>
      </c>
      <c r="K586" s="15">
        <v>-8.77E-2</v>
      </c>
      <c r="L586" s="15">
        <v>-0.11269999999999999</v>
      </c>
      <c r="M586" s="15">
        <v>-5.8799999999999998E-2</v>
      </c>
      <c r="N586" s="15">
        <v>-0.13070000000000001</v>
      </c>
      <c r="O586" s="15">
        <v>-0.1162</v>
      </c>
      <c r="P586" s="15">
        <v>-7.9699999999999993E-2</v>
      </c>
      <c r="Q586" s="15">
        <v>-7.6799999999999993E-2</v>
      </c>
      <c r="R586" s="7"/>
    </row>
    <row r="587" spans="1:18" x14ac:dyDescent="0.25">
      <c r="A587">
        <v>202210</v>
      </c>
      <c r="B587" s="15">
        <v>0.1032</v>
      </c>
      <c r="C587" s="15">
        <v>8.5000000000000006E-2</v>
      </c>
      <c r="D587" s="15">
        <v>0.24</v>
      </c>
      <c r="E587" s="15">
        <v>0.10800000000000001</v>
      </c>
      <c r="F587" s="15">
        <v>3.0800000000000001E-2</v>
      </c>
      <c r="G587" s="15">
        <v>9.3000000000000013E-2</v>
      </c>
      <c r="H587" s="15">
        <v>8.6400000000000005E-2</v>
      </c>
      <c r="I587" s="15">
        <v>7.2900000000000006E-2</v>
      </c>
      <c r="J587" s="15">
        <v>0.19940000000000002</v>
      </c>
      <c r="K587" s="15">
        <v>0.1234</v>
      </c>
      <c r="L587" s="15">
        <v>8.8900000000000007E-2</v>
      </c>
      <c r="M587" s="15">
        <v>-4.4600000000000001E-2</v>
      </c>
      <c r="N587" s="15">
        <v>0.1173</v>
      </c>
      <c r="O587" s="15">
        <v>3.5099999999999999E-2</v>
      </c>
      <c r="P587" s="15">
        <v>1.8799999999999997E-2</v>
      </c>
      <c r="Q587" s="15">
        <v>0.1273</v>
      </c>
      <c r="R587" s="7"/>
    </row>
    <row r="588" spans="1:18" x14ac:dyDescent="0.25">
      <c r="A588">
        <v>202211</v>
      </c>
      <c r="B588" s="15">
        <v>4.2500000000000003E-2</v>
      </c>
      <c r="C588" s="15">
        <v>0.17079999999999998</v>
      </c>
      <c r="D588" s="15">
        <v>8.3999999999999995E-3</v>
      </c>
      <c r="E588" s="15">
        <v>0.17069999999999999</v>
      </c>
      <c r="F588" s="15">
        <v>4.9100000000000005E-2</v>
      </c>
      <c r="G588" s="15">
        <v>0.1002</v>
      </c>
      <c r="H588" s="15">
        <v>5.2000000000000005E-2</v>
      </c>
      <c r="I588" s="15">
        <v>8.9399999999999993E-2</v>
      </c>
      <c r="J588" s="15">
        <v>0.13970000000000002</v>
      </c>
      <c r="K588" s="15">
        <v>6.2E-2</v>
      </c>
      <c r="L588" s="15">
        <v>0.1168</v>
      </c>
      <c r="M588" s="15">
        <v>-7.5199999999999989E-2</v>
      </c>
      <c r="N588" s="15">
        <v>8.5600000000000009E-2</v>
      </c>
      <c r="O588" s="15">
        <v>6.7799999999999999E-2</v>
      </c>
      <c r="P588" s="15">
        <v>2.5699999999999997E-2</v>
      </c>
      <c r="Q588" s="15">
        <v>4.7899999999999998E-2</v>
      </c>
      <c r="R588" s="7"/>
    </row>
    <row r="589" spans="1:18" x14ac:dyDescent="0.25">
      <c r="A589">
        <v>202212</v>
      </c>
      <c r="B589" s="15">
        <v>-3.15E-2</v>
      </c>
      <c r="C589" s="15">
        <v>-4.24E-2</v>
      </c>
      <c r="D589" s="15">
        <v>-4.0800000000000003E-2</v>
      </c>
      <c r="E589" s="15">
        <v>-2.5000000000000001E-3</v>
      </c>
      <c r="F589" s="15">
        <v>-5.45E-2</v>
      </c>
      <c r="G589" s="15">
        <v>-6.4299999999999996E-2</v>
      </c>
      <c r="H589" s="15">
        <v>-7.9000000000000008E-3</v>
      </c>
      <c r="I589" s="15">
        <v>-3.4500000000000003E-2</v>
      </c>
      <c r="J589" s="15">
        <v>-7.5899999999999995E-2</v>
      </c>
      <c r="K589" s="15">
        <v>-5.7000000000000002E-2</v>
      </c>
      <c r="L589" s="15">
        <v>-6.6600000000000006E-2</v>
      </c>
      <c r="M589" s="15">
        <v>-0.25619999999999998</v>
      </c>
      <c r="N589" s="15">
        <v>-3.7699999999999997E-2</v>
      </c>
      <c r="O589" s="15">
        <v>-1.21E-2</v>
      </c>
      <c r="P589" s="15">
        <v>-9.3900000000000011E-2</v>
      </c>
      <c r="Q589" s="15">
        <v>-5.5399999999999998E-2</v>
      </c>
      <c r="R589" s="7"/>
    </row>
    <row r="590" spans="1:18" x14ac:dyDescent="0.25">
      <c r="A590">
        <v>202301</v>
      </c>
      <c r="B590" s="15">
        <v>-1.9099999999999999E-2</v>
      </c>
      <c r="C590" s="15">
        <v>0.1484</v>
      </c>
      <c r="D590" s="15">
        <v>2.7000000000000003E-2</v>
      </c>
      <c r="E590" s="15">
        <v>9.3000000000000013E-2</v>
      </c>
      <c r="F590" s="15">
        <v>0.1396</v>
      </c>
      <c r="G590" s="15">
        <v>0.1114</v>
      </c>
      <c r="H590" s="15">
        <v>-2.58E-2</v>
      </c>
      <c r="I590" s="15">
        <v>7.1099999999999997E-2</v>
      </c>
      <c r="J590" s="15">
        <v>0.22159999999999999</v>
      </c>
      <c r="K590" s="15">
        <v>0.12869999999999998</v>
      </c>
      <c r="L590" s="15">
        <v>9.4600000000000004E-2</v>
      </c>
      <c r="M590" s="15">
        <v>0.24030000000000001</v>
      </c>
      <c r="N590" s="15">
        <v>6.6500000000000004E-2</v>
      </c>
      <c r="O590" s="15">
        <v>-1.24E-2</v>
      </c>
      <c r="P590" s="15">
        <v>0.12130000000000001</v>
      </c>
      <c r="Q590" s="15">
        <v>6.3600000000000004E-2</v>
      </c>
      <c r="R590" s="7"/>
    </row>
    <row r="591" spans="1:18" x14ac:dyDescent="0.25">
      <c r="A591">
        <v>202302</v>
      </c>
      <c r="B591" s="15">
        <v>-1.46E-2</v>
      </c>
      <c r="C591" s="15">
        <v>-5.1399999999999994E-2</v>
      </c>
      <c r="D591" s="15">
        <v>-7.0300000000000001E-2</v>
      </c>
      <c r="E591" s="15">
        <v>-6.2899999999999998E-2</v>
      </c>
      <c r="F591" s="15">
        <v>-8.8999999999999999E-3</v>
      </c>
      <c r="G591" s="15">
        <v>-4.6600000000000003E-2</v>
      </c>
      <c r="H591" s="15">
        <v>-4.6600000000000003E-2</v>
      </c>
      <c r="I591" s="15">
        <v>-3.6200000000000003E-2</v>
      </c>
      <c r="J591" s="15">
        <v>2.0799999999999999E-2</v>
      </c>
      <c r="K591" s="15">
        <v>0.03</v>
      </c>
      <c r="L591" s="15">
        <v>6.9999999999999993E-3</v>
      </c>
      <c r="M591" s="15">
        <v>0.1048</v>
      </c>
      <c r="N591" s="15">
        <v>-2.8999999999999998E-3</v>
      </c>
      <c r="O591" s="15">
        <v>-5.3200000000000004E-2</v>
      </c>
      <c r="P591" s="15">
        <v>-5.7000000000000002E-2</v>
      </c>
      <c r="Q591" s="15">
        <v>-2.8399999999999998E-2</v>
      </c>
      <c r="R591" s="7"/>
    </row>
    <row r="592" spans="1:18" x14ac:dyDescent="0.25">
      <c r="A592">
        <v>202303</v>
      </c>
      <c r="B592" s="15">
        <v>3.7100000000000001E-2</v>
      </c>
      <c r="C592" s="15">
        <v>1.5300000000000001E-2</v>
      </c>
      <c r="D592" s="15">
        <v>-2.8999999999999998E-3</v>
      </c>
      <c r="E592" s="15">
        <v>3.8399999999999997E-2</v>
      </c>
      <c r="F592" s="15">
        <v>-7.1999999999999998E-3</v>
      </c>
      <c r="G592" s="15">
        <v>-4.5499999999999999E-2</v>
      </c>
      <c r="H592" s="15">
        <v>2.9600000000000001E-2</v>
      </c>
      <c r="I592" s="15">
        <v>2.3999999999999998E-3</v>
      </c>
      <c r="J592" s="15">
        <v>-8.0799999999999997E-2</v>
      </c>
      <c r="K592" s="15">
        <v>-1.7000000000000001E-2</v>
      </c>
      <c r="L592" s="15">
        <v>6.6500000000000004E-2</v>
      </c>
      <c r="M592" s="15">
        <v>-3.0000000000000001E-3</v>
      </c>
      <c r="N592" s="15">
        <v>1.2999999999999999E-3</v>
      </c>
      <c r="O592" s="15">
        <v>3.8900000000000004E-2</v>
      </c>
      <c r="P592" s="15">
        <v>4.9200000000000001E-2</v>
      </c>
      <c r="Q592" s="15">
        <v>-8.6699999999999999E-2</v>
      </c>
      <c r="R592" s="7"/>
    </row>
    <row r="593" spans="1:18" x14ac:dyDescent="0.25">
      <c r="A593">
        <v>202304</v>
      </c>
      <c r="B593" s="15">
        <v>3.1800000000000002E-2</v>
      </c>
      <c r="C593" s="15">
        <v>-2.7300000000000001E-2</v>
      </c>
      <c r="D593" s="15">
        <v>2.7000000000000003E-2</v>
      </c>
      <c r="E593" s="15">
        <v>2.29E-2</v>
      </c>
      <c r="F593" s="15">
        <v>-4.8999999999999998E-3</v>
      </c>
      <c r="G593" s="15">
        <v>-1.6500000000000001E-2</v>
      </c>
      <c r="H593" s="15">
        <v>5.0999999999999997E-2</v>
      </c>
      <c r="I593" s="15">
        <v>4.0300000000000002E-2</v>
      </c>
      <c r="J593" s="15">
        <v>-6.8400000000000002E-2</v>
      </c>
      <c r="K593" s="15">
        <v>-1.9099999999999999E-2</v>
      </c>
      <c r="L593" s="15">
        <v>-5.0700000000000002E-2</v>
      </c>
      <c r="M593" s="15">
        <v>-0.12659999999999999</v>
      </c>
      <c r="N593" s="15">
        <v>-1.52E-2</v>
      </c>
      <c r="O593" s="15">
        <v>1.72E-2</v>
      </c>
      <c r="P593" s="15">
        <v>2.41E-2</v>
      </c>
      <c r="Q593" s="15">
        <v>1.9699999999999999E-2</v>
      </c>
      <c r="R593" s="7"/>
    </row>
    <row r="594" spans="1:18" x14ac:dyDescent="0.25">
      <c r="A594">
        <v>202305</v>
      </c>
      <c r="B594" s="15">
        <v>-4.4600000000000001E-2</v>
      </c>
      <c r="C594" s="15">
        <v>-6.2199999999999998E-2</v>
      </c>
      <c r="D594" s="15">
        <v>-9.6300000000000011E-2</v>
      </c>
      <c r="E594" s="15">
        <v>-0.13500000000000001</v>
      </c>
      <c r="F594" s="15">
        <v>-6.1900000000000004E-2</v>
      </c>
      <c r="G594" s="15">
        <v>-8.2299999999999998E-2</v>
      </c>
      <c r="H594" s="15">
        <v>-3.7200000000000004E-2</v>
      </c>
      <c r="I594" s="15">
        <v>-3.1600000000000003E-2</v>
      </c>
      <c r="J594" s="15">
        <v>-8.48E-2</v>
      </c>
      <c r="K594" s="15">
        <v>-3.5799999999999998E-2</v>
      </c>
      <c r="L594" s="15">
        <v>8.929999999999999E-2</v>
      </c>
      <c r="M594" s="15">
        <v>0.115</v>
      </c>
      <c r="N594" s="15">
        <v>-1.9900000000000001E-2</v>
      </c>
      <c r="O594" s="15">
        <v>-5.8200000000000002E-2</v>
      </c>
      <c r="P594" s="15">
        <v>2.0799999999999999E-2</v>
      </c>
      <c r="Q594" s="15">
        <v>-3.7699999999999997E-2</v>
      </c>
      <c r="R594" s="7"/>
    </row>
    <row r="595" spans="1:18" x14ac:dyDescent="0.25">
      <c r="A595">
        <v>202306</v>
      </c>
      <c r="B595" s="15">
        <v>1.29E-2</v>
      </c>
      <c r="C595" s="15">
        <v>0.1217</v>
      </c>
      <c r="D595" s="15">
        <v>6.3E-2</v>
      </c>
      <c r="E595" s="15">
        <v>7.2900000000000006E-2</v>
      </c>
      <c r="F595" s="15">
        <v>0.11470000000000001</v>
      </c>
      <c r="G595" s="15">
        <v>9.9000000000000005E-2</v>
      </c>
      <c r="H595" s="15">
        <v>5.7099999999999998E-2</v>
      </c>
      <c r="I595" s="15">
        <v>0.13900000000000001</v>
      </c>
      <c r="J595" s="15">
        <v>0.20219999999999999</v>
      </c>
      <c r="K595" s="15">
        <v>0.15509999999999999</v>
      </c>
      <c r="L595" s="15">
        <v>8.6300000000000002E-2</v>
      </c>
      <c r="M595" s="15">
        <v>0.22270000000000001</v>
      </c>
      <c r="N595" s="15">
        <v>9.6199999999999994E-2</v>
      </c>
      <c r="O595" s="15">
        <v>2.6099999999999998E-2</v>
      </c>
      <c r="P595" s="15">
        <v>6.7699999999999996E-2</v>
      </c>
      <c r="Q595" s="15">
        <v>5.8499999999999996E-2</v>
      </c>
      <c r="R595" s="7"/>
    </row>
    <row r="596" spans="1:18" x14ac:dyDescent="0.25">
      <c r="A596">
        <v>202307</v>
      </c>
      <c r="B596" s="15">
        <v>2.3099999999999999E-2</v>
      </c>
      <c r="C596" s="15">
        <v>8.1300000000000011E-2</v>
      </c>
      <c r="D596" s="15">
        <v>7.4400000000000008E-2</v>
      </c>
      <c r="E596" s="15">
        <v>1.1000000000000001E-2</v>
      </c>
      <c r="F596" s="15">
        <v>3.4599999999999999E-2</v>
      </c>
      <c r="G596" s="15">
        <v>5.04E-2</v>
      </c>
      <c r="H596" s="15">
        <v>-9.8999999999999991E-3</v>
      </c>
      <c r="I596" s="15">
        <v>4.7800000000000002E-2</v>
      </c>
      <c r="J596" s="15">
        <v>3.4099999999999998E-2</v>
      </c>
      <c r="K596" s="15">
        <v>2.63E-2</v>
      </c>
      <c r="L596" s="15">
        <v>5.3399999999999996E-2</v>
      </c>
      <c r="M596" s="15">
        <v>1.8799999999999997E-2</v>
      </c>
      <c r="N596" s="15">
        <v>4.9599999999999998E-2</v>
      </c>
      <c r="O596" s="15">
        <v>2.7900000000000001E-2</v>
      </c>
      <c r="P596" s="15">
        <v>2.3199999999999998E-2</v>
      </c>
      <c r="Q596" s="15">
        <v>6.4000000000000001E-2</v>
      </c>
      <c r="R596" s="7"/>
    </row>
    <row r="597" spans="1:18" x14ac:dyDescent="0.25">
      <c r="A597">
        <v>202308</v>
      </c>
      <c r="B597" s="15">
        <v>-4.24E-2</v>
      </c>
      <c r="C597" s="15">
        <v>-5.7200000000000001E-2</v>
      </c>
      <c r="D597" s="15">
        <v>2.0499999999999997E-2</v>
      </c>
      <c r="E597" s="15">
        <v>-5.96E-2</v>
      </c>
      <c r="F597" s="15">
        <v>1.3899999999999999E-2</v>
      </c>
      <c r="G597" s="15">
        <v>-4.8899999999999999E-2</v>
      </c>
      <c r="H597" s="15">
        <v>2.4199999999999999E-2</v>
      </c>
      <c r="I597" s="15">
        <v>-1.34E-2</v>
      </c>
      <c r="J597" s="15">
        <v>-1.5700000000000002E-2</v>
      </c>
      <c r="K597" s="15">
        <v>1.01E-2</v>
      </c>
      <c r="L597" s="15">
        <v>-4.6999999999999993E-3</v>
      </c>
      <c r="M597" s="15">
        <v>-3.8900000000000004E-2</v>
      </c>
      <c r="N597" s="15">
        <v>-4.1900000000000007E-2</v>
      </c>
      <c r="O597" s="15">
        <v>-5.2900000000000003E-2</v>
      </c>
      <c r="P597" s="15">
        <v>-1.7000000000000001E-3</v>
      </c>
      <c r="Q597" s="15">
        <v>-3.61E-2</v>
      </c>
      <c r="R597" s="7"/>
    </row>
    <row r="598" spans="1:18" x14ac:dyDescent="0.25">
      <c r="A598">
        <v>202309</v>
      </c>
      <c r="B598" s="15">
        <v>-4.9599999999999998E-2</v>
      </c>
      <c r="C598" s="15">
        <v>-5.0599999999999999E-2</v>
      </c>
      <c r="D598" s="15">
        <v>3.0600000000000002E-2</v>
      </c>
      <c r="E598" s="15">
        <v>-4.7E-2</v>
      </c>
      <c r="F598" s="15">
        <v>-7.3399999999999993E-2</v>
      </c>
      <c r="G598" s="15">
        <v>-5.9699999999999996E-2</v>
      </c>
      <c r="H598" s="15">
        <v>-4.3899999999999995E-2</v>
      </c>
      <c r="I598" s="15">
        <v>-8.4199999999999997E-2</v>
      </c>
      <c r="J598" s="15">
        <v>-4.58E-2</v>
      </c>
      <c r="K598" s="15">
        <v>-6.1100000000000002E-2</v>
      </c>
      <c r="L598" s="15">
        <v>-7.3499999999999996E-2</v>
      </c>
      <c r="M598" s="15">
        <v>-2.52E-2</v>
      </c>
      <c r="N598" s="15">
        <v>-6.7599999999999993E-2</v>
      </c>
      <c r="O598" s="15">
        <v>-5.04E-2</v>
      </c>
      <c r="P598" s="15">
        <v>-5.8200000000000002E-2</v>
      </c>
      <c r="Q598" s="15">
        <v>-2.0299999999999999E-2</v>
      </c>
      <c r="R598" s="7"/>
    </row>
    <row r="599" spans="1:18" x14ac:dyDescent="0.25">
      <c r="A599">
        <v>202310</v>
      </c>
      <c r="B599" s="15">
        <v>-3.4000000000000002E-2</v>
      </c>
      <c r="C599" s="15">
        <v>-4.5700000000000005E-2</v>
      </c>
      <c r="D599" s="15">
        <v>-6.1699999999999998E-2</v>
      </c>
      <c r="E599" s="15">
        <v>3.8399999999999997E-2</v>
      </c>
      <c r="F599" s="15">
        <v>-0.1076</v>
      </c>
      <c r="G599" s="15">
        <v>-6.5500000000000003E-2</v>
      </c>
      <c r="H599" s="15">
        <v>-1.7399999999999999E-2</v>
      </c>
      <c r="I599" s="15">
        <v>-6.3399999999999998E-2</v>
      </c>
      <c r="J599" s="15">
        <v>-4.0099999999999997E-2</v>
      </c>
      <c r="K599" s="15">
        <v>-5.4100000000000002E-2</v>
      </c>
      <c r="L599" s="15">
        <v>-6.4600000000000005E-2</v>
      </c>
      <c r="M599" s="15">
        <v>-0.1605</v>
      </c>
      <c r="N599" s="15">
        <v>-2.3900000000000001E-2</v>
      </c>
      <c r="O599" s="15">
        <v>1.1200000000000002E-2</v>
      </c>
      <c r="P599" s="15">
        <v>1.9099999999999999E-2</v>
      </c>
      <c r="Q599" s="15">
        <v>-1.78E-2</v>
      </c>
      <c r="R599" s="7"/>
    </row>
    <row r="600" spans="1:18" x14ac:dyDescent="0.25">
      <c r="A600">
        <v>202311</v>
      </c>
      <c r="B600" s="15">
        <v>4.3400000000000001E-2</v>
      </c>
      <c r="C600" s="15">
        <v>8.6199999999999999E-2</v>
      </c>
      <c r="D600" s="15">
        <v>-1.67E-2</v>
      </c>
      <c r="E600" s="15">
        <v>0.10550000000000001</v>
      </c>
      <c r="F600" s="15">
        <v>7.5199999999999989E-2</v>
      </c>
      <c r="G600" s="15">
        <v>5.1399999999999994E-2</v>
      </c>
      <c r="H600" s="15">
        <v>4.5100000000000001E-2</v>
      </c>
      <c r="I600" s="15">
        <v>0.12970000000000001</v>
      </c>
      <c r="J600" s="15">
        <v>0.1115</v>
      </c>
      <c r="K600" s="15">
        <v>0.1246</v>
      </c>
      <c r="L600" s="15">
        <v>0.11749999999999999</v>
      </c>
      <c r="M600" s="15">
        <v>0.1492</v>
      </c>
      <c r="N600" s="15">
        <v>0.1075</v>
      </c>
      <c r="O600" s="15">
        <v>5.0799999999999998E-2</v>
      </c>
      <c r="P600" s="15">
        <v>6.8199999999999997E-2</v>
      </c>
      <c r="Q600" s="15">
        <v>0.10249999999999999</v>
      </c>
      <c r="R600" s="7"/>
    </row>
    <row r="601" spans="1:18" x14ac:dyDescent="0.25">
      <c r="A601">
        <v>202312</v>
      </c>
      <c r="B601" s="15">
        <v>2.86E-2</v>
      </c>
      <c r="C601" s="15">
        <v>0.10150000000000001</v>
      </c>
      <c r="D601" s="15">
        <v>-2.9999999999999997E-4</v>
      </c>
      <c r="E601" s="15">
        <v>5.0099999999999999E-2</v>
      </c>
      <c r="F601" s="15">
        <v>8.6999999999999994E-2</v>
      </c>
      <c r="G601" s="15">
        <v>7.8E-2</v>
      </c>
      <c r="H601" s="15">
        <v>2.1000000000000001E-2</v>
      </c>
      <c r="I601" s="15">
        <v>0.1288</v>
      </c>
      <c r="J601" s="15">
        <v>9.6600000000000005E-2</v>
      </c>
      <c r="K601" s="15">
        <v>7.400000000000001E-2</v>
      </c>
      <c r="L601" s="15">
        <v>0.1002</v>
      </c>
      <c r="M601" s="15">
        <v>0.05</v>
      </c>
      <c r="N601" s="15">
        <v>7.2700000000000001E-2</v>
      </c>
      <c r="O601" s="15">
        <v>1.6899999999999998E-2</v>
      </c>
      <c r="P601" s="15">
        <v>5.4000000000000006E-2</v>
      </c>
      <c r="Q601" s="15">
        <v>6.7599999999999993E-2</v>
      </c>
      <c r="R601" s="7"/>
    </row>
    <row r="602" spans="1:18" x14ac:dyDescent="0.25">
      <c r="A602">
        <v>202401</v>
      </c>
      <c r="B602" s="15">
        <v>-1E-4</v>
      </c>
      <c r="C602" s="15">
        <v>-4.36E-2</v>
      </c>
      <c r="D602" s="15">
        <v>-1.8E-3</v>
      </c>
      <c r="E602" s="15">
        <v>-5.0900000000000001E-2</v>
      </c>
      <c r="F602" s="15">
        <v>-3.04E-2</v>
      </c>
      <c r="G602" s="15">
        <v>-5.9900000000000002E-2</v>
      </c>
      <c r="H602" s="15">
        <v>4.4699999999999997E-2</v>
      </c>
      <c r="I602" s="15">
        <v>-1.24E-2</v>
      </c>
      <c r="J602" s="15">
        <v>8.8999999999999999E-3</v>
      </c>
      <c r="K602" s="15">
        <v>-1.46E-2</v>
      </c>
      <c r="L602" s="15">
        <v>4.99E-2</v>
      </c>
      <c r="M602" s="15">
        <v>-0.15710000000000002</v>
      </c>
      <c r="N602" s="15">
        <v>-2.0099999999999996E-2</v>
      </c>
      <c r="O602" s="15">
        <v>-0.03</v>
      </c>
      <c r="P602" s="15">
        <v>1.1899999999999999E-2</v>
      </c>
      <c r="Q602" s="15">
        <v>7.4999999999999997E-3</v>
      </c>
    </row>
    <row r="603" spans="1:18" x14ac:dyDescent="0.25">
      <c r="A603">
        <v>202402</v>
      </c>
      <c r="B603" s="15">
        <v>1.6299999999999999E-2</v>
      </c>
      <c r="C603" s="15">
        <v>1.8799999999999997E-2</v>
      </c>
      <c r="D603" s="15">
        <v>3.0600000000000002E-2</v>
      </c>
      <c r="E603" s="15">
        <v>6.13E-2</v>
      </c>
      <c r="F603" s="15">
        <v>3.6699999999999997E-2</v>
      </c>
      <c r="G603" s="15">
        <v>2.4300000000000002E-2</v>
      </c>
      <c r="H603" s="15">
        <v>5.5E-2</v>
      </c>
      <c r="I603" s="15">
        <v>9.3200000000000005E-2</v>
      </c>
      <c r="J603" s="15">
        <v>4.87E-2</v>
      </c>
      <c r="K603" s="15">
        <v>0.11689999999999999</v>
      </c>
      <c r="L603" s="15">
        <v>0.12809999999999999</v>
      </c>
      <c r="M603" s="15">
        <v>7.4400000000000008E-2</v>
      </c>
      <c r="N603" s="15">
        <v>5.2900000000000003E-2</v>
      </c>
      <c r="O603" s="15">
        <v>2.4199999999999999E-2</v>
      </c>
      <c r="P603" s="15">
        <v>0.10220000000000001</v>
      </c>
      <c r="Q603" s="15">
        <v>3.6400000000000002E-2</v>
      </c>
    </row>
    <row r="604" spans="1:18" x14ac:dyDescent="0.25">
      <c r="A604">
        <v>202403</v>
      </c>
      <c r="B604" s="15">
        <v>3.1099999999999999E-2</v>
      </c>
      <c r="C604" s="15">
        <v>0.15329999999999999</v>
      </c>
      <c r="D604" s="15">
        <v>0.10490000000000001</v>
      </c>
      <c r="E604" s="15">
        <v>-5.8099999999999999E-2</v>
      </c>
      <c r="F604" s="15">
        <v>5.7200000000000001E-2</v>
      </c>
      <c r="G604" s="15">
        <v>6.3299999999999995E-2</v>
      </c>
      <c r="H604" s="15">
        <v>1.9599999999999999E-2</v>
      </c>
      <c r="I604" s="15">
        <v>5.5300000000000002E-2</v>
      </c>
      <c r="J604" s="15">
        <v>5.4800000000000001E-2</v>
      </c>
      <c r="K604" s="15">
        <v>4.9599999999999998E-2</v>
      </c>
      <c r="L604" s="15">
        <v>6.8400000000000002E-2</v>
      </c>
      <c r="M604" s="15">
        <v>-4.4000000000000004E-2</v>
      </c>
      <c r="N604" s="15">
        <v>2.06E-2</v>
      </c>
      <c r="O604" s="15">
        <v>7.0499999999999993E-2</v>
      </c>
      <c r="P604" s="15">
        <v>2.1400000000000002E-2</v>
      </c>
      <c r="Q604" s="15">
        <v>4.8300000000000003E-2</v>
      </c>
    </row>
    <row r="605" spans="1:18" x14ac:dyDescent="0.25">
      <c r="A605">
        <v>202404</v>
      </c>
      <c r="B605" s="15">
        <v>-1.24E-2</v>
      </c>
      <c r="C605" s="15">
        <v>2.7999999999999997E-2</v>
      </c>
      <c r="D605" s="15">
        <v>-6.0999999999999995E-3</v>
      </c>
      <c r="E605" s="15">
        <v>-6.6199999999999995E-2</v>
      </c>
      <c r="F605" s="15">
        <v>-7.8200000000000006E-2</v>
      </c>
      <c r="G605" s="15">
        <v>-5.0099999999999999E-2</v>
      </c>
      <c r="H605" s="15">
        <v>-3.2400000000000005E-2</v>
      </c>
      <c r="I605" s="15">
        <v>-0.1</v>
      </c>
      <c r="J605" s="15">
        <v>-9.2699999999999991E-2</v>
      </c>
      <c r="K605" s="15">
        <v>-1.15E-2</v>
      </c>
      <c r="L605" s="15">
        <v>-4.9500000000000002E-2</v>
      </c>
      <c r="M605" s="15">
        <v>-1.6500000000000001E-2</v>
      </c>
      <c r="N605" s="15">
        <v>-5.1699999999999996E-2</v>
      </c>
      <c r="O605" s="15">
        <v>1.5600000000000001E-2</v>
      </c>
      <c r="P605" s="15">
        <v>-3.3399999999999999E-2</v>
      </c>
      <c r="Q605" s="15">
        <v>-4.1700000000000001E-2</v>
      </c>
    </row>
    <row r="606" spans="1:18" x14ac:dyDescent="0.25">
      <c r="A606">
        <v>202405</v>
      </c>
      <c r="B606" s="15">
        <v>-4.4000000000000003E-3</v>
      </c>
      <c r="C606" s="15">
        <v>3.2199999999999999E-2</v>
      </c>
      <c r="D606" s="15">
        <v>-6.0000000000000001E-3</v>
      </c>
      <c r="E606" s="15">
        <v>5.04E-2</v>
      </c>
      <c r="F606" s="15">
        <v>1.29E-2</v>
      </c>
      <c r="G606" s="15">
        <v>6.1799999999999994E-2</v>
      </c>
      <c r="H606" s="15">
        <v>3.3000000000000002E-2</v>
      </c>
      <c r="I606" s="15">
        <v>2.12E-2</v>
      </c>
      <c r="J606" s="15">
        <v>4.4299999999999999E-2</v>
      </c>
      <c r="K606" s="15">
        <v>-8.3999999999999995E-3</v>
      </c>
      <c r="L606" s="15">
        <v>0.11699999999999999</v>
      </c>
      <c r="M606" s="15">
        <v>-1.6899999999999998E-2</v>
      </c>
      <c r="N606" s="15">
        <v>2.7799999999999998E-2</v>
      </c>
      <c r="O606" s="15">
        <v>7.980000000000001E-2</v>
      </c>
      <c r="P606" s="15">
        <v>3.3099999999999997E-2</v>
      </c>
      <c r="Q606" s="15">
        <v>3.5499999999999997E-2</v>
      </c>
    </row>
    <row r="607" spans="1:18" x14ac:dyDescent="0.25">
      <c r="A607">
        <v>202406</v>
      </c>
      <c r="B607" s="15">
        <v>-2.4E-2</v>
      </c>
      <c r="C607" s="15">
        <v>-6.7299999999999999E-2</v>
      </c>
      <c r="D607" s="15">
        <v>-2.0400000000000001E-2</v>
      </c>
      <c r="E607" s="15">
        <v>-0.1225</v>
      </c>
      <c r="F607" s="15">
        <v>-3.4799999999999998E-2</v>
      </c>
      <c r="G607" s="15">
        <v>-6.1200000000000004E-2</v>
      </c>
      <c r="H607" s="15">
        <v>2.92E-2</v>
      </c>
      <c r="I607" s="15">
        <v>-2.4300000000000002E-2</v>
      </c>
      <c r="J607" s="15">
        <v>-5.7800000000000004E-2</v>
      </c>
      <c r="K607" s="15">
        <v>-5.1699999999999996E-2</v>
      </c>
      <c r="L607" s="15">
        <v>6.1399999999999996E-2</v>
      </c>
      <c r="M607" s="15">
        <v>6.7199999999999996E-2</v>
      </c>
      <c r="N607" s="15">
        <v>4.0999999999999995E-3</v>
      </c>
      <c r="O607" s="15">
        <v>-4.2000000000000003E-2</v>
      </c>
      <c r="P607" s="15">
        <v>4.7100000000000003E-2</v>
      </c>
      <c r="Q607" s="15">
        <v>-2.8000000000000004E-3</v>
      </c>
    </row>
    <row r="608" spans="1:18" x14ac:dyDescent="0.25">
      <c r="A608">
        <v>202407</v>
      </c>
      <c r="B608" s="15">
        <v>3.8399999999999997E-2</v>
      </c>
      <c r="C608" s="15">
        <v>4.4800000000000006E-2</v>
      </c>
      <c r="D608" s="15">
        <v>1.9900000000000001E-2</v>
      </c>
      <c r="E608" s="15">
        <v>-7.7000000000000002E-3</v>
      </c>
      <c r="F608" s="15">
        <v>5.7699999999999994E-2</v>
      </c>
      <c r="G608" s="15">
        <v>4.6600000000000003E-2</v>
      </c>
      <c r="H608" s="15">
        <v>-5.5000000000000005E-3</v>
      </c>
      <c r="I608" s="15">
        <v>0.11810000000000001</v>
      </c>
      <c r="J608" s="15">
        <v>6.4199999999999993E-2</v>
      </c>
      <c r="K608" s="15">
        <v>9.4100000000000003E-2</v>
      </c>
      <c r="L608" s="15">
        <v>-1.8000000000000002E-2</v>
      </c>
      <c r="M608" s="15">
        <v>0.10390000000000001</v>
      </c>
      <c r="N608" s="15">
        <v>3.9900000000000005E-2</v>
      </c>
      <c r="O608" s="15">
        <v>6.3299999999999995E-2</v>
      </c>
      <c r="P608" s="15">
        <v>-1.66E-2</v>
      </c>
      <c r="Q608" s="15">
        <v>7.6700000000000004E-2</v>
      </c>
    </row>
    <row r="609" spans="1:17" x14ac:dyDescent="0.25">
      <c r="A609">
        <v>202408</v>
      </c>
      <c r="B609" s="15">
        <v>3.8800000000000001E-2</v>
      </c>
      <c r="C609" s="15">
        <v>-3.1E-2</v>
      </c>
      <c r="D609" s="15">
        <v>-2.9300000000000003E-2</v>
      </c>
      <c r="E609" s="15">
        <v>5.3099999999999994E-2</v>
      </c>
      <c r="F609" s="15">
        <v>-1.43E-2</v>
      </c>
      <c r="G609" s="15">
        <v>6.3E-3</v>
      </c>
      <c r="H609" s="15">
        <v>8.0500000000000002E-2</v>
      </c>
      <c r="I609" s="15">
        <v>6.6E-3</v>
      </c>
      <c r="J609" s="15">
        <v>-6.8499999999999991E-2</v>
      </c>
      <c r="K609" s="15">
        <v>4.9400000000000006E-2</v>
      </c>
      <c r="L609" s="15">
        <v>1.1999999999999999E-3</v>
      </c>
      <c r="M609" s="15">
        <v>-4.4299999999999999E-2</v>
      </c>
      <c r="N609" s="15">
        <v>2.3099999999999999E-2</v>
      </c>
      <c r="O609" s="15">
        <v>4.5499999999999999E-2</v>
      </c>
      <c r="P609" s="15">
        <v>1.7100000000000001E-2</v>
      </c>
      <c r="Q609" s="15">
        <v>2.5000000000000001E-2</v>
      </c>
    </row>
    <row r="610" spans="1:17" x14ac:dyDescent="0.25">
      <c r="A610">
        <v>202409</v>
      </c>
      <c r="B610" s="15">
        <v>1.23E-2</v>
      </c>
      <c r="C610" s="15">
        <v>7.2599999999999998E-2</v>
      </c>
      <c r="D610" s="15">
        <v>-3.39E-2</v>
      </c>
      <c r="E610" s="15">
        <v>5.5399999999999998E-2</v>
      </c>
      <c r="F610" s="15">
        <v>2.1700000000000001E-2</v>
      </c>
      <c r="G610" s="15">
        <v>3.95E-2</v>
      </c>
      <c r="H610" s="15">
        <v>-3.32E-2</v>
      </c>
      <c r="I610" s="15">
        <v>6.9000000000000006E-2</v>
      </c>
      <c r="J610" s="15">
        <v>1.8500000000000003E-2</v>
      </c>
      <c r="K610" s="15">
        <v>5.2199999999999996E-2</v>
      </c>
      <c r="L610" s="15">
        <v>2.6800000000000001E-2</v>
      </c>
      <c r="M610" s="15">
        <v>0.1229</v>
      </c>
      <c r="N610" s="15">
        <v>1.32E-2</v>
      </c>
      <c r="O610" s="15">
        <v>5.3600000000000002E-2</v>
      </c>
      <c r="P610" s="15">
        <v>3.7200000000000004E-2</v>
      </c>
      <c r="Q610" s="15">
        <v>-5.0000000000000001E-3</v>
      </c>
    </row>
    <row r="611" spans="1:17" x14ac:dyDescent="0.25">
      <c r="A611">
        <v>202410</v>
      </c>
      <c r="B611" s="15">
        <v>-5.04E-2</v>
      </c>
      <c r="C611" s="15">
        <v>-3.2799999999999996E-2</v>
      </c>
      <c r="D611" s="15">
        <v>-4.6999999999999993E-3</v>
      </c>
      <c r="E611" s="15">
        <v>-6.7199999999999996E-2</v>
      </c>
      <c r="F611" s="15">
        <v>-1.9299999999999998E-2</v>
      </c>
      <c r="G611" s="15">
        <v>-3.2300000000000002E-2</v>
      </c>
      <c r="H611" s="15">
        <v>-3.61E-2</v>
      </c>
      <c r="I611" s="15">
        <v>-3.9399999999999998E-2</v>
      </c>
      <c r="J611" s="15">
        <v>-1.52E-2</v>
      </c>
      <c r="K611" s="15">
        <v>-8.1000000000000013E-3</v>
      </c>
      <c r="L611" s="15">
        <v>4.8999999999999998E-3</v>
      </c>
      <c r="M611" s="15">
        <v>-3.2599999999999997E-2</v>
      </c>
      <c r="N611" s="15">
        <v>-4.4000000000000003E-3</v>
      </c>
      <c r="O611" s="15">
        <v>6.8999999999999999E-3</v>
      </c>
      <c r="P611" s="15">
        <v>-9.1000000000000004E-3</v>
      </c>
      <c r="Q611" s="15">
        <v>2.64E-2</v>
      </c>
    </row>
    <row r="612" spans="1:17" x14ac:dyDescent="0.25">
      <c r="A612">
        <v>202411</v>
      </c>
      <c r="B612" s="15">
        <v>7.3000000000000001E-3</v>
      </c>
      <c r="C612" s="15">
        <v>-7.0999999999999995E-3</v>
      </c>
      <c r="D612" s="15">
        <v>6.480000000000001E-2</v>
      </c>
      <c r="E612" s="15">
        <v>0.08</v>
      </c>
      <c r="F612" s="15">
        <v>4.7400000000000005E-2</v>
      </c>
      <c r="G612" s="15">
        <v>5.0000000000000001E-3</v>
      </c>
      <c r="H612" s="15">
        <v>9.1000000000000004E-3</v>
      </c>
      <c r="I612" s="15">
        <v>8.8900000000000007E-2</v>
      </c>
      <c r="J612" s="15">
        <v>0.1042</v>
      </c>
      <c r="K612" s="15">
        <v>0.183</v>
      </c>
      <c r="L612" s="15">
        <v>3.2000000000000001E-2</v>
      </c>
      <c r="M612" s="15">
        <v>0.28339999999999999</v>
      </c>
      <c r="N612" s="15">
        <v>6.2800000000000009E-2</v>
      </c>
      <c r="O612" s="15">
        <v>6.2100000000000002E-2</v>
      </c>
      <c r="P612" s="15">
        <v>0.10039999999999999</v>
      </c>
      <c r="Q612" s="15">
        <v>0.1206</v>
      </c>
    </row>
    <row r="613" spans="1:17" x14ac:dyDescent="0.25">
      <c r="A613">
        <v>202412</v>
      </c>
      <c r="B613" s="15">
        <v>-4.8000000000000001E-2</v>
      </c>
      <c r="C613" s="15">
        <v>-0.1198</v>
      </c>
      <c r="D613" s="15">
        <v>-8.7400000000000005E-2</v>
      </c>
      <c r="E613" s="15">
        <v>1.3899999999999999E-2</v>
      </c>
      <c r="F613" s="15">
        <v>-5.6600000000000004E-2</v>
      </c>
      <c r="G613" s="15">
        <v>-0.1104</v>
      </c>
      <c r="H613" s="15">
        <v>-5.4100000000000002E-2</v>
      </c>
      <c r="I613" s="15">
        <v>-0.12179999999999999</v>
      </c>
      <c r="J613" s="15">
        <v>-0.17989999999999998</v>
      </c>
      <c r="K613" s="15">
        <v>-9.0299999999999991E-2</v>
      </c>
      <c r="L613" s="15">
        <v>-1.9E-3</v>
      </c>
      <c r="M613" s="15">
        <v>9.8100000000000007E-2</v>
      </c>
      <c r="N613" s="15">
        <v>-6.6500000000000004E-2</v>
      </c>
      <c r="O613" s="15">
        <v>-7.7800000000000008E-2</v>
      </c>
      <c r="P613" s="15">
        <v>6.0000000000000001E-3</v>
      </c>
      <c r="Q613" s="15">
        <v>-7.3300000000000004E-2</v>
      </c>
    </row>
    <row r="722" spans="2:18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2:18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2:18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2:18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2:18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2:18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2:18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2:18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2:18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2:18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2:18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2:18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E9C4-3E61-4494-900C-651F59F8381E}">
  <dimension ref="A1:T732"/>
  <sheetViews>
    <sheetView workbookViewId="0"/>
  </sheetViews>
  <sheetFormatPr defaultColWidth="8.85546875" defaultRowHeight="15" x14ac:dyDescent="0.25"/>
  <cols>
    <col min="1" max="1" width="10.7109375" style="5" bestFit="1" customWidth="1"/>
    <col min="2" max="2" width="23.28515625" bestFit="1" customWidth="1"/>
    <col min="3" max="3" width="22.7109375" bestFit="1" customWidth="1"/>
    <col min="4" max="4" width="17.140625" bestFit="1" customWidth="1"/>
    <col min="5" max="5" width="12.42578125" customWidth="1"/>
    <col min="6" max="6" width="11.28515625" bestFit="1" customWidth="1"/>
    <col min="7" max="7" width="11.42578125" bestFit="1" customWidth="1"/>
    <col min="8" max="8" width="11.28515625" bestFit="1" customWidth="1"/>
    <col min="9" max="9" width="12.85546875" bestFit="1" customWidth="1"/>
    <col min="10" max="11" width="13.42578125" customWidth="1"/>
    <col min="12" max="17" width="11.28515625" bestFit="1" customWidth="1"/>
    <col min="19" max="20" width="15.7109375" bestFit="1" customWidth="1"/>
  </cols>
  <sheetData>
    <row r="1" spans="1:19" x14ac:dyDescent="0.25">
      <c r="A1" s="4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spans="1:19" x14ac:dyDescent="0.25">
      <c r="A2" s="3">
        <f>ReturnData!A14</f>
        <v>197501</v>
      </c>
      <c r="B2" s="16">
        <f>AVERAGE(ReturnData!B2:B12)</f>
        <v>-2.811818181818182E-2</v>
      </c>
      <c r="C2" s="16">
        <f>AVERAGE(ReturnData!C2:C12)</f>
        <v>-6.9181818181818146E-3</v>
      </c>
      <c r="D2" s="16">
        <f>AVERAGE(ReturnData!D2:D12)</f>
        <v>-2.5127272727272724E-2</v>
      </c>
      <c r="E2" s="16">
        <f>AVERAGE(ReturnData!E2:E12)</f>
        <v>-2.4609090909090903E-2</v>
      </c>
      <c r="F2" s="16">
        <f>AVERAGE(ReturnData!F2:F12)</f>
        <v>-4.4863636363636369E-2</v>
      </c>
      <c r="G2" s="16">
        <f>AVERAGE(ReturnData!G2:G12)</f>
        <v>-1.0072727272727273E-2</v>
      </c>
      <c r="H2" s="16">
        <f>AVERAGE(ReturnData!H2:H12)</f>
        <v>-1.0181818181818176E-2</v>
      </c>
      <c r="I2" s="16">
        <f>AVERAGE(ReturnData!I2:I12)</f>
        <v>-2.0927272727272728E-2</v>
      </c>
      <c r="J2" s="16">
        <f>AVERAGE(ReturnData!J2:J12)</f>
        <v>-3.4090909090909072E-3</v>
      </c>
      <c r="K2" s="16">
        <f>AVERAGE(ReturnData!K2:K12)</f>
        <v>-3.0018181818181812E-2</v>
      </c>
      <c r="L2" s="16">
        <f>AVERAGE(ReturnData!L2:L12)</f>
        <v>-2.9118181818181821E-2</v>
      </c>
      <c r="M2" s="16">
        <f>AVERAGE(ReturnData!M2:M12)</f>
        <v>-2.4427272727272728E-2</v>
      </c>
      <c r="N2" s="16">
        <f>AVERAGE(ReturnData!N2:N12)</f>
        <v>-1.7290909090909089E-2</v>
      </c>
      <c r="O2" s="16">
        <f>AVERAGE(ReturnData!O2:O12)</f>
        <v>-1.668181818181818E-2</v>
      </c>
      <c r="P2" s="16">
        <f>AVERAGE(ReturnData!P2:P12)</f>
        <v>-3.2463636363636368E-2</v>
      </c>
      <c r="Q2" s="16">
        <f>AVERAGE(ReturnData!Q2:Q12)</f>
        <v>-3.1054545454545446E-2</v>
      </c>
      <c r="S2" s="3"/>
    </row>
    <row r="3" spans="1:19" x14ac:dyDescent="0.25">
      <c r="A3">
        <f>ReturnData!A15</f>
        <v>197502</v>
      </c>
      <c r="B3" s="16">
        <f>AVERAGE(ReturnData!B3:B13)</f>
        <v>-2.988181818181818E-2</v>
      </c>
      <c r="C3" s="16">
        <f>AVERAGE(ReturnData!C3:C13)</f>
        <v>-1.6872727272727275E-2</v>
      </c>
      <c r="D3" s="16">
        <f>AVERAGE(ReturnData!D3:D13)</f>
        <v>-1.6309090909090908E-2</v>
      </c>
      <c r="E3" s="16">
        <f>AVERAGE(ReturnData!E3:E13)</f>
        <v>-3.6454545454545455E-2</v>
      </c>
      <c r="F3" s="16">
        <f>AVERAGE(ReturnData!F3:F13)</f>
        <v>-5.0100000000000006E-2</v>
      </c>
      <c r="G3" s="16">
        <f>AVERAGE(ReturnData!G3:G13)</f>
        <v>-1.5245454545454546E-2</v>
      </c>
      <c r="H3" s="16">
        <f>AVERAGE(ReturnData!H3:H13)</f>
        <v>-1.0645454545454545E-2</v>
      </c>
      <c r="I3" s="16">
        <f>AVERAGE(ReturnData!I3:I13)</f>
        <v>-3.15E-2</v>
      </c>
      <c r="J3" s="16">
        <f>AVERAGE(ReturnData!J3:J13)</f>
        <v>-1.1345454545454542E-2</v>
      </c>
      <c r="K3" s="16">
        <f>AVERAGE(ReturnData!K3:K13)</f>
        <v>-2.9790909090909087E-2</v>
      </c>
      <c r="L3" s="16">
        <f>AVERAGE(ReturnData!L3:L13)</f>
        <v>-3.3381818181818186E-2</v>
      </c>
      <c r="M3" s="16">
        <f>AVERAGE(ReturnData!M3:M13)</f>
        <v>-3.4809090909090908E-2</v>
      </c>
      <c r="N3" s="16">
        <f>AVERAGE(ReturnData!N3:N13)</f>
        <v>-2.5445454545454545E-2</v>
      </c>
      <c r="O3" s="16">
        <f>AVERAGE(ReturnData!O3:O13)</f>
        <v>-2.1554545454545455E-2</v>
      </c>
      <c r="P3" s="16">
        <f>AVERAGE(ReturnData!P3:P13)</f>
        <v>-4.1709090909090911E-2</v>
      </c>
      <c r="Q3" s="16">
        <f>AVERAGE(ReturnData!Q3:Q13)</f>
        <v>-3.3754545454545447E-2</v>
      </c>
    </row>
    <row r="4" spans="1:19" x14ac:dyDescent="0.25">
      <c r="A4">
        <f>ReturnData!A16</f>
        <v>197503</v>
      </c>
      <c r="B4" s="16">
        <f>AVERAGE(ReturnData!B4:B14)</f>
        <v>-1.1727272727272723E-2</v>
      </c>
      <c r="C4" s="16">
        <f>AVERAGE(ReturnData!C4:C14)</f>
        <v>-8.0727272727272713E-3</v>
      </c>
      <c r="D4" s="16">
        <f>AVERAGE(ReturnData!D4:D14)</f>
        <v>-1.064545454545455E-2</v>
      </c>
      <c r="E4" s="16">
        <f>AVERAGE(ReturnData!E4:E14)</f>
        <v>-1.3827272727272728E-2</v>
      </c>
      <c r="F4" s="16">
        <f>AVERAGE(ReturnData!F4:F14)</f>
        <v>-2.869090909090909E-2</v>
      </c>
      <c r="G4" s="16">
        <f>AVERAGE(ReturnData!G4:G14)</f>
        <v>-7.7181818181818193E-3</v>
      </c>
      <c r="H4" s="16">
        <f>AVERAGE(ReturnData!H4:H14)</f>
        <v>-7.2818181818181775E-3</v>
      </c>
      <c r="I4" s="16">
        <f>AVERAGE(ReturnData!I4:I14)</f>
        <v>-1.1254545454545451E-2</v>
      </c>
      <c r="J4" s="16">
        <f>AVERAGE(ReturnData!J4:J14)</f>
        <v>1.6454545454545485E-3</v>
      </c>
      <c r="K4" s="16">
        <f>AVERAGE(ReturnData!K4:K14)</f>
        <v>-1.5245454545454541E-2</v>
      </c>
      <c r="L4" s="16">
        <f>AVERAGE(ReturnData!L4:L14)</f>
        <v>-2.0654545454545457E-2</v>
      </c>
      <c r="M4" s="16">
        <f>AVERAGE(ReturnData!M4:M14)</f>
        <v>-1.3799999999999996E-2</v>
      </c>
      <c r="N4" s="16">
        <f>AVERAGE(ReturnData!N4:N14)</f>
        <v>-1.5399999999999999E-2</v>
      </c>
      <c r="O4" s="16">
        <f>AVERAGE(ReturnData!O4:O14)</f>
        <v>-4.7272727272727293E-3</v>
      </c>
      <c r="P4" s="16">
        <f>AVERAGE(ReturnData!P4:P14)</f>
        <v>-1.7881818181818179E-2</v>
      </c>
      <c r="Q4" s="16">
        <f>AVERAGE(ReturnData!Q4:Q14)</f>
        <v>-1.8590909090909085E-2</v>
      </c>
    </row>
    <row r="5" spans="1:19" x14ac:dyDescent="0.25">
      <c r="A5">
        <f>ReturnData!A17</f>
        <v>197504</v>
      </c>
      <c r="B5" s="16">
        <f>AVERAGE(ReturnData!B5:B15)</f>
        <v>-4.618181818181819E-3</v>
      </c>
      <c r="C5" s="16">
        <f>AVERAGE(ReturnData!C5:C15)</f>
        <v>1.2909090909090939E-3</v>
      </c>
      <c r="D5" s="16">
        <f>AVERAGE(ReturnData!D5:D15)</f>
        <v>-5.2272727272727245E-3</v>
      </c>
      <c r="E5" s="16">
        <f>AVERAGE(ReturnData!E5:E15)</f>
        <v>-1.292727272727273E-2</v>
      </c>
      <c r="F5" s="16">
        <f>AVERAGE(ReturnData!F5:F15)</f>
        <v>-1.6309090909090915E-2</v>
      </c>
      <c r="G5" s="16">
        <f>AVERAGE(ReturnData!G5:G15)</f>
        <v>-8.5454545454545635E-4</v>
      </c>
      <c r="H5" s="16">
        <f>AVERAGE(ReturnData!H5:H15)</f>
        <v>2.7818181818181856E-3</v>
      </c>
      <c r="I5" s="16">
        <f>AVERAGE(ReturnData!I5:I15)</f>
        <v>-7.6090909090909117E-3</v>
      </c>
      <c r="J5" s="16">
        <f>AVERAGE(ReturnData!J5:J15)</f>
        <v>5.545454545454547E-3</v>
      </c>
      <c r="K5" s="16">
        <f>AVERAGE(ReturnData!K5:K15)</f>
        <v>-6.9909090909090858E-3</v>
      </c>
      <c r="L5" s="16">
        <f>AVERAGE(ReturnData!L5:L15)</f>
        <v>-6.6000000000000078E-3</v>
      </c>
      <c r="M5" s="16">
        <f>AVERAGE(ReturnData!M5:M15)</f>
        <v>-1.3636363636363636E-2</v>
      </c>
      <c r="N5" s="16">
        <f>AVERAGE(ReturnData!N5:N15)</f>
        <v>-5.4545454545454515E-3</v>
      </c>
      <c r="O5" s="16">
        <f>AVERAGE(ReturnData!O5:O15)</f>
        <v>-5.9999999999999767E-4</v>
      </c>
      <c r="P5" s="16">
        <f>AVERAGE(ReturnData!P5:P15)</f>
        <v>-9.9454545454545455E-3</v>
      </c>
      <c r="Q5" s="16">
        <f>AVERAGE(ReturnData!Q5:Q15)</f>
        <v>-1.4599999999999991E-2</v>
      </c>
    </row>
    <row r="6" spans="1:19" x14ac:dyDescent="0.25">
      <c r="A6">
        <f>ReturnData!A18</f>
        <v>197505</v>
      </c>
      <c r="B6" s="16">
        <f>AVERAGE(ReturnData!B6:B16)</f>
        <v>3.5090909090909127E-3</v>
      </c>
      <c r="C6" s="16">
        <f>AVERAGE(ReturnData!C6:C16)</f>
        <v>1.603636363636364E-2</v>
      </c>
      <c r="D6" s="16">
        <f>AVERAGE(ReturnData!D6:D16)</f>
        <v>-1.0090909090909124E-3</v>
      </c>
      <c r="E6" s="16">
        <f>AVERAGE(ReturnData!E6:E16)</f>
        <v>3.6272727272727251E-3</v>
      </c>
      <c r="F6" s="16">
        <f>AVERAGE(ReturnData!F6:F16)</f>
        <v>-6.8636363636363669E-3</v>
      </c>
      <c r="G6" s="16">
        <f>AVERAGE(ReturnData!G6:G16)</f>
        <v>3.6999999999999989E-3</v>
      </c>
      <c r="H6" s="16">
        <f>AVERAGE(ReturnData!H6:H16)</f>
        <v>6.1000000000000021E-3</v>
      </c>
      <c r="I6" s="16">
        <f>AVERAGE(ReturnData!I6:I16)</f>
        <v>4.1090909090909103E-3</v>
      </c>
      <c r="J6" s="16">
        <f>AVERAGE(ReturnData!J6:J16)</f>
        <v>1.5954545454545457E-2</v>
      </c>
      <c r="K6" s="16">
        <f>AVERAGE(ReturnData!K6:K16)</f>
        <v>1.4818181818181846E-3</v>
      </c>
      <c r="L6" s="16">
        <f>AVERAGE(ReturnData!L6:L16)</f>
        <v>-1.6636363636363671E-3</v>
      </c>
      <c r="M6" s="16">
        <f>AVERAGE(ReturnData!M6:M16)</f>
        <v>-4.7181818181818149E-3</v>
      </c>
      <c r="N6" s="16">
        <f>AVERAGE(ReturnData!N6:N16)</f>
        <v>2.6727272727272763E-3</v>
      </c>
      <c r="O6" s="16">
        <f>AVERAGE(ReturnData!O6:O16)</f>
        <v>9.2818181818181827E-3</v>
      </c>
      <c r="P6" s="16">
        <f>AVERAGE(ReturnData!P6:P16)</f>
        <v>1.9727272727272675E-3</v>
      </c>
      <c r="Q6" s="16">
        <f>AVERAGE(ReturnData!Q6:Q16)</f>
        <v>-6.0999999999999969E-3</v>
      </c>
    </row>
    <row r="7" spans="1:19" x14ac:dyDescent="0.25">
      <c r="A7">
        <f>ReturnData!A19</f>
        <v>197506</v>
      </c>
      <c r="B7" s="16">
        <f>AVERAGE(ReturnData!B7:B17)</f>
        <v>8.0000000000000002E-3</v>
      </c>
      <c r="C7" s="16">
        <f>AVERAGE(ReturnData!C7:C17)</f>
        <v>3.2427272727272728E-2</v>
      </c>
      <c r="D7" s="16">
        <f>AVERAGE(ReturnData!D7:D17)</f>
        <v>1.26E-2</v>
      </c>
      <c r="E7" s="16">
        <f>AVERAGE(ReturnData!E7:E17)</f>
        <v>1.6545454545454547E-2</v>
      </c>
      <c r="F7" s="16">
        <f>AVERAGE(ReturnData!F7:F17)</f>
        <v>6.9090909090908546E-4</v>
      </c>
      <c r="G7" s="16">
        <f>AVERAGE(ReturnData!G7:G17)</f>
        <v>1.8590909090909088E-2</v>
      </c>
      <c r="H7" s="16">
        <f>AVERAGE(ReturnData!H7:H17)</f>
        <v>6.4454545454545459E-3</v>
      </c>
      <c r="I7" s="16">
        <f>AVERAGE(ReturnData!I7:I17)</f>
        <v>1.3290909090909093E-2</v>
      </c>
      <c r="J7" s="16">
        <f>AVERAGE(ReturnData!J7:J17)</f>
        <v>3.2663636363636367E-2</v>
      </c>
      <c r="K7" s="16">
        <f>AVERAGE(ReturnData!K7:K17)</f>
        <v>1.317272727272727E-2</v>
      </c>
      <c r="L7" s="16">
        <f>AVERAGE(ReturnData!L7:L17)</f>
        <v>7.7363636363636332E-3</v>
      </c>
      <c r="M7" s="16">
        <f>AVERAGE(ReturnData!M7:M17)</f>
        <v>-4.1545454545454498E-3</v>
      </c>
      <c r="N7" s="16">
        <f>AVERAGE(ReturnData!N7:N17)</f>
        <v>1.2927272727272726E-2</v>
      </c>
      <c r="O7" s="16">
        <f>AVERAGE(ReturnData!O7:O17)</f>
        <v>1.2272727272727275E-2</v>
      </c>
      <c r="P7" s="16">
        <f>AVERAGE(ReturnData!P7:P17)</f>
        <v>2.5181818181818204E-3</v>
      </c>
      <c r="Q7" s="16">
        <f>AVERAGE(ReturnData!Q7:Q17)</f>
        <v>4.2909090909090926E-3</v>
      </c>
    </row>
    <row r="8" spans="1:19" x14ac:dyDescent="0.25">
      <c r="A8">
        <f>ReturnData!A20</f>
        <v>197507</v>
      </c>
      <c r="B8" s="16">
        <f>AVERAGE(ReturnData!B8:B18)</f>
        <v>1.4309090909090912E-2</v>
      </c>
      <c r="C8" s="16">
        <f>AVERAGE(ReturnData!C8:C18)</f>
        <v>3.8854545454545454E-2</v>
      </c>
      <c r="D8" s="16">
        <f>AVERAGE(ReturnData!D8:D18)</f>
        <v>2.3936363636363634E-2</v>
      </c>
      <c r="E8" s="16">
        <f>AVERAGE(ReturnData!E8:E18)</f>
        <v>2.1618181818181818E-2</v>
      </c>
      <c r="F8" s="16">
        <f>AVERAGE(ReturnData!F8:F18)</f>
        <v>3.0181818181818127E-3</v>
      </c>
      <c r="G8" s="16">
        <f>AVERAGE(ReturnData!G8:G18)</f>
        <v>1.8372727272727266E-2</v>
      </c>
      <c r="H8" s="16">
        <f>AVERAGE(ReturnData!H8:H18)</f>
        <v>1.2509090909090909E-2</v>
      </c>
      <c r="I8" s="16">
        <f>AVERAGE(ReturnData!I8:I18)</f>
        <v>2.2418181818181823E-2</v>
      </c>
      <c r="J8" s="16">
        <f>AVERAGE(ReturnData!J8:J18)</f>
        <v>2.529090909090909E-2</v>
      </c>
      <c r="K8" s="16">
        <f>AVERAGE(ReturnData!K8:K18)</f>
        <v>1.7981818181818179E-2</v>
      </c>
      <c r="L8" s="16">
        <f>AVERAGE(ReturnData!L8:L18)</f>
        <v>1.4781818181818181E-2</v>
      </c>
      <c r="M8" s="16">
        <f>AVERAGE(ReturnData!M8:M18)</f>
        <v>3.436363636363635E-3</v>
      </c>
      <c r="N8" s="16">
        <f>AVERAGE(ReturnData!N8:N18)</f>
        <v>1.6890909090909092E-2</v>
      </c>
      <c r="O8" s="16">
        <f>AVERAGE(ReturnData!O8:O18)</f>
        <v>2.5636363636363638E-2</v>
      </c>
      <c r="P8" s="16">
        <f>AVERAGE(ReturnData!P8:P18)</f>
        <v>8.5636363636363635E-3</v>
      </c>
      <c r="Q8" s="16">
        <f>AVERAGE(ReturnData!Q8:Q18)</f>
        <v>1.6309090909090908E-2</v>
      </c>
    </row>
    <row r="9" spans="1:19" x14ac:dyDescent="0.25">
      <c r="A9">
        <f>ReturnData!A21</f>
        <v>197508</v>
      </c>
      <c r="B9" s="16">
        <f>AVERAGE(ReturnData!B9:B19)</f>
        <v>2.9818181818181824E-2</v>
      </c>
      <c r="C9" s="16">
        <f>AVERAGE(ReturnData!C9:C19)</f>
        <v>3.8281818181818188E-2</v>
      </c>
      <c r="D9" s="16">
        <f>AVERAGE(ReturnData!D9:D19)</f>
        <v>3.0799999999999998E-2</v>
      </c>
      <c r="E9" s="16">
        <f>AVERAGE(ReturnData!E9:E19)</f>
        <v>3.2436363636363638E-2</v>
      </c>
      <c r="F9" s="16">
        <f>AVERAGE(ReturnData!F9:F19)</f>
        <v>1.9018181818181816E-2</v>
      </c>
      <c r="G9" s="16">
        <f>AVERAGE(ReturnData!G9:G19)</f>
        <v>2.6272727272727271E-2</v>
      </c>
      <c r="H9" s="16">
        <f>AVERAGE(ReturnData!H9:H19)</f>
        <v>2.5481818181818182E-2</v>
      </c>
      <c r="I9" s="16">
        <f>AVERAGE(ReturnData!I9:I19)</f>
        <v>3.2445454545454548E-2</v>
      </c>
      <c r="J9" s="16">
        <f>AVERAGE(ReturnData!J9:J19)</f>
        <v>2.7463636363636367E-2</v>
      </c>
      <c r="K9" s="16">
        <f>AVERAGE(ReturnData!K9:K19)</f>
        <v>3.2036363636363641E-2</v>
      </c>
      <c r="L9" s="16">
        <f>AVERAGE(ReturnData!L9:L19)</f>
        <v>2.4290909090909089E-2</v>
      </c>
      <c r="M9" s="16">
        <f>AVERAGE(ReturnData!M9:M19)</f>
        <v>2.2672727272727271E-2</v>
      </c>
      <c r="N9" s="16">
        <f>AVERAGE(ReturnData!N9:N19)</f>
        <v>2.8063636363636367E-2</v>
      </c>
      <c r="O9" s="16">
        <f>AVERAGE(ReturnData!O9:O19)</f>
        <v>3.4672727272727272E-2</v>
      </c>
      <c r="P9" s="16">
        <f>AVERAGE(ReturnData!P9:P19)</f>
        <v>2.7872727272727271E-2</v>
      </c>
      <c r="Q9" s="16">
        <f>AVERAGE(ReturnData!Q9:Q19)</f>
        <v>2.8654545454545457E-2</v>
      </c>
    </row>
    <row r="10" spans="1:19" x14ac:dyDescent="0.25">
      <c r="A10">
        <f>ReturnData!A22</f>
        <v>197509</v>
      </c>
      <c r="B10" s="16">
        <f>AVERAGE(ReturnData!B10:B20)</f>
        <v>3.6045454545454547E-2</v>
      </c>
      <c r="C10" s="16">
        <f>AVERAGE(ReturnData!C10:C20)</f>
        <v>4.3090909090909096E-2</v>
      </c>
      <c r="D10" s="16">
        <f>AVERAGE(ReturnData!D10:D20)</f>
        <v>3.4563636363636359E-2</v>
      </c>
      <c r="E10" s="16">
        <f>AVERAGE(ReturnData!E10:E20)</f>
        <v>3.4836363636363638E-2</v>
      </c>
      <c r="F10" s="16">
        <f>AVERAGE(ReturnData!F10:F20)</f>
        <v>2.1509090909090912E-2</v>
      </c>
      <c r="G10" s="16">
        <f>AVERAGE(ReturnData!G10:G20)</f>
        <v>3.2281818181818182E-2</v>
      </c>
      <c r="H10" s="16">
        <f>AVERAGE(ReturnData!H10:H20)</f>
        <v>2.3136363636363635E-2</v>
      </c>
      <c r="I10" s="16">
        <f>AVERAGE(ReturnData!I10:I20)</f>
        <v>3.5827272727272728E-2</v>
      </c>
      <c r="J10" s="16">
        <f>AVERAGE(ReturnData!J10:J20)</f>
        <v>2.8727272727272726E-2</v>
      </c>
      <c r="K10" s="16">
        <f>AVERAGE(ReturnData!K10:K20)</f>
        <v>3.6154545454545453E-2</v>
      </c>
      <c r="L10" s="16">
        <f>AVERAGE(ReturnData!L10:L20)</f>
        <v>2.2972727272727277E-2</v>
      </c>
      <c r="M10" s="16">
        <f>AVERAGE(ReturnData!M10:M20)</f>
        <v>2.8727272727272733E-2</v>
      </c>
      <c r="N10" s="16">
        <f>AVERAGE(ReturnData!N10:N20)</f>
        <v>3.2799999999999996E-2</v>
      </c>
      <c r="O10" s="16">
        <f>AVERAGE(ReturnData!O10:O20)</f>
        <v>3.8163636363636365E-2</v>
      </c>
      <c r="P10" s="16">
        <f>AVERAGE(ReturnData!P10:P20)</f>
        <v>3.2745454545454536E-2</v>
      </c>
      <c r="Q10" s="16">
        <f>AVERAGE(ReturnData!Q10:Q20)</f>
        <v>3.2690909090909097E-2</v>
      </c>
    </row>
    <row r="11" spans="1:19" x14ac:dyDescent="0.25">
      <c r="A11">
        <f>ReturnData!A23</f>
        <v>197510</v>
      </c>
      <c r="B11" s="16">
        <f>AVERAGE(ReturnData!B11:B21)</f>
        <v>4.6118181818181808E-2</v>
      </c>
      <c r="C11" s="16">
        <f>AVERAGE(ReturnData!C11:C21)</f>
        <v>4.7700000000000006E-2</v>
      </c>
      <c r="D11" s="16">
        <f>AVERAGE(ReturnData!D11:D21)</f>
        <v>4.1309090909090913E-2</v>
      </c>
      <c r="E11" s="16">
        <f>AVERAGE(ReturnData!E11:E21)</f>
        <v>3.9781818181818189E-2</v>
      </c>
      <c r="F11" s="16">
        <f>AVERAGE(ReturnData!F11:F21)</f>
        <v>3.4881818181818194E-2</v>
      </c>
      <c r="G11" s="16">
        <f>AVERAGE(ReturnData!G11:G21)</f>
        <v>4.3372727272727264E-2</v>
      </c>
      <c r="H11" s="16">
        <f>AVERAGE(ReturnData!H11:H21)</f>
        <v>3.3018181818181815E-2</v>
      </c>
      <c r="I11" s="16">
        <f>AVERAGE(ReturnData!I11:I21)</f>
        <v>4.4263636363636352E-2</v>
      </c>
      <c r="J11" s="16">
        <f>AVERAGE(ReturnData!J11:J21)</f>
        <v>3.952727272727273E-2</v>
      </c>
      <c r="K11" s="16">
        <f>AVERAGE(ReturnData!K11:K21)</f>
        <v>4.2845454545454548E-2</v>
      </c>
      <c r="L11" s="16">
        <f>AVERAGE(ReturnData!L11:L21)</f>
        <v>3.5172727272727272E-2</v>
      </c>
      <c r="M11" s="16">
        <f>AVERAGE(ReturnData!M11:M21)</f>
        <v>3.4972727272727273E-2</v>
      </c>
      <c r="N11" s="16">
        <f>AVERAGE(ReturnData!N11:N21)</f>
        <v>3.8254545454545458E-2</v>
      </c>
      <c r="O11" s="16">
        <f>AVERAGE(ReturnData!O11:O21)</f>
        <v>3.8227272727272728E-2</v>
      </c>
      <c r="P11" s="16">
        <f>AVERAGE(ReturnData!P11:P21)</f>
        <v>4.4299999999999999E-2</v>
      </c>
      <c r="Q11" s="16">
        <f>AVERAGE(ReturnData!Q11:Q21)</f>
        <v>3.3581818181818185E-2</v>
      </c>
    </row>
    <row r="12" spans="1:19" x14ac:dyDescent="0.25">
      <c r="A12">
        <f>ReturnData!A24</f>
        <v>197511</v>
      </c>
      <c r="B12" s="16">
        <f>AVERAGE(ReturnData!B12:B22)</f>
        <v>2.6063636363636369E-2</v>
      </c>
      <c r="C12" s="16">
        <f>AVERAGE(ReturnData!C12:C22)</f>
        <v>2.5018181818181825E-2</v>
      </c>
      <c r="D12" s="16">
        <f>AVERAGE(ReturnData!D12:D22)</f>
        <v>2.0790909090909086E-2</v>
      </c>
      <c r="E12" s="16">
        <f>AVERAGE(ReturnData!E12:E22)</f>
        <v>3.6072727272727277E-2</v>
      </c>
      <c r="F12" s="16">
        <f>AVERAGE(ReturnData!F12:F22)</f>
        <v>1.9072727272727279E-2</v>
      </c>
      <c r="G12" s="16">
        <f>AVERAGE(ReturnData!G12:G22)</f>
        <v>1.9345454545454541E-2</v>
      </c>
      <c r="H12" s="16">
        <f>AVERAGE(ReturnData!H12:H22)</f>
        <v>2.3272727272727282E-3</v>
      </c>
      <c r="I12" s="16">
        <f>AVERAGE(ReturnData!I12:I22)</f>
        <v>2.5063636363636357E-2</v>
      </c>
      <c r="J12" s="16">
        <f>AVERAGE(ReturnData!J12:J22)</f>
        <v>2.5836363636363643E-2</v>
      </c>
      <c r="K12" s="16">
        <f>AVERAGE(ReturnData!K12:K22)</f>
        <v>2.5163636363636367E-2</v>
      </c>
      <c r="L12" s="16">
        <f>AVERAGE(ReturnData!L12:L22)</f>
        <v>1.720909090909091E-2</v>
      </c>
      <c r="M12" s="16">
        <f>AVERAGE(ReturnData!M12:M22)</f>
        <v>3.6709090909090906E-2</v>
      </c>
      <c r="N12" s="16">
        <f>AVERAGE(ReturnData!N12:N22)</f>
        <v>2.0436363636363631E-2</v>
      </c>
      <c r="O12" s="16">
        <f>AVERAGE(ReturnData!O12:O22)</f>
        <v>2.5499999999999998E-2</v>
      </c>
      <c r="P12" s="16">
        <f>AVERAGE(ReturnData!P12:P22)</f>
        <v>3.3054545454545448E-2</v>
      </c>
      <c r="Q12" s="16">
        <f>AVERAGE(ReturnData!Q12:Q22)</f>
        <v>7.6363636363636382E-3</v>
      </c>
    </row>
    <row r="13" spans="1:19" x14ac:dyDescent="0.25">
      <c r="A13">
        <f>ReturnData!A25</f>
        <v>197512</v>
      </c>
      <c r="B13" s="16">
        <f>AVERAGE(ReturnData!B13:B23)</f>
        <v>3.9945454545454555E-2</v>
      </c>
      <c r="C13" s="16">
        <f>AVERAGE(ReturnData!C13:C23)</f>
        <v>2.1990909090909099E-2</v>
      </c>
      <c r="D13" s="16">
        <f>AVERAGE(ReturnData!D13:D23)</f>
        <v>2.3227272727272728E-2</v>
      </c>
      <c r="E13" s="16">
        <f>AVERAGE(ReturnData!E13:E23)</f>
        <v>5.7372727272727263E-2</v>
      </c>
      <c r="F13" s="16">
        <f>AVERAGE(ReturnData!F13:F23)</f>
        <v>3.3654545454545465E-2</v>
      </c>
      <c r="G13" s="16">
        <f>AVERAGE(ReturnData!G13:G23)</f>
        <v>3.4718181818181822E-2</v>
      </c>
      <c r="H13" s="16">
        <f>AVERAGE(ReturnData!H13:H23)</f>
        <v>1.1345454545454547E-2</v>
      </c>
      <c r="I13" s="16">
        <f>AVERAGE(ReturnData!I13:I23)</f>
        <v>3.387272727272727E-2</v>
      </c>
      <c r="J13" s="16">
        <f>AVERAGE(ReturnData!J13:J23)</f>
        <v>2.4545454545454551E-2</v>
      </c>
      <c r="K13" s="16">
        <f>AVERAGE(ReturnData!K13:K23)</f>
        <v>2.6345454545454547E-2</v>
      </c>
      <c r="L13" s="16">
        <f>AVERAGE(ReturnData!L13:L23)</f>
        <v>2.7718181818181822E-2</v>
      </c>
      <c r="M13" s="16">
        <f>AVERAGE(ReturnData!M13:M23)</f>
        <v>5.106363636363636E-2</v>
      </c>
      <c r="N13" s="16">
        <f>AVERAGE(ReturnData!N13:N23)</f>
        <v>2.8554545454545447E-2</v>
      </c>
      <c r="O13" s="16">
        <f>AVERAGE(ReturnData!O13:O23)</f>
        <v>3.1600000000000003E-2</v>
      </c>
      <c r="P13" s="16">
        <f>AVERAGE(ReturnData!P13:P23)</f>
        <v>4.8281818181818183E-2</v>
      </c>
      <c r="Q13" s="16">
        <f>AVERAGE(ReturnData!Q13:Q23)</f>
        <v>1.413636363636364E-2</v>
      </c>
    </row>
    <row r="14" spans="1:19" x14ac:dyDescent="0.25">
      <c r="A14">
        <f>ReturnData!A26</f>
        <v>197601</v>
      </c>
      <c r="B14" s="16">
        <f>AVERAGE(ReturnData!B14:B24)</f>
        <v>4.3218181818181822E-2</v>
      </c>
      <c r="C14" s="16">
        <f>AVERAGE(ReturnData!C14:C24)</f>
        <v>2.6081818181818192E-2</v>
      </c>
      <c r="D14" s="16">
        <f>AVERAGE(ReturnData!D14:D24)</f>
        <v>2.0336363636363639E-2</v>
      </c>
      <c r="E14" s="16">
        <f>AVERAGE(ReturnData!E14:E24)</f>
        <v>6.5909090909090903E-2</v>
      </c>
      <c r="F14" s="16">
        <f>AVERAGE(ReturnData!F14:F24)</f>
        <v>4.3445454545454558E-2</v>
      </c>
      <c r="G14" s="16">
        <f>AVERAGE(ReturnData!G14:G24)</f>
        <v>3.9999999999999994E-2</v>
      </c>
      <c r="H14" s="16">
        <f>AVERAGE(ReturnData!H14:H24)</f>
        <v>1.8081818181818185E-2</v>
      </c>
      <c r="I14" s="16">
        <f>AVERAGE(ReturnData!I14:I24)</f>
        <v>4.173636363636362E-2</v>
      </c>
      <c r="J14" s="16">
        <f>AVERAGE(ReturnData!J14:J24)</f>
        <v>2.9509090909090915E-2</v>
      </c>
      <c r="K14" s="16">
        <f>AVERAGE(ReturnData!K14:K24)</f>
        <v>2.7063636363636359E-2</v>
      </c>
      <c r="L14" s="16">
        <f>AVERAGE(ReturnData!L14:L24)</f>
        <v>3.5690909090909086E-2</v>
      </c>
      <c r="M14" s="16">
        <f>AVERAGE(ReturnData!M14:M24)</f>
        <v>5.4145454545454545E-2</v>
      </c>
      <c r="N14" s="16">
        <f>AVERAGE(ReturnData!N14:N24)</f>
        <v>3.7072727272727271E-2</v>
      </c>
      <c r="O14" s="16">
        <f>AVERAGE(ReturnData!O14:O24)</f>
        <v>3.5200000000000002E-2</v>
      </c>
      <c r="P14" s="16">
        <f>AVERAGE(ReturnData!P14:P24)</f>
        <v>5.6045454545454551E-2</v>
      </c>
      <c r="Q14" s="16">
        <f>AVERAGE(ReturnData!Q14:Q24)</f>
        <v>2.0954545454545458E-2</v>
      </c>
    </row>
    <row r="15" spans="1:19" x14ac:dyDescent="0.25">
      <c r="A15">
        <f>ReturnData!A27</f>
        <v>197602</v>
      </c>
      <c r="B15" s="16">
        <f>AVERAGE(ReturnData!B15:B25)</f>
        <v>2.3154545454545459E-2</v>
      </c>
      <c r="C15" s="16">
        <f>AVERAGE(ReturnData!C15:C25)</f>
        <v>1.7481818181818185E-2</v>
      </c>
      <c r="D15" s="16">
        <f>AVERAGE(ReturnData!D15:D25)</f>
        <v>1.6154545454545449E-2</v>
      </c>
      <c r="E15" s="16">
        <f>AVERAGE(ReturnData!E15:E25)</f>
        <v>4.1154545454545458E-2</v>
      </c>
      <c r="F15" s="16">
        <f>AVERAGE(ReturnData!F15:F25)</f>
        <v>2.302727272727273E-2</v>
      </c>
      <c r="G15" s="16">
        <f>AVERAGE(ReturnData!G15:G25)</f>
        <v>3.0736363636363628E-2</v>
      </c>
      <c r="H15" s="16">
        <f>AVERAGE(ReturnData!H15:H25)</f>
        <v>1.0800000000000004E-2</v>
      </c>
      <c r="I15" s="16">
        <f>AVERAGE(ReturnData!I15:I25)</f>
        <v>1.8663636363636361E-2</v>
      </c>
      <c r="J15" s="16">
        <f>AVERAGE(ReturnData!J15:J25)</f>
        <v>1.5327272727272729E-2</v>
      </c>
      <c r="K15" s="16">
        <f>AVERAGE(ReturnData!K15:K25)</f>
        <v>9.5181818181818215E-3</v>
      </c>
      <c r="L15" s="16">
        <f>AVERAGE(ReturnData!L15:L25)</f>
        <v>2.2454545454545453E-2</v>
      </c>
      <c r="M15" s="16">
        <f>AVERAGE(ReturnData!M15:M25)</f>
        <v>3.5000000000000003E-2</v>
      </c>
      <c r="N15" s="16">
        <f>AVERAGE(ReturnData!N15:N25)</f>
        <v>2.0981818181818181E-2</v>
      </c>
      <c r="O15" s="16">
        <f>AVERAGE(ReturnData!O15:O25)</f>
        <v>1.9327272727272728E-2</v>
      </c>
      <c r="P15" s="16">
        <f>AVERAGE(ReturnData!P15:P25)</f>
        <v>2.8472727272727281E-2</v>
      </c>
      <c r="Q15" s="16">
        <f>AVERAGE(ReturnData!Q15:Q25)</f>
        <v>4.8363636363636369E-3</v>
      </c>
    </row>
    <row r="16" spans="1:19" x14ac:dyDescent="0.25">
      <c r="A16">
        <f>ReturnData!A28</f>
        <v>197603</v>
      </c>
      <c r="B16" s="16">
        <f>AVERAGE(ReturnData!B16:B26)</f>
        <v>2.63E-2</v>
      </c>
      <c r="C16" s="16">
        <f>AVERAGE(ReturnData!C16:C26)</f>
        <v>2.5654545454545465E-2</v>
      </c>
      <c r="D16" s="16">
        <f>AVERAGE(ReturnData!D16:D26)</f>
        <v>2.0972727272727271E-2</v>
      </c>
      <c r="E16" s="16">
        <f>AVERAGE(ReturnData!E16:E26)</f>
        <v>5.9154545454545453E-2</v>
      </c>
      <c r="F16" s="16">
        <f>AVERAGE(ReturnData!F16:F26)</f>
        <v>2.4627272727272723E-2</v>
      </c>
      <c r="G16" s="16">
        <f>AVERAGE(ReturnData!G16:G26)</f>
        <v>4.0590909090909087E-2</v>
      </c>
      <c r="H16" s="16">
        <f>AVERAGE(ReturnData!H16:H26)</f>
        <v>7.1000000000000013E-3</v>
      </c>
      <c r="I16" s="16">
        <f>AVERAGE(ReturnData!I16:I26)</f>
        <v>3.1854545454545455E-2</v>
      </c>
      <c r="J16" s="16">
        <f>AVERAGE(ReturnData!J16:J26)</f>
        <v>3.3136363636363637E-2</v>
      </c>
      <c r="K16" s="16">
        <f>AVERAGE(ReturnData!K16:K26)</f>
        <v>2.1027272727272731E-2</v>
      </c>
      <c r="L16" s="16">
        <f>AVERAGE(ReturnData!L16:L26)</f>
        <v>2.7309090909090908E-2</v>
      </c>
      <c r="M16" s="16">
        <f>AVERAGE(ReturnData!M16:M26)</f>
        <v>4.649090909090909E-2</v>
      </c>
      <c r="N16" s="16">
        <f>AVERAGE(ReturnData!N16:N26)</f>
        <v>2.9781818181818177E-2</v>
      </c>
      <c r="O16" s="16">
        <f>AVERAGE(ReturnData!O16:O26)</f>
        <v>2.6054545454545455E-2</v>
      </c>
      <c r="P16" s="16">
        <f>AVERAGE(ReturnData!P16:P26)</f>
        <v>3.1054545454545449E-2</v>
      </c>
      <c r="Q16" s="16">
        <f>AVERAGE(ReturnData!Q16:Q26)</f>
        <v>1.5700000000000002E-2</v>
      </c>
    </row>
    <row r="17" spans="1:17" x14ac:dyDescent="0.25">
      <c r="A17">
        <f>ReturnData!A29</f>
        <v>197604</v>
      </c>
      <c r="B17" s="16">
        <f>AVERAGE(ReturnData!B17:B27)</f>
        <v>1.8490909090909093E-2</v>
      </c>
      <c r="C17" s="16">
        <f>AVERAGE(ReturnData!C17:C27)</f>
        <v>1.9372727272727271E-2</v>
      </c>
      <c r="D17" s="16">
        <f>AVERAGE(ReturnData!D17:D27)</f>
        <v>0.02</v>
      </c>
      <c r="E17" s="16">
        <f>AVERAGE(ReturnData!E17:E27)</f>
        <v>4.9372727272727263E-2</v>
      </c>
      <c r="F17" s="16">
        <f>AVERAGE(ReturnData!F17:F27)</f>
        <v>1.9854545454545455E-2</v>
      </c>
      <c r="G17" s="16">
        <f>AVERAGE(ReturnData!G17:G27)</f>
        <v>3.7418181818181816E-2</v>
      </c>
      <c r="H17" s="16">
        <f>AVERAGE(ReturnData!H17:H27)</f>
        <v>-2.090909090909075E-4</v>
      </c>
      <c r="I17" s="16">
        <f>AVERAGE(ReturnData!I17:I27)</f>
        <v>2.9663636363636361E-2</v>
      </c>
      <c r="J17" s="16">
        <f>AVERAGE(ReturnData!J17:J27)</f>
        <v>2.7290909090909091E-2</v>
      </c>
      <c r="K17" s="16">
        <f>AVERAGE(ReturnData!K17:K27)</f>
        <v>2.1354545454545456E-2</v>
      </c>
      <c r="L17" s="16">
        <f>AVERAGE(ReturnData!L17:L27)</f>
        <v>2.7272727272727271E-2</v>
      </c>
      <c r="M17" s="16">
        <f>AVERAGE(ReturnData!M17:M27)</f>
        <v>4.5136363636363641E-2</v>
      </c>
      <c r="N17" s="16">
        <f>AVERAGE(ReturnData!N17:N27)</f>
        <v>3.0290909090909091E-2</v>
      </c>
      <c r="O17" s="16">
        <f>AVERAGE(ReturnData!O17:O27)</f>
        <v>2.4054545454545453E-2</v>
      </c>
      <c r="P17" s="16">
        <f>AVERAGE(ReturnData!P17:P27)</f>
        <v>2.4727272727272723E-2</v>
      </c>
      <c r="Q17" s="16">
        <f>AVERAGE(ReturnData!Q17:Q27)</f>
        <v>1.5145454545454545E-2</v>
      </c>
    </row>
    <row r="18" spans="1:17" x14ac:dyDescent="0.25">
      <c r="A18">
        <f>ReturnData!A30</f>
        <v>197605</v>
      </c>
      <c r="B18" s="16">
        <f>AVERAGE(ReturnData!B18:B28)</f>
        <v>1.8172727272727274E-2</v>
      </c>
      <c r="C18" s="16">
        <f>AVERAGE(ReturnData!C18:C28)</f>
        <v>1.41E-2</v>
      </c>
      <c r="D18" s="16">
        <f>AVERAGE(ReturnData!D18:D28)</f>
        <v>2.0127272727272719E-2</v>
      </c>
      <c r="E18" s="16">
        <f>AVERAGE(ReturnData!E18:E28)</f>
        <v>4.5545454545454549E-2</v>
      </c>
      <c r="F18" s="16">
        <f>AVERAGE(ReturnData!F18:F28)</f>
        <v>1.3827272727272728E-2</v>
      </c>
      <c r="G18" s="16">
        <f>AVERAGE(ReturnData!G18:G28)</f>
        <v>1.9354545454545451E-2</v>
      </c>
      <c r="H18" s="16">
        <f>AVERAGE(ReturnData!H18:H28)</f>
        <v>3.8000000000000022E-3</v>
      </c>
      <c r="I18" s="16">
        <f>AVERAGE(ReturnData!I18:I28)</f>
        <v>2.917272727272727E-2</v>
      </c>
      <c r="J18" s="16">
        <f>AVERAGE(ReturnData!J18:J28)</f>
        <v>1.8609090909090908E-2</v>
      </c>
      <c r="K18" s="16">
        <f>AVERAGE(ReturnData!K18:K28)</f>
        <v>2.0400000000000001E-2</v>
      </c>
      <c r="L18" s="16">
        <f>AVERAGE(ReturnData!L18:L28)</f>
        <v>2.404545454545454E-2</v>
      </c>
      <c r="M18" s="16">
        <f>AVERAGE(ReturnData!M18:M28)</f>
        <v>4.6981818181818173E-2</v>
      </c>
      <c r="N18" s="16">
        <f>AVERAGE(ReturnData!N18:N28)</f>
        <v>2.5545454545454541E-2</v>
      </c>
      <c r="O18" s="16">
        <f>AVERAGE(ReturnData!O18:O28)</f>
        <v>2.6827272727272731E-2</v>
      </c>
      <c r="P18" s="16">
        <f>AVERAGE(ReturnData!P18:P28)</f>
        <v>2.6027272727272729E-2</v>
      </c>
      <c r="Q18" s="16">
        <f>AVERAGE(ReturnData!Q18:Q28)</f>
        <v>1.6854545454545452E-2</v>
      </c>
    </row>
    <row r="19" spans="1:17" x14ac:dyDescent="0.25">
      <c r="A19">
        <f>ReturnData!A31</f>
        <v>197606</v>
      </c>
      <c r="B19" s="16">
        <f>AVERAGE(ReturnData!B19:B29)</f>
        <v>1.1109090909090909E-2</v>
      </c>
      <c r="C19" s="16">
        <f>AVERAGE(ReturnData!C19:C29)</f>
        <v>9.5181818181818197E-3</v>
      </c>
      <c r="D19" s="16">
        <f>AVERAGE(ReturnData!D19:D29)</f>
        <v>1.0354545454545453E-2</v>
      </c>
      <c r="E19" s="16">
        <f>AVERAGE(ReturnData!E19:E29)</f>
        <v>4.0063636363636357E-2</v>
      </c>
      <c r="F19" s="16">
        <f>AVERAGE(ReturnData!F19:F29)</f>
        <v>8.6818181818181846E-3</v>
      </c>
      <c r="G19" s="16">
        <f>AVERAGE(ReturnData!G19:G29)</f>
        <v>1.9209090909090905E-2</v>
      </c>
      <c r="H19" s="16">
        <f>AVERAGE(ReturnData!H19:H29)</f>
        <v>-5.063636363636363E-3</v>
      </c>
      <c r="I19" s="16">
        <f>AVERAGE(ReturnData!I19:I29)</f>
        <v>2.4299999999999999E-2</v>
      </c>
      <c r="J19" s="16">
        <f>AVERAGE(ReturnData!J19:J29)</f>
        <v>2.4490909090909094E-2</v>
      </c>
      <c r="K19" s="16">
        <f>AVERAGE(ReturnData!K19:K29)</f>
        <v>1.6481818181818184E-2</v>
      </c>
      <c r="L19" s="16">
        <f>AVERAGE(ReturnData!L19:L29)</f>
        <v>1.7309090909090909E-2</v>
      </c>
      <c r="M19" s="16">
        <f>AVERAGE(ReturnData!M19:M29)</f>
        <v>4.412727272727273E-2</v>
      </c>
      <c r="N19" s="16">
        <f>AVERAGE(ReturnData!N19:N29)</f>
        <v>2.3772727272727275E-2</v>
      </c>
      <c r="O19" s="16">
        <f>AVERAGE(ReturnData!O19:O29)</f>
        <v>1.9654545454545456E-2</v>
      </c>
      <c r="P19" s="16">
        <f>AVERAGE(ReturnData!P19:P29)</f>
        <v>1.7645454545454544E-2</v>
      </c>
      <c r="Q19" s="16">
        <f>AVERAGE(ReturnData!Q19:Q29)</f>
        <v>8.6454545454545464E-3</v>
      </c>
    </row>
    <row r="20" spans="1:17" x14ac:dyDescent="0.25">
      <c r="A20">
        <f>ReturnData!A32</f>
        <v>197607</v>
      </c>
      <c r="B20" s="16">
        <f>AVERAGE(ReturnData!B20:B30)</f>
        <v>5.8090909090909113E-3</v>
      </c>
      <c r="C20" s="16">
        <f>AVERAGE(ReturnData!C20:C30)</f>
        <v>7.9363636363636355E-3</v>
      </c>
      <c r="D20" s="16">
        <f>AVERAGE(ReturnData!D20:D30)</f>
        <v>9.9090909090909091E-3</v>
      </c>
      <c r="E20" s="16">
        <f>AVERAGE(ReturnData!E20:E30)</f>
        <v>2.574545454545454E-2</v>
      </c>
      <c r="F20" s="16">
        <f>AVERAGE(ReturnData!F20:F30)</f>
        <v>2.327272727272729E-3</v>
      </c>
      <c r="G20" s="16">
        <f>AVERAGE(ReturnData!G20:G30)</f>
        <v>1.2827272727272722E-2</v>
      </c>
      <c r="H20" s="16">
        <f>AVERAGE(ReturnData!H20:H30)</f>
        <v>-8.4909090909090889E-3</v>
      </c>
      <c r="I20" s="16">
        <f>AVERAGE(ReturnData!I20:I30)</f>
        <v>1.5627272727272726E-2</v>
      </c>
      <c r="J20" s="16">
        <f>AVERAGE(ReturnData!J20:J30)</f>
        <v>1.9072727272727272E-2</v>
      </c>
      <c r="K20" s="16">
        <f>AVERAGE(ReturnData!K20:K30)</f>
        <v>9.9000000000000008E-3</v>
      </c>
      <c r="L20" s="16">
        <f>AVERAGE(ReturnData!L20:L30)</f>
        <v>1.5599999999999998E-2</v>
      </c>
      <c r="M20" s="16">
        <f>AVERAGE(ReturnData!M20:M30)</f>
        <v>3.3372727272727276E-2</v>
      </c>
      <c r="N20" s="16">
        <f>AVERAGE(ReturnData!N20:N30)</f>
        <v>2.0199999999999999E-2</v>
      </c>
      <c r="O20" s="16">
        <f>AVERAGE(ReturnData!O20:O30)</f>
        <v>8.5909090909090918E-3</v>
      </c>
      <c r="P20" s="16">
        <f>AVERAGE(ReturnData!P20:P30)</f>
        <v>4.7999999999999987E-3</v>
      </c>
      <c r="Q20" s="16">
        <f>AVERAGE(ReturnData!Q20:Q30)</f>
        <v>9.2727272727272981E-4</v>
      </c>
    </row>
    <row r="21" spans="1:17" x14ac:dyDescent="0.25">
      <c r="A21">
        <f>ReturnData!A33</f>
        <v>197608</v>
      </c>
      <c r="B21" s="16">
        <f>AVERAGE(ReturnData!B21:B31)</f>
        <v>1.5618181818181824E-2</v>
      </c>
      <c r="C21" s="16">
        <f>AVERAGE(ReturnData!C21:C31)</f>
        <v>1.5654545454545452E-2</v>
      </c>
      <c r="D21" s="16">
        <f>AVERAGE(ReturnData!D21:D31)</f>
        <v>1.838181818181818E-2</v>
      </c>
      <c r="E21" s="16">
        <f>AVERAGE(ReturnData!E21:E31)</f>
        <v>2.9818181818181813E-2</v>
      </c>
      <c r="F21" s="16">
        <f>AVERAGE(ReturnData!F21:F31)</f>
        <v>1.4190909090909093E-2</v>
      </c>
      <c r="G21" s="16">
        <f>AVERAGE(ReturnData!G21:G31)</f>
        <v>1.6454545454545451E-2</v>
      </c>
      <c r="H21" s="16">
        <f>AVERAGE(ReturnData!H21:H31)</f>
        <v>5.4727272727272741E-3</v>
      </c>
      <c r="I21" s="16">
        <f>AVERAGE(ReturnData!I21:I31)</f>
        <v>2.4318181818181819E-2</v>
      </c>
      <c r="J21" s="16">
        <f>AVERAGE(ReturnData!J21:J31)</f>
        <v>2.9354545454545453E-2</v>
      </c>
      <c r="K21" s="16">
        <f>AVERAGE(ReturnData!K21:K31)</f>
        <v>2.1263636363636363E-2</v>
      </c>
      <c r="L21" s="16">
        <f>AVERAGE(ReturnData!L21:L31)</f>
        <v>3.0054545454545448E-2</v>
      </c>
      <c r="M21" s="16">
        <f>AVERAGE(ReturnData!M21:M31)</f>
        <v>3.2972727272727272E-2</v>
      </c>
      <c r="N21" s="16">
        <f>AVERAGE(ReturnData!N21:N31)</f>
        <v>3.037272727272727E-2</v>
      </c>
      <c r="O21" s="16">
        <f>AVERAGE(ReturnData!O21:O31)</f>
        <v>1.6799999999999999E-2</v>
      </c>
      <c r="P21" s="16">
        <f>AVERAGE(ReturnData!P21:P31)</f>
        <v>1.3654545454545452E-2</v>
      </c>
      <c r="Q21" s="16">
        <f>AVERAGE(ReturnData!Q21:Q31)</f>
        <v>1.3436363636363635E-2</v>
      </c>
    </row>
    <row r="22" spans="1:17" x14ac:dyDescent="0.25">
      <c r="A22">
        <f>ReturnData!A34</f>
        <v>197609</v>
      </c>
      <c r="B22" s="16">
        <f>AVERAGE(ReturnData!B22:B32)</f>
        <v>1.9390909090909094E-2</v>
      </c>
      <c r="C22" s="16">
        <f>AVERAGE(ReturnData!C22:C32)</f>
        <v>1.8809090909090907E-2</v>
      </c>
      <c r="D22" s="16">
        <f>AVERAGE(ReturnData!D22:D32)</f>
        <v>1.8618181818181822E-2</v>
      </c>
      <c r="E22" s="16">
        <f>AVERAGE(ReturnData!E22:E32)</f>
        <v>3.2209090909090902E-2</v>
      </c>
      <c r="F22" s="16">
        <f>AVERAGE(ReturnData!F22:F32)</f>
        <v>1.4536363636363632E-2</v>
      </c>
      <c r="G22" s="16">
        <f>AVERAGE(ReturnData!G22:G32)</f>
        <v>1.2609090909090908E-2</v>
      </c>
      <c r="H22" s="16">
        <f>AVERAGE(ReturnData!H22:H32)</f>
        <v>9.1727272727272751E-3</v>
      </c>
      <c r="I22" s="16">
        <f>AVERAGE(ReturnData!I22:I32)</f>
        <v>2.3718181818181815E-2</v>
      </c>
      <c r="J22" s="16">
        <f>AVERAGE(ReturnData!J22:J32)</f>
        <v>2.3718181818181815E-2</v>
      </c>
      <c r="K22" s="16">
        <f>AVERAGE(ReturnData!K22:K32)</f>
        <v>2.1027272727272724E-2</v>
      </c>
      <c r="L22" s="16">
        <f>AVERAGE(ReturnData!L22:L32)</f>
        <v>3.0190909090909098E-2</v>
      </c>
      <c r="M22" s="16">
        <f>AVERAGE(ReturnData!M22:M32)</f>
        <v>3.5454545454545454E-2</v>
      </c>
      <c r="N22" s="16">
        <f>AVERAGE(ReturnData!N22:N32)</f>
        <v>3.1699999999999999E-2</v>
      </c>
      <c r="O22" s="16">
        <f>AVERAGE(ReturnData!O22:O32)</f>
        <v>2.0490909090909091E-2</v>
      </c>
      <c r="P22" s="16">
        <f>AVERAGE(ReturnData!P22:P32)</f>
        <v>1.1290909090909088E-2</v>
      </c>
      <c r="Q22" s="16">
        <f>AVERAGE(ReturnData!Q22:Q32)</f>
        <v>2.0072727272727273E-2</v>
      </c>
    </row>
    <row r="23" spans="1:17" x14ac:dyDescent="0.25">
      <c r="A23">
        <f>ReturnData!A35</f>
        <v>197610</v>
      </c>
      <c r="B23" s="16">
        <f>AVERAGE(ReturnData!B23:B33)</f>
        <v>2.1872727272727276E-2</v>
      </c>
      <c r="C23" s="16">
        <f>AVERAGE(ReturnData!C23:C33)</f>
        <v>1.7799999999999996E-2</v>
      </c>
      <c r="D23" s="16">
        <f>AVERAGE(ReturnData!D23:D33)</f>
        <v>1.9036363636363639E-2</v>
      </c>
      <c r="E23" s="16">
        <f>AVERAGE(ReturnData!E23:E33)</f>
        <v>2.8972727272727272E-2</v>
      </c>
      <c r="F23" s="16">
        <f>AVERAGE(ReturnData!F23:F33)</f>
        <v>1.7254545454545453E-2</v>
      </c>
      <c r="G23" s="16">
        <f>AVERAGE(ReturnData!G23:G33)</f>
        <v>1.7281818181818179E-2</v>
      </c>
      <c r="H23" s="16">
        <f>AVERAGE(ReturnData!H23:H33)</f>
        <v>1.5181818181818183E-2</v>
      </c>
      <c r="I23" s="16">
        <f>AVERAGE(ReturnData!I23:I33)</f>
        <v>2.8645454545454543E-2</v>
      </c>
      <c r="J23" s="16">
        <f>AVERAGE(ReturnData!J23:J33)</f>
        <v>2.5209090909090903E-2</v>
      </c>
      <c r="K23" s="16">
        <f>AVERAGE(ReturnData!K23:K33)</f>
        <v>2.3672727272727269E-2</v>
      </c>
      <c r="L23" s="16">
        <f>AVERAGE(ReturnData!L23:L33)</f>
        <v>3.0627272727272736E-2</v>
      </c>
      <c r="M23" s="16">
        <f>AVERAGE(ReturnData!M23:M33)</f>
        <v>3.5963636363636364E-2</v>
      </c>
      <c r="N23" s="16">
        <f>AVERAGE(ReturnData!N23:N33)</f>
        <v>3.312727272727272E-2</v>
      </c>
      <c r="O23" s="16">
        <f>AVERAGE(ReturnData!O23:O33)</f>
        <v>2.408181818181818E-2</v>
      </c>
      <c r="P23" s="16">
        <f>AVERAGE(ReturnData!P23:P33)</f>
        <v>1.7809090909090906E-2</v>
      </c>
      <c r="Q23" s="16">
        <f>AVERAGE(ReturnData!Q23:Q33)</f>
        <v>2.6763636363636364E-2</v>
      </c>
    </row>
    <row r="24" spans="1:17" x14ac:dyDescent="0.25">
      <c r="A24">
        <f>ReturnData!A36</f>
        <v>197611</v>
      </c>
      <c r="B24" s="16">
        <f>AVERAGE(ReturnData!B24:B34)</f>
        <v>1.1318181818181819E-2</v>
      </c>
      <c r="C24" s="16">
        <f>AVERAGE(ReturnData!C24:C34)</f>
        <v>2.4690909090909093E-2</v>
      </c>
      <c r="D24" s="16">
        <f>AVERAGE(ReturnData!D24:D34)</f>
        <v>2.585454545454546E-2</v>
      </c>
      <c r="E24" s="16">
        <f>AVERAGE(ReturnData!E24:E34)</f>
        <v>2.0118181818181816E-2</v>
      </c>
      <c r="F24" s="16">
        <f>AVERAGE(ReturnData!F24:F34)</f>
        <v>8.6000000000000017E-3</v>
      </c>
      <c r="G24" s="16">
        <f>AVERAGE(ReturnData!G24:G34)</f>
        <v>1.1363636363636362E-2</v>
      </c>
      <c r="H24" s="16">
        <f>AVERAGE(ReturnData!H24:H34)</f>
        <v>9.2818181818181845E-3</v>
      </c>
      <c r="I24" s="16">
        <f>AVERAGE(ReturnData!I24:I34)</f>
        <v>2.7481818181818184E-2</v>
      </c>
      <c r="J24" s="16">
        <f>AVERAGE(ReturnData!J24:J34)</f>
        <v>2.9281818181818176E-2</v>
      </c>
      <c r="K24" s="16">
        <f>AVERAGE(ReturnData!K24:K34)</f>
        <v>2.5072727272727271E-2</v>
      </c>
      <c r="L24" s="16">
        <f>AVERAGE(ReturnData!L24:L34)</f>
        <v>2.6536363636363639E-2</v>
      </c>
      <c r="M24" s="16">
        <f>AVERAGE(ReturnData!M24:M34)</f>
        <v>3.270909090909091E-2</v>
      </c>
      <c r="N24" s="16">
        <f>AVERAGE(ReturnData!N24:N34)</f>
        <v>3.0681818181818178E-2</v>
      </c>
      <c r="O24" s="16">
        <f>AVERAGE(ReturnData!O24:O34)</f>
        <v>2.180909090909091E-2</v>
      </c>
      <c r="P24" s="16">
        <f>AVERAGE(ReturnData!P24:P34)</f>
        <v>8.3545454545454565E-3</v>
      </c>
      <c r="Q24" s="16">
        <f>AVERAGE(ReturnData!Q24:Q34)</f>
        <v>2.2663636363636361E-2</v>
      </c>
    </row>
    <row r="25" spans="1:17" x14ac:dyDescent="0.25">
      <c r="A25">
        <f>ReturnData!A37</f>
        <v>197612</v>
      </c>
      <c r="B25" s="16">
        <f>AVERAGE(ReturnData!B25:B35)</f>
        <v>6.3272727272727291E-3</v>
      </c>
      <c r="C25" s="16">
        <f>AVERAGE(ReturnData!C25:C35)</f>
        <v>2.3836363636363642E-2</v>
      </c>
      <c r="D25" s="16">
        <f>AVERAGE(ReturnData!D25:D35)</f>
        <v>2.5518181818181818E-2</v>
      </c>
      <c r="E25" s="16">
        <f>AVERAGE(ReturnData!E25:E35)</f>
        <v>1.3099999999999995E-2</v>
      </c>
      <c r="F25" s="16">
        <f>AVERAGE(ReturnData!F25:F35)</f>
        <v>3.0727272727272751E-3</v>
      </c>
      <c r="G25" s="16">
        <f>AVERAGE(ReturnData!G25:G35)</f>
        <v>7.3272727272727274E-3</v>
      </c>
      <c r="H25" s="16">
        <f>AVERAGE(ReturnData!H25:H35)</f>
        <v>2.1999999999999997E-3</v>
      </c>
      <c r="I25" s="16">
        <f>AVERAGE(ReturnData!I25:I35)</f>
        <v>2.47E-2</v>
      </c>
      <c r="J25" s="16">
        <f>AVERAGE(ReturnData!J25:J35)</f>
        <v>2.2399999999999996E-2</v>
      </c>
      <c r="K25" s="16">
        <f>AVERAGE(ReturnData!K25:K35)</f>
        <v>2.0827272727272722E-2</v>
      </c>
      <c r="L25" s="16">
        <f>AVERAGE(ReturnData!L25:L35)</f>
        <v>1.9418181818181814E-2</v>
      </c>
      <c r="M25" s="16">
        <f>AVERAGE(ReturnData!M25:M35)</f>
        <v>2.8654545454545453E-2</v>
      </c>
      <c r="N25" s="16">
        <f>AVERAGE(ReturnData!N25:N35)</f>
        <v>2.3599999999999996E-2</v>
      </c>
      <c r="O25" s="16">
        <f>AVERAGE(ReturnData!O25:O35)</f>
        <v>1.8209090909090911E-2</v>
      </c>
      <c r="P25" s="16">
        <f>AVERAGE(ReturnData!P25:P35)</f>
        <v>3.2272727272727262E-3</v>
      </c>
      <c r="Q25" s="16">
        <f>AVERAGE(ReturnData!Q25:Q35)</f>
        <v>1.8854545454545454E-2</v>
      </c>
    </row>
    <row r="26" spans="1:17" x14ac:dyDescent="0.25">
      <c r="A26">
        <f>ReturnData!A38</f>
        <v>197701</v>
      </c>
      <c r="B26" s="16">
        <f>AVERAGE(ReturnData!B26:B36)</f>
        <v>8.4545454545454559E-3</v>
      </c>
      <c r="C26" s="16">
        <f>AVERAGE(ReturnData!C26:C36)</f>
        <v>2.2563636363636366E-2</v>
      </c>
      <c r="D26" s="16">
        <f>AVERAGE(ReturnData!D26:D36)</f>
        <v>2.6281818181818184E-2</v>
      </c>
      <c r="E26" s="16">
        <f>AVERAGE(ReturnData!E26:E36)</f>
        <v>2.0336363636363632E-2</v>
      </c>
      <c r="F26" s="16">
        <f>AVERAGE(ReturnData!F26:F36)</f>
        <v>3.7545454545454562E-3</v>
      </c>
      <c r="G26" s="16">
        <f>AVERAGE(ReturnData!G26:G36)</f>
        <v>2.6454545454545429E-3</v>
      </c>
      <c r="H26" s="16">
        <f>AVERAGE(ReturnData!H26:H36)</f>
        <v>1.6909090909090921E-3</v>
      </c>
      <c r="I26" s="16">
        <f>AVERAGE(ReturnData!I26:I36)</f>
        <v>2.7281818181818185E-2</v>
      </c>
      <c r="J26" s="16">
        <f>AVERAGE(ReturnData!J26:J36)</f>
        <v>2.0336363636363632E-2</v>
      </c>
      <c r="K26" s="16">
        <f>AVERAGE(ReturnData!K26:K36)</f>
        <v>2.4554545454545454E-2</v>
      </c>
      <c r="L26" s="16">
        <f>AVERAGE(ReturnData!L26:L36)</f>
        <v>2.1718181818181824E-2</v>
      </c>
      <c r="M26" s="16">
        <f>AVERAGE(ReturnData!M26:M36)</f>
        <v>2.6909090909090907E-2</v>
      </c>
      <c r="N26" s="16">
        <f>AVERAGE(ReturnData!N26:N36)</f>
        <v>2.7136363636363629E-2</v>
      </c>
      <c r="O26" s="16">
        <f>AVERAGE(ReturnData!O26:O36)</f>
        <v>1.9845454545454548E-2</v>
      </c>
      <c r="P26" s="16">
        <f>AVERAGE(ReturnData!P26:P36)</f>
        <v>1.0981818181818181E-2</v>
      </c>
      <c r="Q26" s="16">
        <f>AVERAGE(ReturnData!Q26:Q36)</f>
        <v>2.0827272727272726E-2</v>
      </c>
    </row>
    <row r="27" spans="1:17" x14ac:dyDescent="0.25">
      <c r="A27">
        <f>ReturnData!A39</f>
        <v>197702</v>
      </c>
      <c r="B27" s="16">
        <f>AVERAGE(ReturnData!B27:B37)</f>
        <v>4.5545454545454561E-3</v>
      </c>
      <c r="C27" s="16">
        <f>AVERAGE(ReturnData!C27:C37)</f>
        <v>1.4599999999999997E-2</v>
      </c>
      <c r="D27" s="16">
        <f>AVERAGE(ReturnData!D27:D37)</f>
        <v>2.4954545454545455E-2</v>
      </c>
      <c r="E27" s="16">
        <f>AVERAGE(ReturnData!E27:E37)</f>
        <v>6.6636363636363612E-3</v>
      </c>
      <c r="F27" s="16">
        <f>AVERAGE(ReturnData!F27:F37)</f>
        <v>-5.5000000000000005E-3</v>
      </c>
      <c r="G27" s="16">
        <f>AVERAGE(ReturnData!G27:G37)</f>
        <v>-6.2363636363636362E-3</v>
      </c>
      <c r="H27" s="16">
        <f>AVERAGE(ReturnData!H27:H37)</f>
        <v>-5.4545454545456105E-5</v>
      </c>
      <c r="I27" s="16">
        <f>AVERAGE(ReturnData!I27:I37)</f>
        <v>1.8427272727272726E-2</v>
      </c>
      <c r="J27" s="16">
        <f>AVERAGE(ReturnData!J27:J37)</f>
        <v>7.9545454545454537E-3</v>
      </c>
      <c r="K27" s="16">
        <f>AVERAGE(ReturnData!K27:K37)</f>
        <v>1.4690909090909093E-2</v>
      </c>
      <c r="L27" s="16">
        <f>AVERAGE(ReturnData!L27:L37)</f>
        <v>9.1272727272727269E-3</v>
      </c>
      <c r="M27" s="16">
        <f>AVERAGE(ReturnData!M27:M37)</f>
        <v>2.4690909090909093E-2</v>
      </c>
      <c r="N27" s="16">
        <f>AVERAGE(ReturnData!N27:N37)</f>
        <v>1.7854545454545456E-2</v>
      </c>
      <c r="O27" s="16">
        <f>AVERAGE(ReturnData!O27:O37)</f>
        <v>1.8199999999999997E-2</v>
      </c>
      <c r="P27" s="16">
        <f>AVERAGE(ReturnData!P27:P37)</f>
        <v>5.1727272727272724E-3</v>
      </c>
      <c r="Q27" s="16">
        <f>AVERAGE(ReturnData!Q27:Q37)</f>
        <v>1.7836363636363636E-2</v>
      </c>
    </row>
    <row r="28" spans="1:17" x14ac:dyDescent="0.25">
      <c r="A28">
        <f>ReturnData!A40</f>
        <v>197703</v>
      </c>
      <c r="B28" s="16">
        <f>AVERAGE(ReturnData!B28:B38)</f>
        <v>2.7454545454545457E-3</v>
      </c>
      <c r="C28" s="16">
        <f>AVERAGE(ReturnData!C28:C38)</f>
        <v>1.1218181818181815E-2</v>
      </c>
      <c r="D28" s="16">
        <f>AVERAGE(ReturnData!D28:D38)</f>
        <v>2.7772727272727279E-2</v>
      </c>
      <c r="E28" s="16">
        <f>AVERAGE(ReturnData!E28:E38)</f>
        <v>1.6727272727272721E-3</v>
      </c>
      <c r="F28" s="16">
        <f>AVERAGE(ReturnData!F28:F38)</f>
        <v>-1.240909090909091E-2</v>
      </c>
      <c r="G28" s="16">
        <f>AVERAGE(ReturnData!G28:G38)</f>
        <v>-1.3727272727272729E-2</v>
      </c>
      <c r="H28" s="16">
        <f>AVERAGE(ReturnData!H28:H38)</f>
        <v>-2.0545454545454547E-3</v>
      </c>
      <c r="I28" s="16">
        <f>AVERAGE(ReturnData!I28:I38)</f>
        <v>8.5454545454545436E-3</v>
      </c>
      <c r="J28" s="16">
        <f>AVERAGE(ReturnData!J28:J38)</f>
        <v>-2.2727272727272559E-4</v>
      </c>
      <c r="K28" s="16">
        <f>AVERAGE(ReturnData!K28:K38)</f>
        <v>1.2018181818181822E-2</v>
      </c>
      <c r="L28" s="16">
        <f>AVERAGE(ReturnData!L28:L38)</f>
        <v>3.5272727272727274E-3</v>
      </c>
      <c r="M28" s="16">
        <f>AVERAGE(ReturnData!M28:M38)</f>
        <v>1.6527272727272727E-2</v>
      </c>
      <c r="N28" s="16">
        <f>AVERAGE(ReturnData!N28:N38)</f>
        <v>1.0045454545454545E-2</v>
      </c>
      <c r="O28" s="16">
        <f>AVERAGE(ReturnData!O28:O38)</f>
        <v>2.2163636363636361E-2</v>
      </c>
      <c r="P28" s="16">
        <f>AVERAGE(ReturnData!P28:P38)</f>
        <v>-6.0909090909090904E-3</v>
      </c>
      <c r="Q28" s="16">
        <f>AVERAGE(ReturnData!Q28:Q38)</f>
        <v>1.1927272727272726E-2</v>
      </c>
    </row>
    <row r="29" spans="1:17" x14ac:dyDescent="0.25">
      <c r="A29">
        <f>ReturnData!A41</f>
        <v>197704</v>
      </c>
      <c r="B29" s="16">
        <f>AVERAGE(ReturnData!B29:B39)</f>
        <v>1.5636363636363649E-3</v>
      </c>
      <c r="C29" s="16">
        <f>AVERAGE(ReturnData!C29:C39)</f>
        <v>6.9272727272727255E-3</v>
      </c>
      <c r="D29" s="16">
        <f>AVERAGE(ReturnData!D29:D39)</f>
        <v>1.8136363636363641E-2</v>
      </c>
      <c r="E29" s="16">
        <f>AVERAGE(ReturnData!E29:E39)</f>
        <v>-5.2818181818181827E-3</v>
      </c>
      <c r="F29" s="16">
        <f>AVERAGE(ReturnData!F29:F39)</f>
        <v>-1.6445454545454544E-2</v>
      </c>
      <c r="G29" s="16">
        <f>AVERAGE(ReturnData!G29:G39)</f>
        <v>-1.1145454545454545E-2</v>
      </c>
      <c r="H29" s="16">
        <f>AVERAGE(ReturnData!H29:H39)</f>
        <v>-7.6818181818181838E-3</v>
      </c>
      <c r="I29" s="16">
        <f>AVERAGE(ReturnData!I29:I39)</f>
        <v>4.4909090909090897E-3</v>
      </c>
      <c r="J29" s="16">
        <f>AVERAGE(ReturnData!J29:J39)</f>
        <v>-6.9999999999999988E-4</v>
      </c>
      <c r="K29" s="16">
        <f>AVERAGE(ReturnData!K29:K39)</f>
        <v>1.1400000000000004E-2</v>
      </c>
      <c r="L29" s="16">
        <f>AVERAGE(ReturnData!L29:L39)</f>
        <v>1.3363636363636364E-3</v>
      </c>
      <c r="M29" s="16">
        <f>AVERAGE(ReturnData!M29:M39)</f>
        <v>8.2272727272727272E-3</v>
      </c>
      <c r="N29" s="16">
        <f>AVERAGE(ReturnData!N29:N39)</f>
        <v>7.1909090909090924E-3</v>
      </c>
      <c r="O29" s="16">
        <f>AVERAGE(ReturnData!O29:O39)</f>
        <v>1.7763636363636367E-2</v>
      </c>
      <c r="P29" s="16">
        <f>AVERAGE(ReturnData!P29:P39)</f>
        <v>-1.1154545454545452E-2</v>
      </c>
      <c r="Q29" s="16">
        <f>AVERAGE(ReturnData!Q29:Q39)</f>
        <v>7.5090909090909071E-3</v>
      </c>
    </row>
    <row r="30" spans="1:17" x14ac:dyDescent="0.25">
      <c r="A30">
        <f>ReturnData!A42</f>
        <v>197705</v>
      </c>
      <c r="B30" s="16">
        <f>AVERAGE(ReturnData!B30:B40)</f>
        <v>1.6545454545454565E-3</v>
      </c>
      <c r="C30" s="16">
        <f>AVERAGE(ReturnData!C30:C40)</f>
        <v>6.5818181818181809E-3</v>
      </c>
      <c r="D30" s="16">
        <f>AVERAGE(ReturnData!D30:D40)</f>
        <v>1.4718181818181819E-2</v>
      </c>
      <c r="E30" s="16">
        <f>AVERAGE(ReturnData!E30:E40)</f>
        <v>-3.4363636363636376E-3</v>
      </c>
      <c r="F30" s="16">
        <f>AVERAGE(ReturnData!F30:F40)</f>
        <v>-1.549090909090909E-2</v>
      </c>
      <c r="G30" s="16">
        <f>AVERAGE(ReturnData!G30:G40)</f>
        <v>-1.1609090909090909E-2</v>
      </c>
      <c r="H30" s="16">
        <f>AVERAGE(ReturnData!H30:H40)</f>
        <v>-6.454545454545455E-3</v>
      </c>
      <c r="I30" s="16">
        <f>AVERAGE(ReturnData!I30:I40)</f>
        <v>4.5454545454545444E-3</v>
      </c>
      <c r="J30" s="16">
        <f>AVERAGE(ReturnData!J30:J40)</f>
        <v>-1.3909090909090909E-3</v>
      </c>
      <c r="K30" s="16">
        <f>AVERAGE(ReturnData!K30:K40)</f>
        <v>1.4090909090909093E-2</v>
      </c>
      <c r="L30" s="16">
        <f>AVERAGE(ReturnData!L30:L40)</f>
        <v>4.3545454545454547E-3</v>
      </c>
      <c r="M30" s="16">
        <f>AVERAGE(ReturnData!M30:M40)</f>
        <v>2.0181818181818165E-3</v>
      </c>
      <c r="N30" s="16">
        <f>AVERAGE(ReturnData!N30:N40)</f>
        <v>5.9363636363636363E-3</v>
      </c>
      <c r="O30" s="16">
        <f>AVERAGE(ReturnData!O30:O40)</f>
        <v>1.7363636363636362E-2</v>
      </c>
      <c r="P30" s="16">
        <f>AVERAGE(ReturnData!P30:P40)</f>
        <v>-9.6181818181818191E-3</v>
      </c>
      <c r="Q30" s="16">
        <f>AVERAGE(ReturnData!Q30:Q40)</f>
        <v>9.4090909090909086E-3</v>
      </c>
    </row>
    <row r="31" spans="1:17" x14ac:dyDescent="0.25">
      <c r="A31">
        <f>ReturnData!A43</f>
        <v>197706</v>
      </c>
      <c r="B31" s="16">
        <f>AVERAGE(ReturnData!B31:B41)</f>
        <v>2.3454545454545468E-3</v>
      </c>
      <c r="C31" s="16">
        <f>AVERAGE(ReturnData!C31:C41)</f>
        <v>2.518181818181817E-3</v>
      </c>
      <c r="D31" s="16">
        <f>AVERAGE(ReturnData!D31:D41)</f>
        <v>1.1563636363636361E-2</v>
      </c>
      <c r="E31" s="16">
        <f>AVERAGE(ReturnData!E31:E41)</f>
        <v>5.1636363636363624E-3</v>
      </c>
      <c r="F31" s="16">
        <f>AVERAGE(ReturnData!F31:F41)</f>
        <v>-1.3572727272727275E-2</v>
      </c>
      <c r="G31" s="16">
        <f>AVERAGE(ReturnData!G31:G41)</f>
        <v>-9.6454545454545473E-3</v>
      </c>
      <c r="H31" s="16">
        <f>AVERAGE(ReturnData!H31:H41)</f>
        <v>-6.9727272727272728E-3</v>
      </c>
      <c r="I31" s="16">
        <f>AVERAGE(ReturnData!I31:I41)</f>
        <v>1.0263636363636362E-2</v>
      </c>
      <c r="J31" s="16">
        <f>AVERAGE(ReturnData!J31:J41)</f>
        <v>-9.181818181818181E-4</v>
      </c>
      <c r="K31" s="16">
        <f>AVERAGE(ReturnData!K31:K41)</f>
        <v>1.7627272727272731E-2</v>
      </c>
      <c r="L31" s="16">
        <f>AVERAGE(ReturnData!L31:L41)</f>
        <v>1.8636363636363627E-3</v>
      </c>
      <c r="M31" s="16">
        <f>AVERAGE(ReturnData!M31:M41)</f>
        <v>6.6272727272727256E-3</v>
      </c>
      <c r="N31" s="16">
        <f>AVERAGE(ReturnData!N31:N41)</f>
        <v>8.1909090909090924E-3</v>
      </c>
      <c r="O31" s="16">
        <f>AVERAGE(ReturnData!O31:O41)</f>
        <v>2.0454545454545454E-2</v>
      </c>
      <c r="P31" s="16">
        <f>AVERAGE(ReturnData!P31:P41)</f>
        <v>-6.9272727272727264E-3</v>
      </c>
      <c r="Q31" s="16">
        <f>AVERAGE(ReturnData!Q31:Q41)</f>
        <v>1.3472727272727273E-2</v>
      </c>
    </row>
    <row r="32" spans="1:17" x14ac:dyDescent="0.25">
      <c r="A32">
        <f>ReturnData!A44</f>
        <v>197707</v>
      </c>
      <c r="B32" s="16">
        <f>AVERAGE(ReturnData!B32:B42)</f>
        <v>-3.4181818181818176E-3</v>
      </c>
      <c r="C32" s="16">
        <f>AVERAGE(ReturnData!C32:C42)</f>
        <v>-8.4181818181818177E-3</v>
      </c>
      <c r="D32" s="16">
        <f>AVERAGE(ReturnData!D32:D42)</f>
        <v>6.8636363636363634E-3</v>
      </c>
      <c r="E32" s="16">
        <f>AVERAGE(ReturnData!E32:E42)</f>
        <v>1.6363636363636201E-4</v>
      </c>
      <c r="F32" s="16">
        <f>AVERAGE(ReturnData!F32:F42)</f>
        <v>-2.1700000000000001E-2</v>
      </c>
      <c r="G32" s="16">
        <f>AVERAGE(ReturnData!G32:G42)</f>
        <v>-1.2509090909090909E-2</v>
      </c>
      <c r="H32" s="16">
        <f>AVERAGE(ReturnData!H32:H42)</f>
        <v>-1.2763636363636366E-2</v>
      </c>
      <c r="I32" s="16">
        <f>AVERAGE(ReturnData!I32:I42)</f>
        <v>4.1272727272727242E-3</v>
      </c>
      <c r="J32" s="16">
        <f>AVERAGE(ReturnData!J32:J42)</f>
        <v>-1.0472727272727272E-2</v>
      </c>
      <c r="K32" s="16">
        <f>AVERAGE(ReturnData!K32:K42)</f>
        <v>9.9000000000000008E-3</v>
      </c>
      <c r="L32" s="16">
        <f>AVERAGE(ReturnData!L32:L42)</f>
        <v>-6.4727272727272724E-3</v>
      </c>
      <c r="M32" s="16">
        <f>AVERAGE(ReturnData!M32:M42)</f>
        <v>4.5818181818181817E-3</v>
      </c>
      <c r="N32" s="16">
        <f>AVERAGE(ReturnData!N32:N42)</f>
        <v>3.0909090909090903E-3</v>
      </c>
      <c r="O32" s="16">
        <f>AVERAGE(ReturnData!O32:O42)</f>
        <v>1.8118181818181821E-2</v>
      </c>
      <c r="P32" s="16">
        <f>AVERAGE(ReturnData!P32:P42)</f>
        <v>-1.1327272727272729E-2</v>
      </c>
      <c r="Q32" s="16">
        <f>AVERAGE(ReturnData!Q32:Q42)</f>
        <v>7.0818181818181813E-3</v>
      </c>
    </row>
    <row r="33" spans="1:17" x14ac:dyDescent="0.25">
      <c r="A33">
        <f>ReturnData!A45</f>
        <v>197708</v>
      </c>
      <c r="B33" s="16">
        <f>AVERAGE(ReturnData!B33:B43)</f>
        <v>-1.3272727272727269E-3</v>
      </c>
      <c r="C33" s="16">
        <f>AVERAGE(ReturnData!C33:C43)</f>
        <v>-4.000000000000001E-3</v>
      </c>
      <c r="D33" s="16">
        <f>AVERAGE(ReturnData!D33:D43)</f>
        <v>1.2309090909090908E-2</v>
      </c>
      <c r="E33" s="16">
        <f>AVERAGE(ReturnData!E33:E43)</f>
        <v>7.1636363636363616E-3</v>
      </c>
      <c r="F33" s="16">
        <f>AVERAGE(ReturnData!F33:F43)</f>
        <v>-1.4227272727272729E-2</v>
      </c>
      <c r="G33" s="16">
        <f>AVERAGE(ReturnData!G33:G43)</f>
        <v>-1.0463636363636362E-2</v>
      </c>
      <c r="H33" s="16">
        <f>AVERAGE(ReturnData!H33:H43)</f>
        <v>-5.7454545454545458E-3</v>
      </c>
      <c r="I33" s="16">
        <f>AVERAGE(ReturnData!I33:I43)</f>
        <v>9.8818181818181791E-3</v>
      </c>
      <c r="J33" s="16">
        <f>AVERAGE(ReturnData!J33:J43)</f>
        <v>-8.2636363636363619E-3</v>
      </c>
      <c r="K33" s="16">
        <f>AVERAGE(ReturnData!K33:K43)</f>
        <v>1.5581818181818185E-2</v>
      </c>
      <c r="L33" s="16">
        <f>AVERAGE(ReturnData!L33:L43)</f>
        <v>1.5090909090909094E-3</v>
      </c>
      <c r="M33" s="16">
        <f>AVERAGE(ReturnData!M33:M43)</f>
        <v>8.7636363636363623E-3</v>
      </c>
      <c r="N33" s="16">
        <f>AVERAGE(ReturnData!N33:N43)</f>
        <v>8.5909090909090918E-3</v>
      </c>
      <c r="O33" s="16">
        <f>AVERAGE(ReturnData!O33:O43)</f>
        <v>2.073636363636364E-2</v>
      </c>
      <c r="P33" s="16">
        <f>AVERAGE(ReturnData!P33:P43)</f>
        <v>-3.1454545454545459E-3</v>
      </c>
      <c r="Q33" s="16">
        <f>AVERAGE(ReturnData!Q33:Q43)</f>
        <v>1.1490909090909092E-2</v>
      </c>
    </row>
    <row r="34" spans="1:17" x14ac:dyDescent="0.25">
      <c r="A34">
        <f>ReturnData!A46</f>
        <v>197709</v>
      </c>
      <c r="B34" s="16">
        <f>AVERAGE(ReturnData!B34:B44)</f>
        <v>7.8181818181818278E-4</v>
      </c>
      <c r="C34" s="16">
        <f>AVERAGE(ReturnData!C34:C44)</f>
        <v>-5.9454545454545454E-3</v>
      </c>
      <c r="D34" s="16">
        <f>AVERAGE(ReturnData!D34:D44)</f>
        <v>1.1045454545454546E-2</v>
      </c>
      <c r="E34" s="16">
        <f>AVERAGE(ReturnData!E34:E44)</f>
        <v>8.9727272727272694E-3</v>
      </c>
      <c r="F34" s="16">
        <f>AVERAGE(ReturnData!F34:F44)</f>
        <v>-1.5181818181818185E-2</v>
      </c>
      <c r="G34" s="16">
        <f>AVERAGE(ReturnData!G34:G44)</f>
        <v>-1.0381818181818181E-2</v>
      </c>
      <c r="H34" s="16">
        <f>AVERAGE(ReturnData!H34:H44)</f>
        <v>-8.090909090909093E-3</v>
      </c>
      <c r="I34" s="16">
        <f>AVERAGE(ReturnData!I34:I44)</f>
        <v>7.8818181818181791E-3</v>
      </c>
      <c r="J34" s="16">
        <f>AVERAGE(ReturnData!J34:J44)</f>
        <v>-1.171818181818182E-2</v>
      </c>
      <c r="K34" s="16">
        <f>AVERAGE(ReturnData!K34:K44)</f>
        <v>1.4863636363636364E-2</v>
      </c>
      <c r="L34" s="16">
        <f>AVERAGE(ReturnData!L34:L44)</f>
        <v>1.4545454545454549E-3</v>
      </c>
      <c r="M34" s="16">
        <f>AVERAGE(ReturnData!M34:M44)</f>
        <v>6.9545454545454546E-3</v>
      </c>
      <c r="N34" s="16">
        <f>AVERAGE(ReturnData!N34:N44)</f>
        <v>8.845454545454547E-3</v>
      </c>
      <c r="O34" s="16">
        <f>AVERAGE(ReturnData!O34:O44)</f>
        <v>1.8836363636363637E-2</v>
      </c>
      <c r="P34" s="16">
        <f>AVERAGE(ReturnData!P34:P44)</f>
        <v>-6.3545454545454539E-3</v>
      </c>
      <c r="Q34" s="16">
        <f>AVERAGE(ReturnData!Q34:Q44)</f>
        <v>1.2027272727272727E-2</v>
      </c>
    </row>
    <row r="35" spans="1:17" x14ac:dyDescent="0.25">
      <c r="A35">
        <f>ReturnData!A47</f>
        <v>197710</v>
      </c>
      <c r="B35" s="16">
        <f>AVERAGE(ReturnData!B35:B45)</f>
        <v>5.9090909090909148E-4</v>
      </c>
      <c r="C35" s="16">
        <f>AVERAGE(ReturnData!C35:C45)</f>
        <v>-9.5999999999999992E-3</v>
      </c>
      <c r="D35" s="16">
        <f>AVERAGE(ReturnData!D35:D45)</f>
        <v>2.8181818181818104E-4</v>
      </c>
      <c r="E35" s="16">
        <f>AVERAGE(ReturnData!E35:E45)</f>
        <v>7.8727272727272691E-3</v>
      </c>
      <c r="F35" s="16">
        <f>AVERAGE(ReturnData!F35:F45)</f>
        <v>-1.3300000000000005E-2</v>
      </c>
      <c r="G35" s="16">
        <f>AVERAGE(ReturnData!G35:G45)</f>
        <v>-1.3436363636363637E-2</v>
      </c>
      <c r="H35" s="16">
        <f>AVERAGE(ReturnData!H35:H45)</f>
        <v>-7.7727272727272775E-3</v>
      </c>
      <c r="I35" s="16">
        <f>AVERAGE(ReturnData!I35:I45)</f>
        <v>3.5090909090909079E-3</v>
      </c>
      <c r="J35" s="16">
        <f>AVERAGE(ReturnData!J35:J45)</f>
        <v>-1.7972727272727272E-2</v>
      </c>
      <c r="K35" s="16">
        <f>AVERAGE(ReturnData!K35:K45)</f>
        <v>1.2881818181818182E-2</v>
      </c>
      <c r="L35" s="16">
        <f>AVERAGE(ReturnData!L35:L45)</f>
        <v>-6.2727272727272718E-4</v>
      </c>
      <c r="M35" s="16">
        <f>AVERAGE(ReturnData!M35:M45)</f>
        <v>1.1818181818181817E-3</v>
      </c>
      <c r="N35" s="16">
        <f>AVERAGE(ReturnData!N35:N45)</f>
        <v>4.618181818181819E-3</v>
      </c>
      <c r="O35" s="16">
        <f>AVERAGE(ReturnData!O35:O45)</f>
        <v>1.2190909090909091E-2</v>
      </c>
      <c r="P35" s="16">
        <f>AVERAGE(ReturnData!P35:P45)</f>
        <v>-1.8272727272727273E-3</v>
      </c>
      <c r="Q35" s="16">
        <f>AVERAGE(ReturnData!Q35:Q45)</f>
        <v>1.0445454545454544E-2</v>
      </c>
    </row>
    <row r="36" spans="1:17" x14ac:dyDescent="0.25">
      <c r="A36">
        <f>ReturnData!A48</f>
        <v>197711</v>
      </c>
      <c r="B36" s="16">
        <f>AVERAGE(ReturnData!B36:B46)</f>
        <v>3.2454545454545462E-3</v>
      </c>
      <c r="C36" s="16">
        <f>AVERAGE(ReturnData!C36:C46)</f>
        <v>-8.6636363636363629E-3</v>
      </c>
      <c r="D36" s="16">
        <f>AVERAGE(ReturnData!D36:D46)</f>
        <v>3.0090909090909074E-3</v>
      </c>
      <c r="E36" s="16">
        <f>AVERAGE(ReturnData!E36:E46)</f>
        <v>1.0309090909090908E-2</v>
      </c>
      <c r="F36" s="16">
        <f>AVERAGE(ReturnData!F36:F46)</f>
        <v>-1.1545454545454546E-2</v>
      </c>
      <c r="G36" s="16">
        <f>AVERAGE(ReturnData!G36:G46)</f>
        <v>-1.1472727272727272E-2</v>
      </c>
      <c r="H36" s="16">
        <f>AVERAGE(ReturnData!H36:H46)</f>
        <v>-6.454545454545455E-3</v>
      </c>
      <c r="I36" s="16">
        <f>AVERAGE(ReturnData!I36:I46)</f>
        <v>2.236363636363634E-3</v>
      </c>
      <c r="J36" s="16">
        <f>AVERAGE(ReturnData!J36:J46)</f>
        <v>-1.7799999999999996E-2</v>
      </c>
      <c r="K36" s="16">
        <f>AVERAGE(ReturnData!K36:K46)</f>
        <v>1.6845454545454549E-2</v>
      </c>
      <c r="L36" s="16">
        <f>AVERAGE(ReturnData!L36:L46)</f>
        <v>2.063636363636363E-3</v>
      </c>
      <c r="M36" s="16">
        <f>AVERAGE(ReturnData!M36:M46)</f>
        <v>5.2727272727272709E-3</v>
      </c>
      <c r="N36" s="16">
        <f>AVERAGE(ReturnData!N36:N46)</f>
        <v>6.7090909090909111E-3</v>
      </c>
      <c r="O36" s="16">
        <f>AVERAGE(ReturnData!O36:O46)</f>
        <v>1.4754545454545454E-2</v>
      </c>
      <c r="P36" s="16">
        <f>AVERAGE(ReturnData!P36:P46)</f>
        <v>-2.063636363636363E-3</v>
      </c>
      <c r="Q36" s="16">
        <f>AVERAGE(ReturnData!Q36:Q46)</f>
        <v>9.8545454545454544E-3</v>
      </c>
    </row>
    <row r="37" spans="1:17" x14ac:dyDescent="0.25">
      <c r="A37">
        <f>ReturnData!A49</f>
        <v>197712</v>
      </c>
      <c r="B37" s="16">
        <f>AVERAGE(ReturnData!B37:B47)</f>
        <v>-1.181818181818181E-3</v>
      </c>
      <c r="C37" s="16">
        <f>AVERAGE(ReturnData!C37:C47)</f>
        <v>-1.4645454545454547E-2</v>
      </c>
      <c r="D37" s="16">
        <f>AVERAGE(ReturnData!D37:D47)</f>
        <v>-1.3363636363636368E-3</v>
      </c>
      <c r="E37" s="16">
        <f>AVERAGE(ReturnData!E37:E47)</f>
        <v>1.6818181818181823E-3</v>
      </c>
      <c r="F37" s="16">
        <f>AVERAGE(ReturnData!F37:F47)</f>
        <v>-1.7081818181818181E-2</v>
      </c>
      <c r="G37" s="16">
        <f>AVERAGE(ReturnData!G37:G47)</f>
        <v>-9.6363636363636374E-3</v>
      </c>
      <c r="H37" s="16">
        <f>AVERAGE(ReturnData!H37:H47)</f>
        <v>-3.6909090909090924E-3</v>
      </c>
      <c r="I37" s="16">
        <f>AVERAGE(ReturnData!I37:I47)</f>
        <v>-2.9454545454545458E-3</v>
      </c>
      <c r="J37" s="16">
        <f>AVERAGE(ReturnData!J37:J47)</f>
        <v>-1.7699999999999997E-2</v>
      </c>
      <c r="K37" s="16">
        <f>AVERAGE(ReturnData!K37:K47)</f>
        <v>1.3336363636363636E-2</v>
      </c>
      <c r="L37" s="16">
        <f>AVERAGE(ReturnData!L37:L47)</f>
        <v>-2.4454545454545462E-3</v>
      </c>
      <c r="M37" s="16">
        <f>AVERAGE(ReturnData!M37:M47)</f>
        <v>1.2727272727272713E-3</v>
      </c>
      <c r="N37" s="16">
        <f>AVERAGE(ReturnData!N37:N47)</f>
        <v>-5.9999999999999951E-4</v>
      </c>
      <c r="O37" s="16">
        <f>AVERAGE(ReturnData!O37:O47)</f>
        <v>9.0454545454545458E-3</v>
      </c>
      <c r="P37" s="16">
        <f>AVERAGE(ReturnData!P37:P47)</f>
        <v>-9.5363636363636362E-3</v>
      </c>
      <c r="Q37" s="16">
        <f>AVERAGE(ReturnData!Q37:Q47)</f>
        <v>3.8909090909090907E-3</v>
      </c>
    </row>
    <row r="38" spans="1:17" x14ac:dyDescent="0.25">
      <c r="A38">
        <f>ReturnData!A50</f>
        <v>197801</v>
      </c>
      <c r="B38" s="16">
        <f>AVERAGE(ReturnData!B38:B48)</f>
        <v>-2.0818181818181816E-3</v>
      </c>
      <c r="C38" s="16">
        <f>AVERAGE(ReturnData!C38:C48)</f>
        <v>-1.6627272727272727E-2</v>
      </c>
      <c r="D38" s="16">
        <f>AVERAGE(ReturnData!D38:D48)</f>
        <v>-3.845454545454546E-3</v>
      </c>
      <c r="E38" s="16">
        <f>AVERAGE(ReturnData!E38:E48)</f>
        <v>3.2454545454545462E-3</v>
      </c>
      <c r="F38" s="16">
        <f>AVERAGE(ReturnData!F38:F48)</f>
        <v>-1.9827272727272728E-2</v>
      </c>
      <c r="G38" s="16">
        <f>AVERAGE(ReturnData!G38:G48)</f>
        <v>-1.6309090909090908E-2</v>
      </c>
      <c r="H38" s="16">
        <f>AVERAGE(ReturnData!H38:H48)</f>
        <v>-3.5818181818181834E-3</v>
      </c>
      <c r="I38" s="16">
        <f>AVERAGE(ReturnData!I38:I48)</f>
        <v>-3.336363636363636E-3</v>
      </c>
      <c r="J38" s="16">
        <f>AVERAGE(ReturnData!J38:J48)</f>
        <v>-2.3254545454545451E-2</v>
      </c>
      <c r="K38" s="16">
        <f>AVERAGE(ReturnData!K38:K48)</f>
        <v>1.0509090909090911E-2</v>
      </c>
      <c r="L38" s="16">
        <f>AVERAGE(ReturnData!L38:L48)</f>
        <v>-1.1909090909090916E-3</v>
      </c>
      <c r="M38" s="16">
        <f>AVERAGE(ReturnData!M38:M48)</f>
        <v>-6.7090909090909093E-3</v>
      </c>
      <c r="N38" s="16">
        <f>AVERAGE(ReturnData!N38:N48)</f>
        <v>1.1727272727272723E-3</v>
      </c>
      <c r="O38" s="16">
        <f>AVERAGE(ReturnData!O38:O48)</f>
        <v>7.0363636363636357E-3</v>
      </c>
      <c r="P38" s="16">
        <f>AVERAGE(ReturnData!P38:P48)</f>
        <v>-6.0181818181818192E-3</v>
      </c>
      <c r="Q38" s="16">
        <f>AVERAGE(ReturnData!Q38:Q48)</f>
        <v>1.1000000000000018E-3</v>
      </c>
    </row>
    <row r="39" spans="1:17" x14ac:dyDescent="0.25">
      <c r="A39">
        <f>ReturnData!A51</f>
        <v>197802</v>
      </c>
      <c r="B39" s="16">
        <f>AVERAGE(ReturnData!B39:B49)</f>
        <v>2.2909090909090913E-3</v>
      </c>
      <c r="C39" s="16">
        <f>AVERAGE(ReturnData!C39:C49)</f>
        <v>-1.43E-2</v>
      </c>
      <c r="D39" s="16">
        <f>AVERAGE(ReturnData!D39:D49)</f>
        <v>-2.0090909090909092E-3</v>
      </c>
      <c r="E39" s="16">
        <f>AVERAGE(ReturnData!E39:E49)</f>
        <v>3.8454545454545438E-3</v>
      </c>
      <c r="F39" s="16">
        <f>AVERAGE(ReturnData!F39:F49)</f>
        <v>-1.3018181818181816E-2</v>
      </c>
      <c r="G39" s="16">
        <f>AVERAGE(ReturnData!G39:G49)</f>
        <v>-9.8545454545454544E-3</v>
      </c>
      <c r="H39" s="16">
        <f>AVERAGE(ReturnData!H39:H49)</f>
        <v>3.3999999999999998E-3</v>
      </c>
      <c r="I39" s="16">
        <f>AVERAGE(ReturnData!I39:I49)</f>
        <v>1.4181818181818193E-3</v>
      </c>
      <c r="J39" s="16">
        <f>AVERAGE(ReturnData!J39:J49)</f>
        <v>-1.5790909090909092E-2</v>
      </c>
      <c r="K39" s="16">
        <f>AVERAGE(ReturnData!K39:K49)</f>
        <v>1.0272727272727272E-2</v>
      </c>
      <c r="L39" s="16">
        <f>AVERAGE(ReturnData!L39:L49)</f>
        <v>4.7090909090909084E-3</v>
      </c>
      <c r="M39" s="16">
        <f>AVERAGE(ReturnData!M39:M49)</f>
        <v>-4.4000000000000003E-3</v>
      </c>
      <c r="N39" s="16">
        <f>AVERAGE(ReturnData!N39:N49)</f>
        <v>4.6363636363636355E-3</v>
      </c>
      <c r="O39" s="16">
        <f>AVERAGE(ReturnData!O39:O49)</f>
        <v>5.9727272727272736E-3</v>
      </c>
      <c r="P39" s="16">
        <f>AVERAGE(ReturnData!P39:P49)</f>
        <v>-5.0000000000000109E-4</v>
      </c>
      <c r="Q39" s="16">
        <f>AVERAGE(ReturnData!Q39:Q49)</f>
        <v>5.1909090909090924E-3</v>
      </c>
    </row>
    <row r="40" spans="1:17" x14ac:dyDescent="0.25">
      <c r="A40">
        <f>ReturnData!A52</f>
        <v>197803</v>
      </c>
      <c r="B40" s="16">
        <f>AVERAGE(ReturnData!B40:B50)</f>
        <v>-1.4545454545454527E-3</v>
      </c>
      <c r="C40" s="16">
        <f>AVERAGE(ReturnData!C40:C50)</f>
        <v>-1.8627272727272728E-2</v>
      </c>
      <c r="D40" s="16">
        <f>AVERAGE(ReturnData!D40:D50)</f>
        <v>-5.5909090909090926E-3</v>
      </c>
      <c r="E40" s="16">
        <f>AVERAGE(ReturnData!E40:E50)</f>
        <v>4.4090909090909085E-3</v>
      </c>
      <c r="F40" s="16">
        <f>AVERAGE(ReturnData!F40:F50)</f>
        <v>-1.716363636363636E-2</v>
      </c>
      <c r="G40" s="16">
        <f>AVERAGE(ReturnData!G40:G50)</f>
        <v>-1.4972727272727275E-2</v>
      </c>
      <c r="H40" s="16">
        <f>AVERAGE(ReturnData!H40:H50)</f>
        <v>5.545454545454547E-4</v>
      </c>
      <c r="I40" s="16">
        <f>AVERAGE(ReturnData!I40:I50)</f>
        <v>-2.7818181818181809E-3</v>
      </c>
      <c r="J40" s="16">
        <f>AVERAGE(ReturnData!J40:J50)</f>
        <v>-1.9427272727272727E-2</v>
      </c>
      <c r="K40" s="16">
        <f>AVERAGE(ReturnData!K40:K50)</f>
        <v>7.1454545454545434E-3</v>
      </c>
      <c r="L40" s="16">
        <f>AVERAGE(ReturnData!L40:L50)</f>
        <v>4.7272727272727174E-4</v>
      </c>
      <c r="M40" s="16">
        <f>AVERAGE(ReturnData!M40:M50)</f>
        <v>-7.2181818181818189E-3</v>
      </c>
      <c r="N40" s="16">
        <f>AVERAGE(ReturnData!N40:N50)</f>
        <v>3.6181818181818173E-3</v>
      </c>
      <c r="O40" s="16">
        <f>AVERAGE(ReturnData!O40:O50)</f>
        <v>4.9454545454545437E-3</v>
      </c>
      <c r="P40" s="16">
        <f>AVERAGE(ReturnData!P40:P50)</f>
        <v>-5.5181818181818205E-3</v>
      </c>
      <c r="Q40" s="16">
        <f>AVERAGE(ReturnData!Q40:Q50)</f>
        <v>1.200000000000001E-3</v>
      </c>
    </row>
    <row r="41" spans="1:17" x14ac:dyDescent="0.25">
      <c r="A41">
        <f>ReturnData!A53</f>
        <v>197804</v>
      </c>
      <c r="B41" s="16">
        <f>AVERAGE(ReturnData!B41:B51)</f>
        <v>-2.9090909090908902E-4</v>
      </c>
      <c r="C41" s="16">
        <f>AVERAGE(ReturnData!C41:C51)</f>
        <v>-2.1863636363636366E-2</v>
      </c>
      <c r="D41" s="16">
        <f>AVERAGE(ReturnData!D41:D51)</f>
        <v>-4.8727272727272734E-3</v>
      </c>
      <c r="E41" s="16">
        <f>AVERAGE(ReturnData!E41:E51)</f>
        <v>6.4545454545454541E-3</v>
      </c>
      <c r="F41" s="16">
        <f>AVERAGE(ReturnData!F41:F51)</f>
        <v>-1.6545454545454544E-2</v>
      </c>
      <c r="G41" s="16">
        <f>AVERAGE(ReturnData!G41:G51)</f>
        <v>-1.8990909090909093E-2</v>
      </c>
      <c r="H41" s="16">
        <f>AVERAGE(ReturnData!H41:H51)</f>
        <v>5.0000000000000109E-4</v>
      </c>
      <c r="I41" s="16">
        <f>AVERAGE(ReturnData!I41:I51)</f>
        <v>-2.7999999999999978E-3</v>
      </c>
      <c r="J41" s="16">
        <f>AVERAGE(ReturnData!J41:J51)</f>
        <v>-2.3418181818181817E-2</v>
      </c>
      <c r="K41" s="16">
        <f>AVERAGE(ReturnData!K41:K51)</f>
        <v>5.1272727272727268E-3</v>
      </c>
      <c r="L41" s="16">
        <f>AVERAGE(ReturnData!L41:L51)</f>
        <v>-3.2272727272727288E-3</v>
      </c>
      <c r="M41" s="16">
        <f>AVERAGE(ReturnData!M41:M51)</f>
        <v>-1.0818181818181838E-3</v>
      </c>
      <c r="N41" s="16">
        <f>AVERAGE(ReturnData!N41:N51)</f>
        <v>3.9363636363636354E-3</v>
      </c>
      <c r="O41" s="16">
        <f>AVERAGE(ReturnData!O41:O51)</f>
        <v>4.4000000000000003E-3</v>
      </c>
      <c r="P41" s="16">
        <f>AVERAGE(ReturnData!P41:P51)</f>
        <v>-3.0545454545454539E-3</v>
      </c>
      <c r="Q41" s="16">
        <f>AVERAGE(ReturnData!Q41:Q51)</f>
        <v>1.7363636363636372E-3</v>
      </c>
    </row>
    <row r="42" spans="1:17" x14ac:dyDescent="0.25">
      <c r="A42">
        <f>ReturnData!A54</f>
        <v>197805</v>
      </c>
      <c r="B42" s="16">
        <f>AVERAGE(ReturnData!B42:B52)</f>
        <v>2.3818181818181833E-3</v>
      </c>
      <c r="C42" s="16">
        <f>AVERAGE(ReturnData!C42:C52)</f>
        <v>-1.7400000000000002E-2</v>
      </c>
      <c r="D42" s="16">
        <f>AVERAGE(ReturnData!D42:D52)</f>
        <v>-5.3181818181818191E-3</v>
      </c>
      <c r="E42" s="16">
        <f>AVERAGE(ReturnData!E42:E52)</f>
        <v>9.5454545454545445E-3</v>
      </c>
      <c r="F42" s="16">
        <f>AVERAGE(ReturnData!F42:F52)</f>
        <v>-1.177272727272727E-2</v>
      </c>
      <c r="G42" s="16">
        <f>AVERAGE(ReturnData!G42:G52)</f>
        <v>-1.4836363636363637E-2</v>
      </c>
      <c r="H42" s="16">
        <f>AVERAGE(ReturnData!H42:H52)</f>
        <v>5.9818181818181819E-3</v>
      </c>
      <c r="I42" s="16">
        <f>AVERAGE(ReturnData!I42:I52)</f>
        <v>1.0909090909091095E-4</v>
      </c>
      <c r="J42" s="16">
        <f>AVERAGE(ReturnData!J42:J52)</f>
        <v>-1.8690909090909088E-2</v>
      </c>
      <c r="K42" s="16">
        <f>AVERAGE(ReturnData!K42:K52)</f>
        <v>5.7999999999999996E-3</v>
      </c>
      <c r="L42" s="16">
        <f>AVERAGE(ReturnData!L42:L52)</f>
        <v>-1.6818181818181836E-3</v>
      </c>
      <c r="M42" s="16">
        <f>AVERAGE(ReturnData!M42:M52)</f>
        <v>2.754545454545454E-3</v>
      </c>
      <c r="N42" s="16">
        <f>AVERAGE(ReturnData!N42:N52)</f>
        <v>6.2999999999999992E-3</v>
      </c>
      <c r="O42" s="16">
        <f>AVERAGE(ReturnData!O42:O52)</f>
        <v>4.8818181818181816E-3</v>
      </c>
      <c r="P42" s="16">
        <f>AVERAGE(ReturnData!P42:P52)</f>
        <v>2.2272727272727266E-3</v>
      </c>
      <c r="Q42" s="16">
        <f>AVERAGE(ReturnData!Q42:Q52)</f>
        <v>4.30909090909091E-3</v>
      </c>
    </row>
    <row r="43" spans="1:17" x14ac:dyDescent="0.25">
      <c r="A43">
        <f>ReturnData!A55</f>
        <v>197806</v>
      </c>
      <c r="B43" s="16">
        <f>AVERAGE(ReturnData!B43:B53)</f>
        <v>8.8818181818181834E-3</v>
      </c>
      <c r="C43" s="16">
        <f>AVERAGE(ReturnData!C43:C53)</f>
        <v>-5.3272727272727282E-3</v>
      </c>
      <c r="D43" s="16">
        <f>AVERAGE(ReturnData!D43:D53)</f>
        <v>1.3999999999999998E-3</v>
      </c>
      <c r="E43" s="16">
        <f>AVERAGE(ReturnData!E43:E53)</f>
        <v>1.9472727272727273E-2</v>
      </c>
      <c r="F43" s="16">
        <f>AVERAGE(ReturnData!F43:F53)</f>
        <v>4.172727272727275E-3</v>
      </c>
      <c r="G43" s="16">
        <f>AVERAGE(ReturnData!G43:G53)</f>
        <v>-1.5363636363636387E-3</v>
      </c>
      <c r="H43" s="16">
        <f>AVERAGE(ReturnData!H43:H53)</f>
        <v>1.6309090909090908E-2</v>
      </c>
      <c r="I43" s="16">
        <f>AVERAGE(ReturnData!I43:I53)</f>
        <v>1.1672727272727274E-2</v>
      </c>
      <c r="J43" s="16">
        <f>AVERAGE(ReturnData!J43:J53)</f>
        <v>-5.3363636363636339E-3</v>
      </c>
      <c r="K43" s="16">
        <f>AVERAGE(ReturnData!K43:K53)</f>
        <v>1.2199999999999999E-2</v>
      </c>
      <c r="L43" s="16">
        <f>AVERAGE(ReturnData!L43:L53)</f>
        <v>1.169090909090909E-2</v>
      </c>
      <c r="M43" s="16">
        <f>AVERAGE(ReturnData!M43:M53)</f>
        <v>1.0245454545454545E-2</v>
      </c>
      <c r="N43" s="16">
        <f>AVERAGE(ReturnData!N43:N53)</f>
        <v>1.4627272727272727E-2</v>
      </c>
      <c r="O43" s="16">
        <f>AVERAGE(ReturnData!O43:O53)</f>
        <v>3.51818181818182E-3</v>
      </c>
      <c r="P43" s="16">
        <f>AVERAGE(ReturnData!P43:P53)</f>
        <v>1.5727272727272725E-2</v>
      </c>
      <c r="Q43" s="16">
        <f>AVERAGE(ReturnData!Q43:Q53)</f>
        <v>1.3945454545454546E-2</v>
      </c>
    </row>
    <row r="44" spans="1:17" x14ac:dyDescent="0.25">
      <c r="A44">
        <f>ReturnData!A56</f>
        <v>197807</v>
      </c>
      <c r="B44" s="16">
        <f>AVERAGE(ReturnData!B44:B54)</f>
        <v>9.2272727272727281E-3</v>
      </c>
      <c r="C44" s="16">
        <f>AVERAGE(ReturnData!C44:C54)</f>
        <v>-4.0363636363636383E-3</v>
      </c>
      <c r="D44" s="16">
        <f>AVERAGE(ReturnData!D44:D54)</f>
        <v>-2.6090909090909073E-3</v>
      </c>
      <c r="E44" s="16">
        <f>AVERAGE(ReturnData!E44:E54)</f>
        <v>1.7109090909090911E-2</v>
      </c>
      <c r="F44" s="16">
        <f>AVERAGE(ReturnData!F44:F54)</f>
        <v>4.3000000000000035E-3</v>
      </c>
      <c r="G44" s="16">
        <f>AVERAGE(ReturnData!G44:G54)</f>
        <v>-1.4272727272727297E-3</v>
      </c>
      <c r="H44" s="16">
        <f>AVERAGE(ReturnData!H44:H54)</f>
        <v>1.3572727272727271E-2</v>
      </c>
      <c r="I44" s="16">
        <f>AVERAGE(ReturnData!I44:I54)</f>
        <v>1.1363636363636364E-2</v>
      </c>
      <c r="J44" s="16">
        <f>AVERAGE(ReturnData!J44:J54)</f>
        <v>-2.2090909090909101E-3</v>
      </c>
      <c r="K44" s="16">
        <f>AVERAGE(ReturnData!K44:K54)</f>
        <v>1.0536363636363634E-2</v>
      </c>
      <c r="L44" s="16">
        <f>AVERAGE(ReturnData!L44:L54)</f>
        <v>8.5454545454545453E-3</v>
      </c>
      <c r="M44" s="16">
        <f>AVERAGE(ReturnData!M44:M54)</f>
        <v>5.0272727272727266E-3</v>
      </c>
      <c r="N44" s="16">
        <f>AVERAGE(ReturnData!N44:N54)</f>
        <v>1.5618181818181816E-2</v>
      </c>
      <c r="O44" s="16">
        <f>AVERAGE(ReturnData!O44:O54)</f>
        <v>-1.0181818181818187E-3</v>
      </c>
      <c r="P44" s="16">
        <f>AVERAGE(ReturnData!P44:P54)</f>
        <v>1.029090909090909E-2</v>
      </c>
      <c r="Q44" s="16">
        <f>AVERAGE(ReturnData!Q44:Q54)</f>
        <v>9.6727272727272755E-3</v>
      </c>
    </row>
    <row r="45" spans="1:17" x14ac:dyDescent="0.25">
      <c r="A45">
        <f>ReturnData!A57</f>
        <v>197808</v>
      </c>
      <c r="B45" s="16">
        <f>AVERAGE(ReturnData!B45:B55)</f>
        <v>7.9727272727272737E-3</v>
      </c>
      <c r="C45" s="16">
        <f>AVERAGE(ReturnData!C45:C55)</f>
        <v>-2.4272727272727263E-3</v>
      </c>
      <c r="D45" s="16">
        <f>AVERAGE(ReturnData!D45:D55)</f>
        <v>-4.3727272727272729E-3</v>
      </c>
      <c r="E45" s="16">
        <f>AVERAGE(ReturnData!E45:E55)</f>
        <v>1.5781818181818182E-2</v>
      </c>
      <c r="F45" s="16">
        <f>AVERAGE(ReturnData!F45:F55)</f>
        <v>3.9000000000000033E-3</v>
      </c>
      <c r="G45" s="16">
        <f>AVERAGE(ReturnData!G45:G55)</f>
        <v>-7.9090909090909179E-4</v>
      </c>
      <c r="H45" s="16">
        <f>AVERAGE(ReturnData!H45:H55)</f>
        <v>1.4545454545454544E-2</v>
      </c>
      <c r="I45" s="16">
        <f>AVERAGE(ReturnData!I45:I55)</f>
        <v>1.2981818181818183E-2</v>
      </c>
      <c r="J45" s="16">
        <f>AVERAGE(ReturnData!J45:J55)</f>
        <v>-1.0909090909090912E-3</v>
      </c>
      <c r="K45" s="16">
        <f>AVERAGE(ReturnData!K45:K55)</f>
        <v>1.3409090909090905E-2</v>
      </c>
      <c r="L45" s="16">
        <f>AVERAGE(ReturnData!L45:L55)</f>
        <v>9.6090909090909091E-3</v>
      </c>
      <c r="M45" s="16">
        <f>AVERAGE(ReturnData!M45:M55)</f>
        <v>4.7181818181818184E-3</v>
      </c>
      <c r="N45" s="16">
        <f>AVERAGE(ReturnData!N45:N55)</f>
        <v>1.8590909090909088E-2</v>
      </c>
      <c r="O45" s="16">
        <f>AVERAGE(ReturnData!O45:O55)</f>
        <v>-1.0454545454545458E-3</v>
      </c>
      <c r="P45" s="16">
        <f>AVERAGE(ReturnData!P45:P55)</f>
        <v>8.1181818181818178E-3</v>
      </c>
      <c r="Q45" s="16">
        <f>AVERAGE(ReturnData!Q45:Q55)</f>
        <v>8.7909090909090923E-3</v>
      </c>
    </row>
    <row r="46" spans="1:17" x14ac:dyDescent="0.25">
      <c r="A46">
        <f>ReturnData!A58</f>
        <v>197809</v>
      </c>
      <c r="B46" s="16">
        <f>AVERAGE(ReturnData!B46:B56)</f>
        <v>1.0372727272727273E-2</v>
      </c>
      <c r="C46" s="16">
        <f>AVERAGE(ReturnData!C46:C56)</f>
        <v>6.4181818181818177E-3</v>
      </c>
      <c r="D46" s="16">
        <f>AVERAGE(ReturnData!D46:D56)</f>
        <v>3.8545454545454551E-3</v>
      </c>
      <c r="E46" s="16">
        <f>AVERAGE(ReturnData!E46:E56)</f>
        <v>1.841818181818182E-2</v>
      </c>
      <c r="F46" s="16">
        <f>AVERAGE(ReturnData!F46:F56)</f>
        <v>1.0572727272727277E-2</v>
      </c>
      <c r="G46" s="16">
        <f>AVERAGE(ReturnData!G46:G56)</f>
        <v>6.9636363636363628E-3</v>
      </c>
      <c r="H46" s="16">
        <f>AVERAGE(ReturnData!H46:H56)</f>
        <v>1.7863636363636363E-2</v>
      </c>
      <c r="I46" s="16">
        <f>AVERAGE(ReturnData!I46:I56)</f>
        <v>2.2072727272727275E-2</v>
      </c>
      <c r="J46" s="16">
        <f>AVERAGE(ReturnData!J46:J56)</f>
        <v>1.1054545454545454E-2</v>
      </c>
      <c r="K46" s="16">
        <f>AVERAGE(ReturnData!K46:K56)</f>
        <v>1.7881818181818179E-2</v>
      </c>
      <c r="L46" s="16">
        <f>AVERAGE(ReturnData!L46:L56)</f>
        <v>1.7063636363636364E-2</v>
      </c>
      <c r="M46" s="16">
        <f>AVERAGE(ReturnData!M46:M56)</f>
        <v>8.5909090909090918E-3</v>
      </c>
      <c r="N46" s="16">
        <f>AVERAGE(ReturnData!N46:N56)</f>
        <v>3.3345454545454546E-2</v>
      </c>
      <c r="O46" s="16">
        <f>AVERAGE(ReturnData!O46:O56)</f>
        <v>4.4636363636363641E-3</v>
      </c>
      <c r="P46" s="16">
        <f>AVERAGE(ReturnData!P46:P56)</f>
        <v>7.9000000000000008E-3</v>
      </c>
      <c r="Q46" s="16">
        <f>AVERAGE(ReturnData!Q46:Q56)</f>
        <v>1.4645454545454547E-2</v>
      </c>
    </row>
    <row r="47" spans="1:17" x14ac:dyDescent="0.25">
      <c r="A47">
        <f>ReturnData!A59</f>
        <v>197810</v>
      </c>
      <c r="B47" s="16">
        <f>AVERAGE(ReturnData!B47:B57)</f>
        <v>1.2836363636363639E-2</v>
      </c>
      <c r="C47" s="16">
        <f>AVERAGE(ReturnData!C47:C57)</f>
        <v>1.1109090909090909E-2</v>
      </c>
      <c r="D47" s="16">
        <f>AVERAGE(ReturnData!D47:D57)</f>
        <v>8.3909090909090895E-3</v>
      </c>
      <c r="E47" s="16">
        <f>AVERAGE(ReturnData!E47:E57)</f>
        <v>2.4081818181818183E-2</v>
      </c>
      <c r="F47" s="16">
        <f>AVERAGE(ReturnData!F47:F57)</f>
        <v>1.4381818181818185E-2</v>
      </c>
      <c r="G47" s="16">
        <f>AVERAGE(ReturnData!G47:G57)</f>
        <v>1.1536363636363635E-2</v>
      </c>
      <c r="H47" s="16">
        <f>AVERAGE(ReturnData!H47:H57)</f>
        <v>1.9618181818181816E-2</v>
      </c>
      <c r="I47" s="16">
        <f>AVERAGE(ReturnData!I47:I57)</f>
        <v>3.1690909090909096E-2</v>
      </c>
      <c r="J47" s="16">
        <f>AVERAGE(ReturnData!J47:J57)</f>
        <v>1.6727272727272726E-2</v>
      </c>
      <c r="K47" s="16">
        <f>AVERAGE(ReturnData!K47:K57)</f>
        <v>2.2527272727272726E-2</v>
      </c>
      <c r="L47" s="16">
        <f>AVERAGE(ReturnData!L47:L57)</f>
        <v>2.2790909090909094E-2</v>
      </c>
      <c r="M47" s="16">
        <f>AVERAGE(ReturnData!M47:M57)</f>
        <v>7.8272727272727279E-3</v>
      </c>
      <c r="N47" s="16">
        <f>AVERAGE(ReturnData!N47:N57)</f>
        <v>3.9372727272727275E-2</v>
      </c>
      <c r="O47" s="16">
        <f>AVERAGE(ReturnData!O47:O57)</f>
        <v>3.0545454545454552E-3</v>
      </c>
      <c r="P47" s="16">
        <f>AVERAGE(ReturnData!P47:P57)</f>
        <v>1.3290909090909091E-2</v>
      </c>
      <c r="Q47" s="16">
        <f>AVERAGE(ReturnData!Q47:Q57)</f>
        <v>1.9727272727272729E-2</v>
      </c>
    </row>
    <row r="48" spans="1:17" x14ac:dyDescent="0.25">
      <c r="A48">
        <f>ReturnData!A60</f>
        <v>197811</v>
      </c>
      <c r="B48" s="16">
        <f>AVERAGE(ReturnData!B48:B58)</f>
        <v>1.6354545454545455E-2</v>
      </c>
      <c r="C48" s="16">
        <f>AVERAGE(ReturnData!C48:C58)</f>
        <v>1.829090909090909E-2</v>
      </c>
      <c r="D48" s="16">
        <f>AVERAGE(ReturnData!D48:D58)</f>
        <v>1.6236363636363636E-2</v>
      </c>
      <c r="E48" s="16">
        <f>AVERAGE(ReturnData!E48:E58)</f>
        <v>2.6836363636363637E-2</v>
      </c>
      <c r="F48" s="16">
        <f>AVERAGE(ReturnData!F48:F58)</f>
        <v>1.8536363636363636E-2</v>
      </c>
      <c r="G48" s="16">
        <f>AVERAGE(ReturnData!G48:G58)</f>
        <v>1.4209090909090909E-2</v>
      </c>
      <c r="H48" s="16">
        <f>AVERAGE(ReturnData!H48:H58)</f>
        <v>2.0445454545454548E-2</v>
      </c>
      <c r="I48" s="16">
        <f>AVERAGE(ReturnData!I48:I58)</f>
        <v>3.1572727272727273E-2</v>
      </c>
      <c r="J48" s="16">
        <f>AVERAGE(ReturnData!J48:J58)</f>
        <v>1.7899999999999999E-2</v>
      </c>
      <c r="K48" s="16">
        <f>AVERAGE(ReturnData!K48:K58)</f>
        <v>2.2245454545454544E-2</v>
      </c>
      <c r="L48" s="16">
        <f>AVERAGE(ReturnData!L48:L58)</f>
        <v>2.2972727272727277E-2</v>
      </c>
      <c r="M48" s="16">
        <f>AVERAGE(ReturnData!M48:M58)</f>
        <v>1.2527272727272727E-2</v>
      </c>
      <c r="N48" s="16">
        <f>AVERAGE(ReturnData!N48:N58)</f>
        <v>3.8318181818181814E-2</v>
      </c>
      <c r="O48" s="16">
        <f>AVERAGE(ReturnData!O48:O58)</f>
        <v>5.6909090909090911E-3</v>
      </c>
      <c r="P48" s="16">
        <f>AVERAGE(ReturnData!P48:P58)</f>
        <v>1.370909090909091E-2</v>
      </c>
      <c r="Q48" s="16">
        <f>AVERAGE(ReturnData!Q48:Q58)</f>
        <v>2.3336363636363641E-2</v>
      </c>
    </row>
    <row r="49" spans="1:17" x14ac:dyDescent="0.25">
      <c r="A49">
        <f>ReturnData!A61</f>
        <v>197812</v>
      </c>
      <c r="B49" s="16">
        <f>AVERAGE(ReturnData!B49:B59)</f>
        <v>3.3272727272727256E-3</v>
      </c>
      <c r="C49" s="16">
        <f>AVERAGE(ReturnData!C49:C59)</f>
        <v>4.3909090909090903E-3</v>
      </c>
      <c r="D49" s="16">
        <f>AVERAGE(ReturnData!D49:D59)</f>
        <v>3.3999999999999989E-3</v>
      </c>
      <c r="E49" s="16">
        <f>AVERAGE(ReturnData!E49:E59)</f>
        <v>4.063636363636363E-3</v>
      </c>
      <c r="F49" s="16">
        <f>AVERAGE(ReturnData!F49:F59)</f>
        <v>7.1545454545454542E-3</v>
      </c>
      <c r="G49" s="16">
        <f>AVERAGE(ReturnData!G49:G59)</f>
        <v>3.0545454545454539E-3</v>
      </c>
      <c r="H49" s="16">
        <f>AVERAGE(ReturnData!H49:H59)</f>
        <v>6.3454545454545482E-3</v>
      </c>
      <c r="I49" s="16">
        <f>AVERAGE(ReturnData!I49:I59)</f>
        <v>9.4727272727272733E-3</v>
      </c>
      <c r="J49" s="16">
        <f>AVERAGE(ReturnData!J49:J59)</f>
        <v>5.681818181818182E-3</v>
      </c>
      <c r="K49" s="16">
        <f>AVERAGE(ReturnData!K49:K59)</f>
        <v>6.3818181818181803E-3</v>
      </c>
      <c r="L49" s="16">
        <f>AVERAGE(ReturnData!L49:L59)</f>
        <v>7.6636363636363647E-3</v>
      </c>
      <c r="M49" s="16">
        <f>AVERAGE(ReturnData!M49:M59)</f>
        <v>1.2363636363636364E-3</v>
      </c>
      <c r="N49" s="16">
        <f>AVERAGE(ReturnData!N49:N59)</f>
        <v>1.6281818181818185E-2</v>
      </c>
      <c r="O49" s="16">
        <f>AVERAGE(ReturnData!O49:O59)</f>
        <v>-4.6272727272727264E-3</v>
      </c>
      <c r="P49" s="16">
        <f>AVERAGE(ReturnData!P49:P59)</f>
        <v>-3.4545454545454549E-3</v>
      </c>
      <c r="Q49" s="16">
        <f>AVERAGE(ReturnData!Q49:Q59)</f>
        <v>7.6272727272727299E-3</v>
      </c>
    </row>
    <row r="50" spans="1:17" x14ac:dyDescent="0.25">
      <c r="A50">
        <f>ReturnData!A62</f>
        <v>197901</v>
      </c>
      <c r="B50" s="16">
        <f>AVERAGE(ReturnData!B50:B60)</f>
        <v>5.0545454545454539E-3</v>
      </c>
      <c r="C50" s="16">
        <f>AVERAGE(ReturnData!C50:C60)</f>
        <v>4.2181818181818162E-3</v>
      </c>
      <c r="D50" s="16">
        <f>AVERAGE(ReturnData!D50:D60)</f>
        <v>6.9454545454545437E-3</v>
      </c>
      <c r="E50" s="16">
        <f>AVERAGE(ReturnData!E50:E60)</f>
        <v>7.4818181818181815E-3</v>
      </c>
      <c r="F50" s="16">
        <f>AVERAGE(ReturnData!F50:F60)</f>
        <v>1.0509090909090911E-2</v>
      </c>
      <c r="G50" s="16">
        <f>AVERAGE(ReturnData!G50:G60)</f>
        <v>2.7363636363636366E-3</v>
      </c>
      <c r="H50" s="16">
        <f>AVERAGE(ReturnData!H50:H60)</f>
        <v>1.0245454545454551E-2</v>
      </c>
      <c r="I50" s="16">
        <f>AVERAGE(ReturnData!I50:I60)</f>
        <v>1.031818181818182E-2</v>
      </c>
      <c r="J50" s="16">
        <f>AVERAGE(ReturnData!J50:J60)</f>
        <v>2.8363636363636364E-3</v>
      </c>
      <c r="K50" s="16">
        <f>AVERAGE(ReturnData!K50:K60)</f>
        <v>8.6181818181818182E-3</v>
      </c>
      <c r="L50" s="16">
        <f>AVERAGE(ReturnData!L50:L60)</f>
        <v>9.4363636363636386E-3</v>
      </c>
      <c r="M50" s="16">
        <f>AVERAGE(ReturnData!M50:M60)</f>
        <v>2.8090909090909087E-3</v>
      </c>
      <c r="N50" s="16">
        <f>AVERAGE(ReturnData!N50:N60)</f>
        <v>2.0518181818181821E-2</v>
      </c>
      <c r="O50" s="16">
        <f>AVERAGE(ReturnData!O50:O60)</f>
        <v>-1.5999999999999999E-3</v>
      </c>
      <c r="P50" s="16">
        <f>AVERAGE(ReturnData!P50:P60)</f>
        <v>2.1818181818181781E-4</v>
      </c>
      <c r="Q50" s="16">
        <f>AVERAGE(ReturnData!Q50:Q60)</f>
        <v>9.3000000000000027E-3</v>
      </c>
    </row>
    <row r="51" spans="1:17" x14ac:dyDescent="0.25">
      <c r="A51">
        <f>ReturnData!A63</f>
        <v>197902</v>
      </c>
      <c r="B51" s="16">
        <f>AVERAGE(ReturnData!B51:B61)</f>
        <v>1.0763636363636362E-2</v>
      </c>
      <c r="C51" s="16">
        <f>AVERAGE(ReturnData!C51:C61)</f>
        <v>1.1899999999999999E-2</v>
      </c>
      <c r="D51" s="16">
        <f>AVERAGE(ReturnData!D51:D61)</f>
        <v>1.61E-2</v>
      </c>
      <c r="E51" s="16">
        <f>AVERAGE(ReturnData!E51:E61)</f>
        <v>1.1381818181818186E-2</v>
      </c>
      <c r="F51" s="16">
        <f>AVERAGE(ReturnData!F51:F61)</f>
        <v>1.724545454545454E-2</v>
      </c>
      <c r="G51" s="16">
        <f>AVERAGE(ReturnData!G51:G61)</f>
        <v>8.4727272727272741E-3</v>
      </c>
      <c r="H51" s="16">
        <f>AVERAGE(ReturnData!H51:H61)</f>
        <v>1.6445454545454544E-2</v>
      </c>
      <c r="I51" s="16">
        <f>AVERAGE(ReturnData!I51:I61)</f>
        <v>1.6972727272727275E-2</v>
      </c>
      <c r="J51" s="16">
        <f>AVERAGE(ReturnData!J51:J61)</f>
        <v>7.1545454545454551E-3</v>
      </c>
      <c r="K51" s="16">
        <f>AVERAGE(ReturnData!K51:K61)</f>
        <v>1.3990909090909089E-2</v>
      </c>
      <c r="L51" s="16">
        <f>AVERAGE(ReturnData!L51:L61)</f>
        <v>1.9454545454545457E-2</v>
      </c>
      <c r="M51" s="16">
        <f>AVERAGE(ReturnData!M51:M61)</f>
        <v>8.6909090909090912E-3</v>
      </c>
      <c r="N51" s="16">
        <f>AVERAGE(ReturnData!N51:N61)</f>
        <v>2.4381818181818182E-2</v>
      </c>
      <c r="O51" s="16">
        <f>AVERAGE(ReturnData!O51:O61)</f>
        <v>1.4000000000000002E-3</v>
      </c>
      <c r="P51" s="16">
        <f>AVERAGE(ReturnData!P51:P61)</f>
        <v>5.6090909090909073E-3</v>
      </c>
      <c r="Q51" s="16">
        <f>AVERAGE(ReturnData!Q51:Q61)</f>
        <v>1.604545454545455E-2</v>
      </c>
    </row>
    <row r="52" spans="1:17" x14ac:dyDescent="0.25">
      <c r="A52">
        <f>ReturnData!A64</f>
        <v>197903</v>
      </c>
      <c r="B52" s="16">
        <f>AVERAGE(ReturnData!B52:B62)</f>
        <v>1.3827272727272726E-2</v>
      </c>
      <c r="C52" s="16">
        <f>AVERAGE(ReturnData!C52:C62)</f>
        <v>2.2454545454545453E-2</v>
      </c>
      <c r="D52" s="16">
        <f>AVERAGE(ReturnData!D52:D62)</f>
        <v>1.9854545454545458E-2</v>
      </c>
      <c r="E52" s="16">
        <f>AVERAGE(ReturnData!E52:E62)</f>
        <v>1.9063636363636362E-2</v>
      </c>
      <c r="F52" s="16">
        <f>AVERAGE(ReturnData!F52:F62)</f>
        <v>2.4318181818181815E-2</v>
      </c>
      <c r="G52" s="16">
        <f>AVERAGE(ReturnData!G52:G62)</f>
        <v>1.8763636363636361E-2</v>
      </c>
      <c r="H52" s="16">
        <f>AVERAGE(ReturnData!H52:H62)</f>
        <v>1.9390909090909094E-2</v>
      </c>
      <c r="I52" s="16">
        <f>AVERAGE(ReturnData!I52:I62)</f>
        <v>2.4872727272727272E-2</v>
      </c>
      <c r="J52" s="16">
        <f>AVERAGE(ReturnData!J52:J62)</f>
        <v>2.288181818181818E-2</v>
      </c>
      <c r="K52" s="16">
        <f>AVERAGE(ReturnData!K52:K62)</f>
        <v>1.9827272727272725E-2</v>
      </c>
      <c r="L52" s="16">
        <f>AVERAGE(ReturnData!L52:L62)</f>
        <v>2.6163636363636365E-2</v>
      </c>
      <c r="M52" s="16">
        <f>AVERAGE(ReturnData!M52:M62)</f>
        <v>1.1654545454545452E-2</v>
      </c>
      <c r="N52" s="16">
        <f>AVERAGE(ReturnData!N52:N62)</f>
        <v>2.8263636363636366E-2</v>
      </c>
      <c r="O52" s="16">
        <f>AVERAGE(ReturnData!O52:O62)</f>
        <v>7.5545454545454553E-3</v>
      </c>
      <c r="P52" s="16">
        <f>AVERAGE(ReturnData!P52:P62)</f>
        <v>1.1436363636363639E-2</v>
      </c>
      <c r="Q52" s="16">
        <f>AVERAGE(ReturnData!Q52:Q62)</f>
        <v>2.0809090909090912E-2</v>
      </c>
    </row>
    <row r="53" spans="1:17" x14ac:dyDescent="0.25">
      <c r="A53">
        <f>ReturnData!A65</f>
        <v>197904</v>
      </c>
      <c r="B53" s="16">
        <f>AVERAGE(ReturnData!B53:B63)</f>
        <v>7.7909090909090879E-3</v>
      </c>
      <c r="C53" s="16">
        <f>AVERAGE(ReturnData!C53:C63)</f>
        <v>2.1372727272727269E-2</v>
      </c>
      <c r="D53" s="16">
        <f>AVERAGE(ReturnData!D53:D63)</f>
        <v>1.8463636363636363E-2</v>
      </c>
      <c r="E53" s="16">
        <f>AVERAGE(ReturnData!E53:E63)</f>
        <v>1.2227272727272727E-2</v>
      </c>
      <c r="F53" s="16">
        <f>AVERAGE(ReturnData!F53:F63)</f>
        <v>1.6372727272727268E-2</v>
      </c>
      <c r="G53" s="16">
        <f>AVERAGE(ReturnData!G53:G63)</f>
        <v>1.3027272727272731E-2</v>
      </c>
      <c r="H53" s="16">
        <f>AVERAGE(ReturnData!H53:H63)</f>
        <v>1.2609090909090914E-2</v>
      </c>
      <c r="I53" s="16">
        <f>AVERAGE(ReturnData!I53:I63)</f>
        <v>1.7254545454545456E-2</v>
      </c>
      <c r="J53" s="16">
        <f>AVERAGE(ReturnData!J53:J63)</f>
        <v>1.3954545454545452E-2</v>
      </c>
      <c r="K53" s="16">
        <f>AVERAGE(ReturnData!K53:K63)</f>
        <v>9.6727272727272755E-3</v>
      </c>
      <c r="L53" s="16">
        <f>AVERAGE(ReturnData!L53:L63)</f>
        <v>2.348181818181818E-2</v>
      </c>
      <c r="M53" s="16">
        <f>AVERAGE(ReturnData!M53:M63)</f>
        <v>2.3909090909090898E-3</v>
      </c>
      <c r="N53" s="16">
        <f>AVERAGE(ReturnData!N53:N63)</f>
        <v>1.4490909090909098E-2</v>
      </c>
      <c r="O53" s="16">
        <f>AVERAGE(ReturnData!O53:O63)</f>
        <v>3.8272727272727282E-3</v>
      </c>
      <c r="P53" s="16">
        <f>AVERAGE(ReturnData!P53:P63)</f>
        <v>5.0000000000000027E-3</v>
      </c>
      <c r="Q53" s="16">
        <f>AVERAGE(ReturnData!Q53:Q63)</f>
        <v>1.3054545454545452E-2</v>
      </c>
    </row>
    <row r="54" spans="1:17" x14ac:dyDescent="0.25">
      <c r="A54">
        <f>ReturnData!A66</f>
        <v>197905</v>
      </c>
      <c r="B54" s="16">
        <f>AVERAGE(ReturnData!B54:B64)</f>
        <v>4.7090909090909084E-3</v>
      </c>
      <c r="C54" s="16">
        <f>AVERAGE(ReturnData!C54:C64)</f>
        <v>2.5727272727272724E-2</v>
      </c>
      <c r="D54" s="16">
        <f>AVERAGE(ReturnData!D54:D64)</f>
        <v>2.0490909090909091E-2</v>
      </c>
      <c r="E54" s="16">
        <f>AVERAGE(ReturnData!E54:E64)</f>
        <v>1.4436363636363636E-2</v>
      </c>
      <c r="F54" s="16">
        <f>AVERAGE(ReturnData!F54:F64)</f>
        <v>9.7090909090909103E-3</v>
      </c>
      <c r="G54" s="16">
        <f>AVERAGE(ReturnData!G54:G64)</f>
        <v>1.1909090909090909E-2</v>
      </c>
      <c r="H54" s="16">
        <f>AVERAGE(ReturnData!H54:H64)</f>
        <v>7.4909090909090932E-3</v>
      </c>
      <c r="I54" s="16">
        <f>AVERAGE(ReturnData!I54:I64)</f>
        <v>1.6127272727272726E-2</v>
      </c>
      <c r="J54" s="16">
        <f>AVERAGE(ReturnData!J54:J64)</f>
        <v>1.4181818181818184E-2</v>
      </c>
      <c r="K54" s="16">
        <f>AVERAGE(ReturnData!K54:K64)</f>
        <v>8.6909090909090929E-3</v>
      </c>
      <c r="L54" s="16">
        <f>AVERAGE(ReturnData!L54:L64)</f>
        <v>1.8290909090909094E-2</v>
      </c>
      <c r="M54" s="16">
        <f>AVERAGE(ReturnData!M54:M64)</f>
        <v>1.0454545454545445E-3</v>
      </c>
      <c r="N54" s="16">
        <f>AVERAGE(ReturnData!N54:N64)</f>
        <v>1.2699999999999999E-2</v>
      </c>
      <c r="O54" s="16">
        <f>AVERAGE(ReturnData!O54:O64)</f>
        <v>5.7818181818181831E-3</v>
      </c>
      <c r="P54" s="16">
        <f>AVERAGE(ReturnData!P54:P64)</f>
        <v>-1.9090909090909071E-4</v>
      </c>
      <c r="Q54" s="16">
        <f>AVERAGE(ReturnData!Q54:Q64)</f>
        <v>1.0699999999999999E-2</v>
      </c>
    </row>
    <row r="55" spans="1:17" x14ac:dyDescent="0.25">
      <c r="A55">
        <f>ReturnData!A67</f>
        <v>197906</v>
      </c>
      <c r="B55" s="16">
        <f>AVERAGE(ReturnData!B55:B65)</f>
        <v>6.0909090909090733E-4</v>
      </c>
      <c r="C55" s="16">
        <f>AVERAGE(ReturnData!C55:C65)</f>
        <v>2.07E-2</v>
      </c>
      <c r="D55" s="16">
        <f>AVERAGE(ReturnData!D55:D65)</f>
        <v>2.3363636363636364E-2</v>
      </c>
      <c r="E55" s="16">
        <f>AVERAGE(ReturnData!E55:E65)</f>
        <v>1.1563636363636361E-2</v>
      </c>
      <c r="F55" s="16">
        <f>AVERAGE(ReturnData!F55:F65)</f>
        <v>6.2818181818181809E-3</v>
      </c>
      <c r="G55" s="16">
        <f>AVERAGE(ReturnData!G55:G65)</f>
        <v>9.9545454545454572E-3</v>
      </c>
      <c r="H55" s="16">
        <f>AVERAGE(ReturnData!H55:H65)</f>
        <v>3.8272727272727278E-3</v>
      </c>
      <c r="I55" s="16">
        <f>AVERAGE(ReturnData!I55:I65)</f>
        <v>1.4963636363636366E-2</v>
      </c>
      <c r="J55" s="16">
        <f>AVERAGE(ReturnData!J55:J65)</f>
        <v>1.0445454545454548E-2</v>
      </c>
      <c r="K55" s="16">
        <f>AVERAGE(ReturnData!K55:K65)</f>
        <v>7.8000000000000005E-3</v>
      </c>
      <c r="L55" s="16">
        <f>AVERAGE(ReturnData!L55:L65)</f>
        <v>1.5772727272727275E-2</v>
      </c>
      <c r="M55" s="16">
        <f>AVERAGE(ReturnData!M55:M65)</f>
        <v>4.4090909090909076E-3</v>
      </c>
      <c r="N55" s="16">
        <f>AVERAGE(ReturnData!N55:N65)</f>
        <v>7.4363636363636403E-3</v>
      </c>
      <c r="O55" s="16">
        <f>AVERAGE(ReturnData!O55:O65)</f>
        <v>2.6454545454545463E-3</v>
      </c>
      <c r="P55" s="16">
        <f>AVERAGE(ReturnData!P55:P65)</f>
        <v>3.9090909090909231E-4</v>
      </c>
      <c r="Q55" s="16">
        <f>AVERAGE(ReturnData!Q55:Q65)</f>
        <v>1.0863636363636364E-2</v>
      </c>
    </row>
    <row r="56" spans="1:17" x14ac:dyDescent="0.25">
      <c r="A56">
        <f>ReturnData!A68</f>
        <v>197907</v>
      </c>
      <c r="B56" s="16">
        <f>AVERAGE(ReturnData!B56:B66)</f>
        <v>-1.4181818181818193E-3</v>
      </c>
      <c r="C56" s="16">
        <f>AVERAGE(ReturnData!C56:C66)</f>
        <v>2.6454545454545453E-2</v>
      </c>
      <c r="D56" s="16">
        <f>AVERAGE(ReturnData!D56:D66)</f>
        <v>2.47E-2</v>
      </c>
      <c r="E56" s="16">
        <f>AVERAGE(ReturnData!E56:E66)</f>
        <v>1.3309090909090908E-2</v>
      </c>
      <c r="F56" s="16">
        <f>AVERAGE(ReturnData!F56:F66)</f>
        <v>6.6E-3</v>
      </c>
      <c r="G56" s="16">
        <f>AVERAGE(ReturnData!G56:G66)</f>
        <v>9.6090909090909143E-3</v>
      </c>
      <c r="H56" s="16">
        <f>AVERAGE(ReturnData!H56:H66)</f>
        <v>7.2727272727272734E-4</v>
      </c>
      <c r="I56" s="16">
        <f>AVERAGE(ReturnData!I56:I66)</f>
        <v>1.470909090909091E-2</v>
      </c>
      <c r="J56" s="16">
        <f>AVERAGE(ReturnData!J56:J66)</f>
        <v>1.370909090909091E-2</v>
      </c>
      <c r="K56" s="16">
        <f>AVERAGE(ReturnData!K56:K66)</f>
        <v>7.7727272727272732E-3</v>
      </c>
      <c r="L56" s="16">
        <f>AVERAGE(ReturnData!L56:L66)</f>
        <v>1.4718181818181819E-2</v>
      </c>
      <c r="M56" s="16">
        <f>AVERAGE(ReturnData!M56:M66)</f>
        <v>6.0999999999999978E-3</v>
      </c>
      <c r="N56" s="16">
        <f>AVERAGE(ReturnData!N56:N66)</f>
        <v>4.6727272727272754E-3</v>
      </c>
      <c r="O56" s="16">
        <f>AVERAGE(ReturnData!O56:O66)</f>
        <v>3.1818181818181819E-3</v>
      </c>
      <c r="P56" s="16">
        <f>AVERAGE(ReturnData!P56:P66)</f>
        <v>-9.0909090909090351E-6</v>
      </c>
      <c r="Q56" s="16">
        <f>AVERAGE(ReturnData!Q56:Q66)</f>
        <v>1.1481818181818182E-2</v>
      </c>
    </row>
    <row r="57" spans="1:17" x14ac:dyDescent="0.25">
      <c r="A57">
        <f>ReturnData!A69</f>
        <v>197908</v>
      </c>
      <c r="B57" s="16">
        <f>AVERAGE(ReturnData!B57:B67)</f>
        <v>-6.5454545454545496E-4</v>
      </c>
      <c r="C57" s="16">
        <f>AVERAGE(ReturnData!C57:C67)</f>
        <v>2.8172727272727269E-2</v>
      </c>
      <c r="D57" s="16">
        <f>AVERAGE(ReturnData!D57:D67)</f>
        <v>3.0145454545454545E-2</v>
      </c>
      <c r="E57" s="16">
        <f>AVERAGE(ReturnData!E57:E67)</f>
        <v>1.2736363636363636E-2</v>
      </c>
      <c r="F57" s="16">
        <f>AVERAGE(ReturnData!F57:F67)</f>
        <v>6.3636363636363391E-4</v>
      </c>
      <c r="G57" s="16">
        <f>AVERAGE(ReturnData!G57:G67)</f>
        <v>8.0727272727272748E-3</v>
      </c>
      <c r="H57" s="16">
        <f>AVERAGE(ReturnData!H57:H67)</f>
        <v>-2.7636363636363635E-3</v>
      </c>
      <c r="I57" s="16">
        <f>AVERAGE(ReturnData!I57:I67)</f>
        <v>1.1399999999999999E-2</v>
      </c>
      <c r="J57" s="16">
        <f>AVERAGE(ReturnData!J57:J67)</f>
        <v>8.2727272727272753E-3</v>
      </c>
      <c r="K57" s="16">
        <f>AVERAGE(ReturnData!K57:K67)</f>
        <v>7.3636363636363647E-3</v>
      </c>
      <c r="L57" s="16">
        <f>AVERAGE(ReturnData!L57:L67)</f>
        <v>9.0000000000000011E-3</v>
      </c>
      <c r="M57" s="16">
        <f>AVERAGE(ReturnData!M57:M67)</f>
        <v>4.9363636363636354E-3</v>
      </c>
      <c r="N57" s="16">
        <f>AVERAGE(ReturnData!N57:N67)</f>
        <v>-3.2727272727272718E-3</v>
      </c>
      <c r="O57" s="16">
        <f>AVERAGE(ReturnData!O57:O67)</f>
        <v>5.1272727272727268E-3</v>
      </c>
      <c r="P57" s="16">
        <f>AVERAGE(ReturnData!P57:P67)</f>
        <v>-2.3909090909090902E-3</v>
      </c>
      <c r="Q57" s="16">
        <f>AVERAGE(ReturnData!Q57:Q67)</f>
        <v>1.469090909090909E-2</v>
      </c>
    </row>
    <row r="58" spans="1:17" x14ac:dyDescent="0.25">
      <c r="A58">
        <f>ReturnData!A70</f>
        <v>197909</v>
      </c>
      <c r="B58" s="16">
        <f>AVERAGE(ReturnData!B58:B68)</f>
        <v>-2.8363636363636369E-3</v>
      </c>
      <c r="C58" s="16">
        <f>AVERAGE(ReturnData!C58:C68)</f>
        <v>2.5809090909090907E-2</v>
      </c>
      <c r="D58" s="16">
        <f>AVERAGE(ReturnData!D58:D68)</f>
        <v>2.6445454545454546E-2</v>
      </c>
      <c r="E58" s="16">
        <f>AVERAGE(ReturnData!E58:E68)</f>
        <v>7.1090909090909061E-3</v>
      </c>
      <c r="F58" s="16">
        <f>AVERAGE(ReturnData!F58:F68)</f>
        <v>-1.7090909090909121E-3</v>
      </c>
      <c r="G58" s="16">
        <f>AVERAGE(ReturnData!G58:G68)</f>
        <v>7.2818181818181818E-3</v>
      </c>
      <c r="H58" s="16">
        <f>AVERAGE(ReturnData!H58:H68)</f>
        <v>-2.9818181818181827E-3</v>
      </c>
      <c r="I58" s="16">
        <f>AVERAGE(ReturnData!I58:I68)</f>
        <v>5.4363636363636367E-3</v>
      </c>
      <c r="J58" s="16">
        <f>AVERAGE(ReturnData!J58:J68)</f>
        <v>1.1881818181818183E-2</v>
      </c>
      <c r="K58" s="16">
        <f>AVERAGE(ReturnData!K58:K68)</f>
        <v>7.090909090909093E-3</v>
      </c>
      <c r="L58" s="16">
        <f>AVERAGE(ReturnData!L58:L68)</f>
        <v>3.7363636363636366E-3</v>
      </c>
      <c r="M58" s="16">
        <f>AVERAGE(ReturnData!M58:M68)</f>
        <v>3.3636363636363616E-3</v>
      </c>
      <c r="N58" s="16">
        <f>AVERAGE(ReturnData!N58:N68)</f>
        <v>-2.0454545454545434E-3</v>
      </c>
      <c r="O58" s="16">
        <f>AVERAGE(ReturnData!O58:O68)</f>
        <v>6.6E-3</v>
      </c>
      <c r="P58" s="16">
        <f>AVERAGE(ReturnData!P58:P68)</f>
        <v>-6.1000000000000004E-3</v>
      </c>
      <c r="Q58" s="16">
        <f>AVERAGE(ReturnData!Q58:Q68)</f>
        <v>1.259090909090909E-2</v>
      </c>
    </row>
    <row r="59" spans="1:17" x14ac:dyDescent="0.25">
      <c r="A59">
        <f>ReturnData!A71</f>
        <v>197910</v>
      </c>
      <c r="B59" s="16">
        <f>AVERAGE(ReturnData!B59:B69)</f>
        <v>4.3545454545454547E-3</v>
      </c>
      <c r="C59" s="16">
        <f>AVERAGE(ReturnData!C59:C69)</f>
        <v>3.0727272727272728E-2</v>
      </c>
      <c r="D59" s="16">
        <f>AVERAGE(ReturnData!D59:D69)</f>
        <v>2.9363636363636359E-2</v>
      </c>
      <c r="E59" s="16">
        <f>AVERAGE(ReturnData!E59:E69)</f>
        <v>1.3027272727272726E-2</v>
      </c>
      <c r="F59" s="16">
        <f>AVERAGE(ReturnData!F59:F69)</f>
        <v>6.0181818181818166E-3</v>
      </c>
      <c r="G59" s="16">
        <f>AVERAGE(ReturnData!G59:G69)</f>
        <v>1.3563636363636363E-2</v>
      </c>
      <c r="H59" s="16">
        <f>AVERAGE(ReturnData!H59:H69)</f>
        <v>7.1272727272727269E-3</v>
      </c>
      <c r="I59" s="16">
        <f>AVERAGE(ReturnData!I59:I69)</f>
        <v>1.6463636363636361E-2</v>
      </c>
      <c r="J59" s="16">
        <f>AVERAGE(ReturnData!J59:J69)</f>
        <v>1.7254545454545456E-2</v>
      </c>
      <c r="K59" s="16">
        <f>AVERAGE(ReturnData!K59:K69)</f>
        <v>1.7754545454545457E-2</v>
      </c>
      <c r="L59" s="16">
        <f>AVERAGE(ReturnData!L59:L69)</f>
        <v>1.2081818181818183E-2</v>
      </c>
      <c r="M59" s="16">
        <f>AVERAGE(ReturnData!M59:M69)</f>
        <v>7.9363636363636355E-3</v>
      </c>
      <c r="N59" s="16">
        <f>AVERAGE(ReturnData!N59:N69)</f>
        <v>1.0763636363636364E-2</v>
      </c>
      <c r="O59" s="16">
        <f>AVERAGE(ReturnData!O59:O69)</f>
        <v>8.6727272727272729E-3</v>
      </c>
      <c r="P59" s="16">
        <f>AVERAGE(ReturnData!P59:P69)</f>
        <v>4.7090909090909076E-3</v>
      </c>
      <c r="Q59" s="16">
        <f>AVERAGE(ReturnData!Q59:Q69)</f>
        <v>1.7972727272727272E-2</v>
      </c>
    </row>
    <row r="60" spans="1:17" x14ac:dyDescent="0.25">
      <c r="A60">
        <f>ReturnData!A72</f>
        <v>197911</v>
      </c>
      <c r="B60" s="16">
        <f>AVERAGE(ReturnData!B60:B70)</f>
        <v>1.2545454545454542E-2</v>
      </c>
      <c r="C60" s="16">
        <f>AVERAGE(ReturnData!C60:C70)</f>
        <v>4.8118181818181831E-2</v>
      </c>
      <c r="D60" s="16">
        <f>AVERAGE(ReturnData!D60:D70)</f>
        <v>4.4600000000000001E-2</v>
      </c>
      <c r="E60" s="16">
        <f>AVERAGE(ReturnData!E60:E70)</f>
        <v>2.697272727272727E-2</v>
      </c>
      <c r="F60" s="16">
        <f>AVERAGE(ReturnData!F60:F70)</f>
        <v>1.26E-2</v>
      </c>
      <c r="G60" s="16">
        <f>AVERAGE(ReturnData!G60:G70)</f>
        <v>2.4618181818181817E-2</v>
      </c>
      <c r="H60" s="16">
        <f>AVERAGE(ReturnData!H60:H70)</f>
        <v>1.4918181818181818E-2</v>
      </c>
      <c r="I60" s="16">
        <f>AVERAGE(ReturnData!I60:I70)</f>
        <v>3.1518181818181827E-2</v>
      </c>
      <c r="J60" s="16">
        <f>AVERAGE(ReturnData!J60:J70)</f>
        <v>3.0399999999999996E-2</v>
      </c>
      <c r="K60" s="16">
        <f>AVERAGE(ReturnData!K60:K70)</f>
        <v>2.8609090909090914E-2</v>
      </c>
      <c r="L60" s="16">
        <f>AVERAGE(ReturnData!L60:L70)</f>
        <v>2.0972727272727275E-2</v>
      </c>
      <c r="M60" s="16">
        <f>AVERAGE(ReturnData!M60:M70)</f>
        <v>1.9854545454545455E-2</v>
      </c>
      <c r="N60" s="16">
        <f>AVERAGE(ReturnData!N60:N70)</f>
        <v>2.4263636363636362E-2</v>
      </c>
      <c r="O60" s="16">
        <f>AVERAGE(ReturnData!O60:O70)</f>
        <v>1.3127272727272727E-2</v>
      </c>
      <c r="P60" s="16">
        <f>AVERAGE(ReturnData!P60:P70)</f>
        <v>1.5418181818181819E-2</v>
      </c>
      <c r="Q60" s="16">
        <f>AVERAGE(ReturnData!Q60:Q70)</f>
        <v>2.7327272727272731E-2</v>
      </c>
    </row>
    <row r="61" spans="1:17" x14ac:dyDescent="0.25">
      <c r="A61">
        <f>ReturnData!A73</f>
        <v>197912</v>
      </c>
      <c r="B61" s="16">
        <f>AVERAGE(ReturnData!B61:B71)</f>
        <v>3.2363636363636357E-3</v>
      </c>
      <c r="C61" s="16">
        <f>AVERAGE(ReturnData!C61:C71)</f>
        <v>3.6854545454545466E-2</v>
      </c>
      <c r="D61" s="16">
        <f>AVERAGE(ReturnData!D61:D71)</f>
        <v>3.73E-2</v>
      </c>
      <c r="E61" s="16">
        <f>AVERAGE(ReturnData!E61:E71)</f>
        <v>1.5227272727272728E-2</v>
      </c>
      <c r="F61" s="16">
        <f>AVERAGE(ReturnData!F61:F71)</f>
        <v>2.9999999999999988E-3</v>
      </c>
      <c r="G61" s="16">
        <f>AVERAGE(ReturnData!G61:G71)</f>
        <v>1.6445454545454544E-2</v>
      </c>
      <c r="H61" s="16">
        <f>AVERAGE(ReturnData!H61:H71)</f>
        <v>7.0090909090909084E-3</v>
      </c>
      <c r="I61" s="16">
        <f>AVERAGE(ReturnData!I61:I71)</f>
        <v>2.0936363636363642E-2</v>
      </c>
      <c r="J61" s="16">
        <f>AVERAGE(ReturnData!J61:J71)</f>
        <v>1.8681818181818185E-2</v>
      </c>
      <c r="K61" s="16">
        <f>AVERAGE(ReturnData!K61:K71)</f>
        <v>1.9663636363636369E-2</v>
      </c>
      <c r="L61" s="16">
        <f>AVERAGE(ReturnData!L61:L71)</f>
        <v>9.8181818181818196E-3</v>
      </c>
      <c r="M61" s="16">
        <f>AVERAGE(ReturnData!M61:M71)</f>
        <v>9.1545454545454551E-3</v>
      </c>
      <c r="N61" s="16">
        <f>AVERAGE(ReturnData!N61:N71)</f>
        <v>9.9363636363636373E-3</v>
      </c>
      <c r="O61" s="16">
        <f>AVERAGE(ReturnData!O61:O71)</f>
        <v>5.1272727272727277E-3</v>
      </c>
      <c r="P61" s="16">
        <f>AVERAGE(ReturnData!P61:P71)</f>
        <v>5.5181818181818188E-3</v>
      </c>
      <c r="Q61" s="16">
        <f>AVERAGE(ReturnData!Q61:Q71)</f>
        <v>1.6572727272727274E-2</v>
      </c>
    </row>
    <row r="62" spans="1:17" x14ac:dyDescent="0.25">
      <c r="A62">
        <f>ReturnData!A74</f>
        <v>198001</v>
      </c>
      <c r="B62" s="16">
        <f>AVERAGE(ReturnData!B62:B72)</f>
        <v>6.6818181818181803E-3</v>
      </c>
      <c r="C62" s="16">
        <f>AVERAGE(ReturnData!C62:C72)</f>
        <v>4.4481818181818185E-2</v>
      </c>
      <c r="D62" s="16">
        <f>AVERAGE(ReturnData!D62:D72)</f>
        <v>4.2581818181818186E-2</v>
      </c>
      <c r="E62" s="16">
        <f>AVERAGE(ReturnData!E62:E72)</f>
        <v>2.0518181818181814E-2</v>
      </c>
      <c r="F62" s="16">
        <f>AVERAGE(ReturnData!F62:F72)</f>
        <v>3.5272727272727279E-3</v>
      </c>
      <c r="G62" s="16">
        <f>AVERAGE(ReturnData!G62:G72)</f>
        <v>2.2063636363636365E-2</v>
      </c>
      <c r="H62" s="16">
        <f>AVERAGE(ReturnData!H62:H72)</f>
        <v>9.8545454545454544E-3</v>
      </c>
      <c r="I62" s="16">
        <f>AVERAGE(ReturnData!I62:I72)</f>
        <v>2.5763636363636364E-2</v>
      </c>
      <c r="J62" s="16">
        <f>AVERAGE(ReturnData!J62:J72)</f>
        <v>1.9181818181818182E-2</v>
      </c>
      <c r="K62" s="16">
        <f>AVERAGE(ReturnData!K62:K72)</f>
        <v>2.3327272727272728E-2</v>
      </c>
      <c r="L62" s="16">
        <f>AVERAGE(ReturnData!L62:L72)</f>
        <v>1.1263636363636366E-2</v>
      </c>
      <c r="M62" s="16">
        <f>AVERAGE(ReturnData!M62:M72)</f>
        <v>6.3818181818181829E-3</v>
      </c>
      <c r="N62" s="16">
        <f>AVERAGE(ReturnData!N62:N72)</f>
        <v>1.7645454545454548E-2</v>
      </c>
      <c r="O62" s="16">
        <f>AVERAGE(ReturnData!O62:O72)</f>
        <v>1.3281818181818183E-2</v>
      </c>
      <c r="P62" s="16">
        <f>AVERAGE(ReturnData!P62:P72)</f>
        <v>8.9454545454545464E-3</v>
      </c>
      <c r="Q62" s="16">
        <f>AVERAGE(ReturnData!Q62:Q72)</f>
        <v>2.1072727272727274E-2</v>
      </c>
    </row>
    <row r="63" spans="1:17" x14ac:dyDescent="0.25">
      <c r="A63">
        <f>ReturnData!A75</f>
        <v>198002</v>
      </c>
      <c r="B63" s="16">
        <f>AVERAGE(ReturnData!B63:B73)</f>
        <v>5.7909090909090905E-3</v>
      </c>
      <c r="C63" s="16">
        <f>AVERAGE(ReturnData!C63:C73)</f>
        <v>5.0827272727272721E-2</v>
      </c>
      <c r="D63" s="16">
        <f>AVERAGE(ReturnData!D63:D73)</f>
        <v>4.237272727272727E-2</v>
      </c>
      <c r="E63" s="16">
        <f>AVERAGE(ReturnData!E63:E73)</f>
        <v>1.7272727272727273E-2</v>
      </c>
      <c r="F63" s="16">
        <f>AVERAGE(ReturnData!F63:F73)</f>
        <v>3.0727272727272725E-3</v>
      </c>
      <c r="G63" s="16">
        <f>AVERAGE(ReturnData!G63:G73)</f>
        <v>2.123636363636364E-2</v>
      </c>
      <c r="H63" s="16">
        <f>AVERAGE(ReturnData!H63:H73)</f>
        <v>1.0181818181818181E-2</v>
      </c>
      <c r="I63" s="16">
        <f>AVERAGE(ReturnData!I63:I73)</f>
        <v>2.1890909090909089E-2</v>
      </c>
      <c r="J63" s="16">
        <f>AVERAGE(ReturnData!J63:J73)</f>
        <v>1.4390909090909095E-2</v>
      </c>
      <c r="K63" s="16">
        <f>AVERAGE(ReturnData!K63:K73)</f>
        <v>2.2636363636363642E-2</v>
      </c>
      <c r="L63" s="16">
        <f>AVERAGE(ReturnData!L63:L73)</f>
        <v>9.4909090909090915E-3</v>
      </c>
      <c r="M63" s="16">
        <f>AVERAGE(ReturnData!M63:M73)</f>
        <v>2.6272727272727277E-3</v>
      </c>
      <c r="N63" s="16">
        <f>AVERAGE(ReturnData!N63:N73)</f>
        <v>1.9236363636363638E-2</v>
      </c>
      <c r="O63" s="16">
        <f>AVERAGE(ReturnData!O63:O73)</f>
        <v>6.6E-3</v>
      </c>
      <c r="P63" s="16">
        <f>AVERAGE(ReturnData!P63:P73)</f>
        <v>5.1181818181818177E-3</v>
      </c>
      <c r="Q63" s="16">
        <f>AVERAGE(ReturnData!Q63:Q73)</f>
        <v>1.7854545454545456E-2</v>
      </c>
    </row>
    <row r="64" spans="1:17" x14ac:dyDescent="0.25">
      <c r="A64">
        <f>ReturnData!A76</f>
        <v>198003</v>
      </c>
      <c r="B64" s="16">
        <f>AVERAGE(ReturnData!B64:B74)</f>
        <v>1.2845454545454544E-2</v>
      </c>
      <c r="C64" s="16">
        <f>AVERAGE(ReturnData!C64:C74)</f>
        <v>6.1690909090909081E-2</v>
      </c>
      <c r="D64" s="16">
        <f>AVERAGE(ReturnData!D64:D74)</f>
        <v>5.4318181818181821E-2</v>
      </c>
      <c r="E64" s="16">
        <f>AVERAGE(ReturnData!E64:E74)</f>
        <v>2.1490909090909092E-2</v>
      </c>
      <c r="F64" s="16">
        <f>AVERAGE(ReturnData!F64:F74)</f>
        <v>1.1490909090909092E-2</v>
      </c>
      <c r="G64" s="16">
        <f>AVERAGE(ReturnData!G64:G74)</f>
        <v>2.6936363636363637E-2</v>
      </c>
      <c r="H64" s="16">
        <f>AVERAGE(ReturnData!H64:H74)</f>
        <v>1.2063636363636365E-2</v>
      </c>
      <c r="I64" s="16">
        <f>AVERAGE(ReturnData!I64:I74)</f>
        <v>3.2490909090909091E-2</v>
      </c>
      <c r="J64" s="16">
        <f>AVERAGE(ReturnData!J64:J74)</f>
        <v>3.3718181818181821E-2</v>
      </c>
      <c r="K64" s="16">
        <f>AVERAGE(ReturnData!K64:K74)</f>
        <v>3.4054545454545455E-2</v>
      </c>
      <c r="L64" s="16">
        <f>AVERAGE(ReturnData!L64:L74)</f>
        <v>1.9436363636363637E-2</v>
      </c>
      <c r="M64" s="16">
        <f>AVERAGE(ReturnData!M64:M74)</f>
        <v>1.5663636363636366E-2</v>
      </c>
      <c r="N64" s="16">
        <f>AVERAGE(ReturnData!N64:N74)</f>
        <v>4.1336363636363643E-2</v>
      </c>
      <c r="O64" s="16">
        <f>AVERAGE(ReturnData!O64:O74)</f>
        <v>9.5000000000000015E-3</v>
      </c>
      <c r="P64" s="16">
        <f>AVERAGE(ReturnData!P64:P74)</f>
        <v>9.7818181818181815E-3</v>
      </c>
      <c r="Q64" s="16">
        <f>AVERAGE(ReturnData!Q64:Q74)</f>
        <v>2.2845454545454544E-2</v>
      </c>
    </row>
    <row r="65" spans="1:17" x14ac:dyDescent="0.25">
      <c r="A65">
        <f>ReturnData!A77</f>
        <v>198004</v>
      </c>
      <c r="B65" s="16">
        <f>AVERAGE(ReturnData!B65:B75)</f>
        <v>5.4272727272727259E-3</v>
      </c>
      <c r="C65" s="16">
        <f>AVERAGE(ReturnData!C65:C75)</f>
        <v>5.5409090909090901E-2</v>
      </c>
      <c r="D65" s="16">
        <f>AVERAGE(ReturnData!D65:D75)</f>
        <v>5.7590909090909095E-2</v>
      </c>
      <c r="E65" s="16">
        <f>AVERAGE(ReturnData!E65:E75)</f>
        <v>1.2690909090909091E-2</v>
      </c>
      <c r="F65" s="16">
        <f>AVERAGE(ReturnData!F65:F75)</f>
        <v>7.7272727272727345E-4</v>
      </c>
      <c r="G65" s="16">
        <f>AVERAGE(ReturnData!G65:G75)</f>
        <v>1.6645454545454543E-2</v>
      </c>
      <c r="H65" s="16">
        <f>AVERAGE(ReturnData!H65:H75)</f>
        <v>4.8090909090909096E-3</v>
      </c>
      <c r="I65" s="16">
        <f>AVERAGE(ReturnData!I65:I75)</f>
        <v>2.2809090909090904E-2</v>
      </c>
      <c r="J65" s="16">
        <f>AVERAGE(ReturnData!J65:J75)</f>
        <v>2.5527272727272728E-2</v>
      </c>
      <c r="K65" s="16">
        <f>AVERAGE(ReturnData!K65:K75)</f>
        <v>2.7354545454545454E-2</v>
      </c>
      <c r="L65" s="16">
        <f>AVERAGE(ReturnData!L65:L75)</f>
        <v>9.1545454545454551E-3</v>
      </c>
      <c r="M65" s="16">
        <f>AVERAGE(ReturnData!M65:M75)</f>
        <v>3.6454545454545463E-3</v>
      </c>
      <c r="N65" s="16">
        <f>AVERAGE(ReturnData!N65:N75)</f>
        <v>2.7554545454545457E-2</v>
      </c>
      <c r="O65" s="16">
        <f>AVERAGE(ReturnData!O65:O75)</f>
        <v>4.2999999999999991E-3</v>
      </c>
      <c r="P65" s="16">
        <f>AVERAGE(ReturnData!P65:P75)</f>
        <v>-3.7272727272727267E-4</v>
      </c>
      <c r="Q65" s="16">
        <f>AVERAGE(ReturnData!Q65:Q75)</f>
        <v>1.149090909090909E-2</v>
      </c>
    </row>
    <row r="66" spans="1:17" x14ac:dyDescent="0.25">
      <c r="A66">
        <f>ReturnData!A78</f>
        <v>198005</v>
      </c>
      <c r="B66" s="16">
        <f>AVERAGE(ReturnData!B66:B76)</f>
        <v>-2.6636363636363654E-3</v>
      </c>
      <c r="C66" s="16">
        <f>AVERAGE(ReturnData!C66:C76)</f>
        <v>4.1154545454545444E-2</v>
      </c>
      <c r="D66" s="16">
        <f>AVERAGE(ReturnData!D66:D76)</f>
        <v>3.7318181818181827E-2</v>
      </c>
      <c r="E66" s="16">
        <f>AVERAGE(ReturnData!E66:E76)</f>
        <v>4.1727272727272733E-3</v>
      </c>
      <c r="F66" s="16">
        <f>AVERAGE(ReturnData!F66:F76)</f>
        <v>-5.5636363636363635E-3</v>
      </c>
      <c r="G66" s="16">
        <f>AVERAGE(ReturnData!G66:G76)</f>
        <v>7.5181818181818153E-3</v>
      </c>
      <c r="H66" s="16">
        <f>AVERAGE(ReturnData!H66:H76)</f>
        <v>1.745454545454545E-3</v>
      </c>
      <c r="I66" s="16">
        <f>AVERAGE(ReturnData!I66:I76)</f>
        <v>6.8999999999999973E-3</v>
      </c>
      <c r="J66" s="16">
        <f>AVERAGE(ReturnData!J66:J76)</f>
        <v>9.2181818181818181E-3</v>
      </c>
      <c r="K66" s="16">
        <f>AVERAGE(ReturnData!K66:K76)</f>
        <v>1.095454545454546E-2</v>
      </c>
      <c r="L66" s="16">
        <f>AVERAGE(ReturnData!L66:L76)</f>
        <v>-2.5909090909090895E-3</v>
      </c>
      <c r="M66" s="16">
        <f>AVERAGE(ReturnData!M66:M76)</f>
        <v>-7.0545454545454548E-3</v>
      </c>
      <c r="N66" s="16">
        <f>AVERAGE(ReturnData!N66:N76)</f>
        <v>1.5736363636363639E-2</v>
      </c>
      <c r="O66" s="16">
        <f>AVERAGE(ReturnData!O66:O76)</f>
        <v>8.0000000000000026E-4</v>
      </c>
      <c r="P66" s="16">
        <f>AVERAGE(ReturnData!P66:P76)</f>
        <v>-8.7909090909090923E-3</v>
      </c>
      <c r="Q66" s="16">
        <f>AVERAGE(ReturnData!Q66:Q76)</f>
        <v>2.054545454545453E-3</v>
      </c>
    </row>
    <row r="67" spans="1:17" x14ac:dyDescent="0.25">
      <c r="A67">
        <f>ReturnData!A79</f>
        <v>198006</v>
      </c>
      <c r="B67" s="16">
        <f>AVERAGE(ReturnData!B67:B77)</f>
        <v>5.4181818181818185E-3</v>
      </c>
      <c r="C67" s="16">
        <f>AVERAGE(ReturnData!C67:C77)</f>
        <v>3.8699999999999991E-2</v>
      </c>
      <c r="D67" s="16">
        <f>AVERAGE(ReturnData!D67:D77)</f>
        <v>4.5781818181818194E-2</v>
      </c>
      <c r="E67" s="16">
        <f>AVERAGE(ReturnData!E67:E77)</f>
        <v>7.9363636363636372E-3</v>
      </c>
      <c r="F67" s="16">
        <f>AVERAGE(ReturnData!F67:F77)</f>
        <v>-1.4636363636363616E-3</v>
      </c>
      <c r="G67" s="16">
        <f>AVERAGE(ReturnData!G67:G77)</f>
        <v>1.4590909090909092E-2</v>
      </c>
      <c r="H67" s="16">
        <f>AVERAGE(ReturnData!H67:H77)</f>
        <v>9.1636363636363669E-3</v>
      </c>
      <c r="I67" s="16">
        <f>AVERAGE(ReturnData!I67:I77)</f>
        <v>1.2227272727272724E-2</v>
      </c>
      <c r="J67" s="16">
        <f>AVERAGE(ReturnData!J67:J77)</f>
        <v>1.3672727272727276E-2</v>
      </c>
      <c r="K67" s="16">
        <f>AVERAGE(ReturnData!K67:K77)</f>
        <v>1.3954545454545454E-2</v>
      </c>
      <c r="L67" s="16">
        <f>AVERAGE(ReturnData!L67:L77)</f>
        <v>-1.0363636363636345E-3</v>
      </c>
      <c r="M67" s="16">
        <f>AVERAGE(ReturnData!M67:M77)</f>
        <v>-8.7727272727272723E-3</v>
      </c>
      <c r="N67" s="16">
        <f>AVERAGE(ReturnData!N67:N77)</f>
        <v>1.6881818181818189E-2</v>
      </c>
      <c r="O67" s="16">
        <f>AVERAGE(ReturnData!O67:O77)</f>
        <v>1.0409090909090908E-2</v>
      </c>
      <c r="P67" s="16">
        <f>AVERAGE(ReturnData!P67:P77)</f>
        <v>-2.0999999999999994E-3</v>
      </c>
      <c r="Q67" s="16">
        <f>AVERAGE(ReturnData!Q67:Q77)</f>
        <v>8.1090909090909061E-3</v>
      </c>
    </row>
    <row r="68" spans="1:17" x14ac:dyDescent="0.25">
      <c r="A68">
        <f>ReturnData!A80</f>
        <v>198007</v>
      </c>
      <c r="B68" s="16">
        <f>AVERAGE(ReturnData!B68:B78)</f>
        <v>9.5181818181818163E-3</v>
      </c>
      <c r="C68" s="16">
        <f>AVERAGE(ReturnData!C68:C78)</f>
        <v>3.8345454545454537E-2</v>
      </c>
      <c r="D68" s="16">
        <f>AVERAGE(ReturnData!D68:D78)</f>
        <v>4.1154545454545464E-2</v>
      </c>
      <c r="E68" s="16">
        <f>AVERAGE(ReturnData!E68:E78)</f>
        <v>9.6545454545454538E-3</v>
      </c>
      <c r="F68" s="16">
        <f>AVERAGE(ReturnData!F68:F78)</f>
        <v>1.8818181818181822E-3</v>
      </c>
      <c r="G68" s="16">
        <f>AVERAGE(ReturnData!G68:G78)</f>
        <v>1.7945454545454542E-2</v>
      </c>
      <c r="H68" s="16">
        <f>AVERAGE(ReturnData!H68:H78)</f>
        <v>1.339090909090909E-2</v>
      </c>
      <c r="I68" s="16">
        <f>AVERAGE(ReturnData!I68:I78)</f>
        <v>1.6263636363636359E-2</v>
      </c>
      <c r="J68" s="16">
        <f>AVERAGE(ReturnData!J68:J78)</f>
        <v>1.6409090909090911E-2</v>
      </c>
      <c r="K68" s="16">
        <f>AVERAGE(ReturnData!K68:K78)</f>
        <v>1.4200000000000006E-2</v>
      </c>
      <c r="L68" s="16">
        <f>AVERAGE(ReturnData!L68:L78)</f>
        <v>1.6454545454545459E-3</v>
      </c>
      <c r="M68" s="16">
        <f>AVERAGE(ReturnData!M68:M78)</f>
        <v>-8.3181818181818183E-3</v>
      </c>
      <c r="N68" s="16">
        <f>AVERAGE(ReturnData!N68:N78)</f>
        <v>1.8581818181818182E-2</v>
      </c>
      <c r="O68" s="16">
        <f>AVERAGE(ReturnData!O68:O78)</f>
        <v>1.0063636363636363E-2</v>
      </c>
      <c r="P68" s="16">
        <f>AVERAGE(ReturnData!P68:P78)</f>
        <v>5.0181818181818166E-3</v>
      </c>
      <c r="Q68" s="16">
        <f>AVERAGE(ReturnData!Q68:Q78)</f>
        <v>7.3272727272727248E-3</v>
      </c>
    </row>
    <row r="69" spans="1:17" x14ac:dyDescent="0.25">
      <c r="A69">
        <f>ReturnData!A81</f>
        <v>198008</v>
      </c>
      <c r="B69" s="16">
        <f>AVERAGE(ReturnData!B69:B79)</f>
        <v>1.0772727272727271E-2</v>
      </c>
      <c r="C69" s="16">
        <f>AVERAGE(ReturnData!C69:C79)</f>
        <v>4.6990909090909083E-2</v>
      </c>
      <c r="D69" s="16">
        <f>AVERAGE(ReturnData!D69:D79)</f>
        <v>4.5154545454545454E-2</v>
      </c>
      <c r="E69" s="16">
        <f>AVERAGE(ReturnData!E69:E79)</f>
        <v>1.1163636363636363E-2</v>
      </c>
      <c r="F69" s="16">
        <f>AVERAGE(ReturnData!F69:F79)</f>
        <v>3.7363636363636379E-3</v>
      </c>
      <c r="G69" s="16">
        <f>AVERAGE(ReturnData!G69:G79)</f>
        <v>1.6281818181818179E-2</v>
      </c>
      <c r="H69" s="16">
        <f>AVERAGE(ReturnData!H69:H79)</f>
        <v>1.3263636363636361E-2</v>
      </c>
      <c r="I69" s="16">
        <f>AVERAGE(ReturnData!I69:I79)</f>
        <v>1.8236363636363637E-2</v>
      </c>
      <c r="J69" s="16">
        <f>AVERAGE(ReturnData!J69:J79)</f>
        <v>1.4536363636363632E-2</v>
      </c>
      <c r="K69" s="16">
        <f>AVERAGE(ReturnData!K69:K79)</f>
        <v>1.4427272727272728E-2</v>
      </c>
      <c r="L69" s="16">
        <f>AVERAGE(ReturnData!L69:L79)</f>
        <v>5.754545454545454E-3</v>
      </c>
      <c r="M69" s="16">
        <f>AVERAGE(ReturnData!M69:M79)</f>
        <v>-7.5090909090909088E-3</v>
      </c>
      <c r="N69" s="16">
        <f>AVERAGE(ReturnData!N69:N79)</f>
        <v>1.43E-2</v>
      </c>
      <c r="O69" s="16">
        <f>AVERAGE(ReturnData!O69:O79)</f>
        <v>1.23E-2</v>
      </c>
      <c r="P69" s="16">
        <f>AVERAGE(ReturnData!P69:P79)</f>
        <v>6.1727272727272716E-3</v>
      </c>
      <c r="Q69" s="16">
        <f>AVERAGE(ReturnData!Q69:Q79)</f>
        <v>8.7545454545454524E-3</v>
      </c>
    </row>
    <row r="70" spans="1:17" x14ac:dyDescent="0.25">
      <c r="A70">
        <f>ReturnData!A82</f>
        <v>198009</v>
      </c>
      <c r="B70" s="16">
        <f>AVERAGE(ReturnData!B70:B80)</f>
        <v>9.4727272727272698E-3</v>
      </c>
      <c r="C70" s="16">
        <f>AVERAGE(ReturnData!C70:C80)</f>
        <v>4.8418181818181812E-2</v>
      </c>
      <c r="D70" s="16">
        <f>AVERAGE(ReturnData!D70:D80)</f>
        <v>3.9572727272727273E-2</v>
      </c>
      <c r="E70" s="16">
        <f>AVERAGE(ReturnData!E70:E80)</f>
        <v>1.7136363636363637E-2</v>
      </c>
      <c r="F70" s="16">
        <f>AVERAGE(ReturnData!F70:F80)</f>
        <v>7.6090909090909091E-3</v>
      </c>
      <c r="G70" s="16">
        <f>AVERAGE(ReturnData!G70:G80)</f>
        <v>1.8100000000000002E-2</v>
      </c>
      <c r="H70" s="16">
        <f>AVERAGE(ReturnData!H70:H80)</f>
        <v>1.2918181818181818E-2</v>
      </c>
      <c r="I70" s="16">
        <f>AVERAGE(ReturnData!I70:I80)</f>
        <v>2.0899999999999995E-2</v>
      </c>
      <c r="J70" s="16">
        <f>AVERAGE(ReturnData!J70:J80)</f>
        <v>1.9618181818181816E-2</v>
      </c>
      <c r="K70" s="16">
        <f>AVERAGE(ReturnData!K70:K80)</f>
        <v>1.6336363636363638E-2</v>
      </c>
      <c r="L70" s="16">
        <f>AVERAGE(ReturnData!L70:L80)</f>
        <v>1.3754545454545457E-2</v>
      </c>
      <c r="M70" s="16">
        <f>AVERAGE(ReturnData!M70:M80)</f>
        <v>-1.0818181818181838E-3</v>
      </c>
      <c r="N70" s="16">
        <f>AVERAGE(ReturnData!N70:N80)</f>
        <v>1.8800000000000001E-2</v>
      </c>
      <c r="O70" s="16">
        <f>AVERAGE(ReturnData!O70:O80)</f>
        <v>1.0354545454545455E-2</v>
      </c>
      <c r="P70" s="16">
        <f>AVERAGE(ReturnData!P70:P80)</f>
        <v>7.4818181818181806E-3</v>
      </c>
      <c r="Q70" s="16">
        <f>AVERAGE(ReturnData!Q70:Q80)</f>
        <v>7.1363636363636325E-3</v>
      </c>
    </row>
    <row r="71" spans="1:17" x14ac:dyDescent="0.25">
      <c r="A71">
        <f>ReturnData!A83</f>
        <v>198010</v>
      </c>
      <c r="B71" s="16">
        <f>AVERAGE(ReturnData!B71:B81)</f>
        <v>1.1536363636363635E-2</v>
      </c>
      <c r="C71" s="16">
        <f>AVERAGE(ReturnData!C71:C81)</f>
        <v>4.7490909090909091E-2</v>
      </c>
      <c r="D71" s="16">
        <f>AVERAGE(ReturnData!D71:D81)</f>
        <v>3.7381818181818183E-2</v>
      </c>
      <c r="E71" s="16">
        <f>AVERAGE(ReturnData!E71:E81)</f>
        <v>2.1281818181818183E-2</v>
      </c>
      <c r="F71" s="16">
        <f>AVERAGE(ReturnData!F71:F81)</f>
        <v>1.2872727272727274E-2</v>
      </c>
      <c r="G71" s="16">
        <f>AVERAGE(ReturnData!G71:G81)</f>
        <v>1.8245454545454547E-2</v>
      </c>
      <c r="H71" s="16">
        <f>AVERAGE(ReturnData!H71:H81)</f>
        <v>1.3672727272727276E-2</v>
      </c>
      <c r="I71" s="16">
        <f>AVERAGE(ReturnData!I71:I81)</f>
        <v>2.225454545454545E-2</v>
      </c>
      <c r="J71" s="16">
        <f>AVERAGE(ReturnData!J71:J81)</f>
        <v>1.8345454545454543E-2</v>
      </c>
      <c r="K71" s="16">
        <f>AVERAGE(ReturnData!K71:K81)</f>
        <v>1.9427272727272727E-2</v>
      </c>
      <c r="L71" s="16">
        <f>AVERAGE(ReturnData!L71:L81)</f>
        <v>1.7381818181818186E-2</v>
      </c>
      <c r="M71" s="16">
        <f>AVERAGE(ReturnData!M71:M81)</f>
        <v>-6.1818181818181633E-4</v>
      </c>
      <c r="N71" s="16">
        <f>AVERAGE(ReturnData!N71:N81)</f>
        <v>2.1709090909090911E-2</v>
      </c>
      <c r="O71" s="16">
        <f>AVERAGE(ReturnData!O71:O81)</f>
        <v>1.1263636363636363E-2</v>
      </c>
      <c r="P71" s="16">
        <f>AVERAGE(ReturnData!P71:P81)</f>
        <v>9.4363636363636368E-3</v>
      </c>
      <c r="Q71" s="16">
        <f>AVERAGE(ReturnData!Q71:Q81)</f>
        <v>9.8454545454545427E-3</v>
      </c>
    </row>
    <row r="72" spans="1:17" x14ac:dyDescent="0.25">
      <c r="A72">
        <f>ReturnData!A84</f>
        <v>198011</v>
      </c>
      <c r="B72" s="16">
        <f>AVERAGE(ReturnData!B72:B82)</f>
        <v>1.9199999999999998E-2</v>
      </c>
      <c r="C72" s="16">
        <f>AVERAGE(ReturnData!C72:C82)</f>
        <v>6.9209090909090915E-2</v>
      </c>
      <c r="D72" s="16">
        <f>AVERAGE(ReturnData!D72:D82)</f>
        <v>4.5745454545454541E-2</v>
      </c>
      <c r="E72" s="16">
        <f>AVERAGE(ReturnData!E72:E82)</f>
        <v>3.1190909090909099E-2</v>
      </c>
      <c r="F72" s="16">
        <f>AVERAGE(ReturnData!F72:F82)</f>
        <v>2.1418181818181815E-2</v>
      </c>
      <c r="G72" s="16">
        <f>AVERAGE(ReturnData!G72:G82)</f>
        <v>2.7045454545454539E-2</v>
      </c>
      <c r="H72" s="16">
        <f>AVERAGE(ReturnData!H72:H82)</f>
        <v>1.8845454545454547E-2</v>
      </c>
      <c r="I72" s="16">
        <f>AVERAGE(ReturnData!I72:I82)</f>
        <v>3.315454545454545E-2</v>
      </c>
      <c r="J72" s="16">
        <f>AVERAGE(ReturnData!J72:J82)</f>
        <v>3.3063636363636358E-2</v>
      </c>
      <c r="K72" s="16">
        <f>AVERAGE(ReturnData!K72:K82)</f>
        <v>2.9190909090909097E-2</v>
      </c>
      <c r="L72" s="16">
        <f>AVERAGE(ReturnData!L72:L82)</f>
        <v>2.701818181818182E-2</v>
      </c>
      <c r="M72" s="16">
        <f>AVERAGE(ReturnData!M72:M82)</f>
        <v>1.0763636363636362E-2</v>
      </c>
      <c r="N72" s="16">
        <f>AVERAGE(ReturnData!N72:N82)</f>
        <v>3.3500000000000002E-2</v>
      </c>
      <c r="O72" s="16">
        <f>AVERAGE(ReturnData!O72:O82)</f>
        <v>1.6672727272727273E-2</v>
      </c>
      <c r="P72" s="16">
        <f>AVERAGE(ReturnData!P72:P82)</f>
        <v>1.7118181818181817E-2</v>
      </c>
      <c r="Q72" s="16">
        <f>AVERAGE(ReturnData!Q72:Q82)</f>
        <v>2.1363636363636362E-2</v>
      </c>
    </row>
    <row r="73" spans="1:17" x14ac:dyDescent="0.25">
      <c r="A73">
        <f>ReturnData!A85</f>
        <v>198012</v>
      </c>
      <c r="B73" s="16">
        <f>AVERAGE(ReturnData!B73:B83)</f>
        <v>1.3527272727272728E-2</v>
      </c>
      <c r="C73" s="16">
        <f>AVERAGE(ReturnData!C73:C83)</f>
        <v>5.8254545454545455E-2</v>
      </c>
      <c r="D73" s="16">
        <f>AVERAGE(ReturnData!D73:D83)</f>
        <v>4.4736363636363637E-2</v>
      </c>
      <c r="E73" s="16">
        <f>AVERAGE(ReturnData!E73:E83)</f>
        <v>2.6718181818181821E-2</v>
      </c>
      <c r="F73" s="16">
        <f>AVERAGE(ReturnData!F73:F83)</f>
        <v>2.2609090909090909E-2</v>
      </c>
      <c r="G73" s="16">
        <f>AVERAGE(ReturnData!G73:G83)</f>
        <v>2.0345454545454549E-2</v>
      </c>
      <c r="H73" s="16">
        <f>AVERAGE(ReturnData!H73:H83)</f>
        <v>1.1518181818181816E-2</v>
      </c>
      <c r="I73" s="16">
        <f>AVERAGE(ReturnData!I73:I83)</f>
        <v>3.0190909090909088E-2</v>
      </c>
      <c r="J73" s="16">
        <f>AVERAGE(ReturnData!J73:J83)</f>
        <v>3.1454545454545457E-2</v>
      </c>
      <c r="K73" s="16">
        <f>AVERAGE(ReturnData!K73:K83)</f>
        <v>2.8400000000000002E-2</v>
      </c>
      <c r="L73" s="16">
        <f>AVERAGE(ReturnData!L73:L83)</f>
        <v>2.1927272727272726E-2</v>
      </c>
      <c r="M73" s="16">
        <f>AVERAGE(ReturnData!M73:M83)</f>
        <v>8.7454545454545441E-3</v>
      </c>
      <c r="N73" s="16">
        <f>AVERAGE(ReturnData!N73:N83)</f>
        <v>2.6909090909090914E-2</v>
      </c>
      <c r="O73" s="16">
        <f>AVERAGE(ReturnData!O73:O83)</f>
        <v>1.14E-2</v>
      </c>
      <c r="P73" s="16">
        <f>AVERAGE(ReturnData!P73:P83)</f>
        <v>1.3472727272727273E-2</v>
      </c>
      <c r="Q73" s="16">
        <f>AVERAGE(ReturnData!Q73:Q83)</f>
        <v>1.5699999999999999E-2</v>
      </c>
    </row>
    <row r="74" spans="1:17" x14ac:dyDescent="0.25">
      <c r="A74">
        <f>ReturnData!A86</f>
        <v>198101</v>
      </c>
      <c r="B74" s="16">
        <f>AVERAGE(ReturnData!B74:B84)</f>
        <v>1.1336363636363637E-2</v>
      </c>
      <c r="C74" s="16">
        <f>AVERAGE(ReturnData!C74:C84)</f>
        <v>5.040909090909091E-2</v>
      </c>
      <c r="D74" s="16">
        <f>AVERAGE(ReturnData!D74:D84)</f>
        <v>6.3854545454545455E-2</v>
      </c>
      <c r="E74" s="16">
        <f>AVERAGE(ReturnData!E74:E84)</f>
        <v>2.2063636363636365E-2</v>
      </c>
      <c r="F74" s="16">
        <f>AVERAGE(ReturnData!F74:F84)</f>
        <v>2.6090909090909088E-2</v>
      </c>
      <c r="G74" s="16">
        <f>AVERAGE(ReturnData!G74:G84)</f>
        <v>2.3109090909090912E-2</v>
      </c>
      <c r="H74" s="16">
        <f>AVERAGE(ReturnData!H74:H84)</f>
        <v>1.5572727272727273E-2</v>
      </c>
      <c r="I74" s="16">
        <f>AVERAGE(ReturnData!I74:I84)</f>
        <v>3.2599999999999997E-2</v>
      </c>
      <c r="J74" s="16">
        <f>AVERAGE(ReturnData!J74:J84)</f>
        <v>2.9009090909090908E-2</v>
      </c>
      <c r="K74" s="16">
        <f>AVERAGE(ReturnData!K74:K84)</f>
        <v>3.3354545454545456E-2</v>
      </c>
      <c r="L74" s="16">
        <f>AVERAGE(ReturnData!L74:L84)</f>
        <v>2.9445454545454549E-2</v>
      </c>
      <c r="M74" s="16">
        <f>AVERAGE(ReturnData!M74:M84)</f>
        <v>6.9272727272727255E-3</v>
      </c>
      <c r="N74" s="16">
        <f>AVERAGE(ReturnData!N74:N84)</f>
        <v>3.4936363636363633E-2</v>
      </c>
      <c r="O74" s="16">
        <f>AVERAGE(ReturnData!O74:O84)</f>
        <v>1.9009090909090906E-2</v>
      </c>
      <c r="P74" s="16">
        <f>AVERAGE(ReturnData!P74:P84)</f>
        <v>1.2754545454545452E-2</v>
      </c>
      <c r="Q74" s="16">
        <f>AVERAGE(ReturnData!Q74:Q84)</f>
        <v>1.9218181818181815E-2</v>
      </c>
    </row>
    <row r="75" spans="1:17" x14ac:dyDescent="0.25">
      <c r="A75">
        <f>ReturnData!A87</f>
        <v>198102</v>
      </c>
      <c r="B75" s="16">
        <f>AVERAGE(ReturnData!B75:B85)</f>
        <v>9.509090909090908E-3</v>
      </c>
      <c r="C75" s="16">
        <f>AVERAGE(ReturnData!C75:C85)</f>
        <v>3.0472727272727273E-2</v>
      </c>
      <c r="D75" s="16">
        <f>AVERAGE(ReturnData!D75:D85)</f>
        <v>4.1590909090909095E-2</v>
      </c>
      <c r="E75" s="16">
        <f>AVERAGE(ReturnData!E75:E85)</f>
        <v>1.7763636363636367E-2</v>
      </c>
      <c r="F75" s="16">
        <f>AVERAGE(ReturnData!F75:F85)</f>
        <v>1.9627272727272726E-2</v>
      </c>
      <c r="G75" s="16">
        <f>AVERAGE(ReturnData!G75:G85)</f>
        <v>1.774545454545455E-2</v>
      </c>
      <c r="H75" s="16">
        <f>AVERAGE(ReturnData!H75:H85)</f>
        <v>2.118181818181818E-2</v>
      </c>
      <c r="I75" s="16">
        <f>AVERAGE(ReturnData!I75:I85)</f>
        <v>2.1036363636363634E-2</v>
      </c>
      <c r="J75" s="16">
        <f>AVERAGE(ReturnData!J75:J85)</f>
        <v>9.109090909090907E-3</v>
      </c>
      <c r="K75" s="16">
        <f>AVERAGE(ReturnData!K75:K85)</f>
        <v>2.4436363636363635E-2</v>
      </c>
      <c r="L75" s="16">
        <f>AVERAGE(ReturnData!L75:L85)</f>
        <v>2.0372727272727275E-2</v>
      </c>
      <c r="M75" s="16">
        <f>AVERAGE(ReturnData!M75:M85)</f>
        <v>-3.1090909090909099E-3</v>
      </c>
      <c r="N75" s="16">
        <f>AVERAGE(ReturnData!N75:N85)</f>
        <v>1.9736363636363632E-2</v>
      </c>
      <c r="O75" s="16">
        <f>AVERAGE(ReturnData!O75:O85)</f>
        <v>1.5818181818181818E-2</v>
      </c>
      <c r="P75" s="16">
        <f>AVERAGE(ReturnData!P75:P85)</f>
        <v>1.3118181818181819E-2</v>
      </c>
      <c r="Q75" s="16">
        <f>AVERAGE(ReturnData!Q75:Q85)</f>
        <v>2.0118181818181816E-2</v>
      </c>
    </row>
    <row r="76" spans="1:17" x14ac:dyDescent="0.25">
      <c r="A76">
        <f>ReturnData!A88</f>
        <v>198103</v>
      </c>
      <c r="B76" s="16">
        <f>AVERAGE(ReturnData!B76:B86)</f>
        <v>1.6727272727272733E-2</v>
      </c>
      <c r="C76" s="16">
        <f>AVERAGE(ReturnData!C76:C86)</f>
        <v>1.9063636363636369E-2</v>
      </c>
      <c r="D76" s="16">
        <f>AVERAGE(ReturnData!D76:D86)</f>
        <v>2.07E-2</v>
      </c>
      <c r="E76" s="16">
        <f>AVERAGE(ReturnData!E76:E86)</f>
        <v>2.5481818181818182E-2</v>
      </c>
      <c r="F76" s="16">
        <f>AVERAGE(ReturnData!F76:F86)</f>
        <v>2.298181818181818E-2</v>
      </c>
      <c r="G76" s="16">
        <f>AVERAGE(ReturnData!G76:G86)</f>
        <v>2.0563636363636364E-2</v>
      </c>
      <c r="H76" s="16">
        <f>AVERAGE(ReturnData!H76:H86)</f>
        <v>2.3763636363636365E-2</v>
      </c>
      <c r="I76" s="16">
        <f>AVERAGE(ReturnData!I76:I86)</f>
        <v>2.0736363636363633E-2</v>
      </c>
      <c r="J76" s="16">
        <f>AVERAGE(ReturnData!J76:J86)</f>
        <v>9.6363636363636339E-3</v>
      </c>
      <c r="K76" s="16">
        <f>AVERAGE(ReturnData!K76:K86)</f>
        <v>2.1436363636363632E-2</v>
      </c>
      <c r="L76" s="16">
        <f>AVERAGE(ReturnData!L76:L86)</f>
        <v>1.7118181818181821E-2</v>
      </c>
      <c r="M76" s="16">
        <f>AVERAGE(ReturnData!M76:M86)</f>
        <v>1.0909090909090894E-3</v>
      </c>
      <c r="N76" s="16">
        <f>AVERAGE(ReturnData!N76:N86)</f>
        <v>2.3027272727272726E-2</v>
      </c>
      <c r="O76" s="16">
        <f>AVERAGE(ReturnData!O76:O86)</f>
        <v>1.6563636363636367E-2</v>
      </c>
      <c r="P76" s="16">
        <f>AVERAGE(ReturnData!P76:P86)</f>
        <v>1.9390909090909091E-2</v>
      </c>
      <c r="Q76" s="16">
        <f>AVERAGE(ReturnData!Q76:Q86)</f>
        <v>2.2436363636363633E-2</v>
      </c>
    </row>
    <row r="77" spans="1:17" x14ac:dyDescent="0.25">
      <c r="A77">
        <f>ReturnData!A89</f>
        <v>198104</v>
      </c>
      <c r="B77" s="16">
        <f>AVERAGE(ReturnData!B77:B87)</f>
        <v>2.6954545454545457E-2</v>
      </c>
      <c r="C77" s="16">
        <f>AVERAGE(ReturnData!C77:C87)</f>
        <v>3.2827272727272733E-2</v>
      </c>
      <c r="D77" s="16">
        <f>AVERAGE(ReturnData!D77:D87)</f>
        <v>3.6572727272727285E-2</v>
      </c>
      <c r="E77" s="16">
        <f>AVERAGE(ReturnData!E77:E87)</f>
        <v>3.5490909090909094E-2</v>
      </c>
      <c r="F77" s="16">
        <f>AVERAGE(ReturnData!F77:F87)</f>
        <v>3.5490909090909087E-2</v>
      </c>
      <c r="G77" s="16">
        <f>AVERAGE(ReturnData!G77:G87)</f>
        <v>3.5136363636363639E-2</v>
      </c>
      <c r="H77" s="16">
        <f>AVERAGE(ReturnData!H77:H87)</f>
        <v>2.9209090909090907E-2</v>
      </c>
      <c r="I77" s="16">
        <f>AVERAGE(ReturnData!I77:I87)</f>
        <v>3.7809090909090896E-2</v>
      </c>
      <c r="J77" s="16">
        <f>AVERAGE(ReturnData!J77:J87)</f>
        <v>2.8918181818181819E-2</v>
      </c>
      <c r="K77" s="16">
        <f>AVERAGE(ReturnData!K77:K87)</f>
        <v>3.8099999999999995E-2</v>
      </c>
      <c r="L77" s="16">
        <f>AVERAGE(ReturnData!L77:L87)</f>
        <v>3.0072727272727275E-2</v>
      </c>
      <c r="M77" s="16">
        <f>AVERAGE(ReturnData!M77:M87)</f>
        <v>1.5681818181818182E-2</v>
      </c>
      <c r="N77" s="16">
        <f>AVERAGE(ReturnData!N77:N87)</f>
        <v>3.4145454545454541E-2</v>
      </c>
      <c r="O77" s="16">
        <f>AVERAGE(ReturnData!O77:O87)</f>
        <v>2.1399999999999999E-2</v>
      </c>
      <c r="P77" s="16">
        <f>AVERAGE(ReturnData!P77:P87)</f>
        <v>3.0263636363636361E-2</v>
      </c>
      <c r="Q77" s="16">
        <f>AVERAGE(ReturnData!Q77:Q87)</f>
        <v>3.2309090909090905E-2</v>
      </c>
    </row>
    <row r="78" spans="1:17" x14ac:dyDescent="0.25">
      <c r="A78">
        <f>ReturnData!A90</f>
        <v>198105</v>
      </c>
      <c r="B78" s="16">
        <f>AVERAGE(ReturnData!B78:B88)</f>
        <v>2.6718181818181821E-2</v>
      </c>
      <c r="C78" s="16">
        <f>AVERAGE(ReturnData!C78:C88)</f>
        <v>4.7845454545454552E-2</v>
      </c>
      <c r="D78" s="16">
        <f>AVERAGE(ReturnData!D78:D88)</f>
        <v>2.8390909090909099E-2</v>
      </c>
      <c r="E78" s="16">
        <f>AVERAGE(ReturnData!E78:E88)</f>
        <v>3.8727272727272728E-2</v>
      </c>
      <c r="F78" s="16">
        <f>AVERAGE(ReturnData!F78:F88)</f>
        <v>3.7490909090909089E-2</v>
      </c>
      <c r="G78" s="16">
        <f>AVERAGE(ReturnData!G78:G88)</f>
        <v>3.2872727272727283E-2</v>
      </c>
      <c r="H78" s="16">
        <f>AVERAGE(ReturnData!H78:H88)</f>
        <v>2.8772727272727273E-2</v>
      </c>
      <c r="I78" s="16">
        <f>AVERAGE(ReturnData!I78:I88)</f>
        <v>4.1136363636363631E-2</v>
      </c>
      <c r="J78" s="16">
        <f>AVERAGE(ReturnData!J78:J88)</f>
        <v>4.4936363636363635E-2</v>
      </c>
      <c r="K78" s="16">
        <f>AVERAGE(ReturnData!K78:K88)</f>
        <v>4.0490909090909084E-2</v>
      </c>
      <c r="L78" s="16">
        <f>AVERAGE(ReturnData!L78:L88)</f>
        <v>3.4072727272727275E-2</v>
      </c>
      <c r="M78" s="16">
        <f>AVERAGE(ReturnData!M78:M88)</f>
        <v>2.5709090909090914E-2</v>
      </c>
      <c r="N78" s="16">
        <f>AVERAGE(ReturnData!N78:N88)</f>
        <v>4.182727272727272E-2</v>
      </c>
      <c r="O78" s="16">
        <f>AVERAGE(ReturnData!O78:O88)</f>
        <v>1.3200000000000002E-2</v>
      </c>
      <c r="P78" s="16">
        <f>AVERAGE(ReturnData!P78:P88)</f>
        <v>3.7799999999999993E-2</v>
      </c>
      <c r="Q78" s="16">
        <f>AVERAGE(ReturnData!Q78:Q88)</f>
        <v>3.2390909090909088E-2</v>
      </c>
    </row>
    <row r="79" spans="1:17" x14ac:dyDescent="0.25">
      <c r="A79">
        <f>ReturnData!A91</f>
        <v>198106</v>
      </c>
      <c r="B79" s="16">
        <f>AVERAGE(ReturnData!B79:B89)</f>
        <v>1.9436363636363637E-2</v>
      </c>
      <c r="C79" s="16">
        <f>AVERAGE(ReturnData!C79:C89)</f>
        <v>3.6354545454545466E-2</v>
      </c>
      <c r="D79" s="16">
        <f>AVERAGE(ReturnData!D79:D89)</f>
        <v>1.7481818181818189E-2</v>
      </c>
      <c r="E79" s="16">
        <f>AVERAGE(ReturnData!E79:E89)</f>
        <v>3.6636363636363641E-2</v>
      </c>
      <c r="F79" s="16">
        <f>AVERAGE(ReturnData!F79:F89)</f>
        <v>3.1536363636363633E-2</v>
      </c>
      <c r="G79" s="16">
        <f>AVERAGE(ReturnData!G79:G89)</f>
        <v>2.3945454545454548E-2</v>
      </c>
      <c r="H79" s="16">
        <f>AVERAGE(ReturnData!H79:H89)</f>
        <v>2.3790909090909095E-2</v>
      </c>
      <c r="I79" s="16">
        <f>AVERAGE(ReturnData!I79:I89)</f>
        <v>3.1536363636363633E-2</v>
      </c>
      <c r="J79" s="16">
        <f>AVERAGE(ReturnData!J79:J89)</f>
        <v>3.8790909090909091E-2</v>
      </c>
      <c r="K79" s="16">
        <f>AVERAGE(ReturnData!K79:K89)</f>
        <v>3.5127272727272729E-2</v>
      </c>
      <c r="L79" s="16">
        <f>AVERAGE(ReturnData!L79:L89)</f>
        <v>2.9463636363636369E-2</v>
      </c>
      <c r="M79" s="16">
        <f>AVERAGE(ReturnData!M79:M89)</f>
        <v>2.4927272727272722E-2</v>
      </c>
      <c r="N79" s="16">
        <f>AVERAGE(ReturnData!N79:N89)</f>
        <v>3.8227272727272728E-2</v>
      </c>
      <c r="O79" s="16">
        <f>AVERAGE(ReturnData!O79:O89)</f>
        <v>6.5909090909090908E-3</v>
      </c>
      <c r="P79" s="16">
        <f>AVERAGE(ReturnData!P79:P89)</f>
        <v>3.2209090909090909E-2</v>
      </c>
      <c r="Q79" s="16">
        <f>AVERAGE(ReturnData!Q79:Q89)</f>
        <v>2.58E-2</v>
      </c>
    </row>
    <row r="80" spans="1:17" x14ac:dyDescent="0.25">
      <c r="A80">
        <f>ReturnData!A92</f>
        <v>198107</v>
      </c>
      <c r="B80" s="16">
        <f>AVERAGE(ReturnData!B80:B90)</f>
        <v>1.9545454545454543E-2</v>
      </c>
      <c r="C80" s="16">
        <f>AVERAGE(ReturnData!C80:C90)</f>
        <v>2.6654545454545455E-2</v>
      </c>
      <c r="D80" s="16">
        <f>AVERAGE(ReturnData!D80:D90)</f>
        <v>8.5545454545454536E-3</v>
      </c>
      <c r="E80" s="16">
        <f>AVERAGE(ReturnData!E80:E90)</f>
        <v>3.4836363636363638E-2</v>
      </c>
      <c r="F80" s="16">
        <f>AVERAGE(ReturnData!F80:F90)</f>
        <v>2.9518181818181818E-2</v>
      </c>
      <c r="G80" s="16">
        <f>AVERAGE(ReturnData!G80:G90)</f>
        <v>2.0400000000000005E-2</v>
      </c>
      <c r="H80" s="16">
        <f>AVERAGE(ReturnData!H80:H90)</f>
        <v>2.4781818181818183E-2</v>
      </c>
      <c r="I80" s="16">
        <f>AVERAGE(ReturnData!I80:I90)</f>
        <v>2.7472727272727274E-2</v>
      </c>
      <c r="J80" s="16">
        <f>AVERAGE(ReturnData!J80:J90)</f>
        <v>3.6527272727272721E-2</v>
      </c>
      <c r="K80" s="16">
        <f>AVERAGE(ReturnData!K80:K90)</f>
        <v>3.1181818181818179E-2</v>
      </c>
      <c r="L80" s="16">
        <f>AVERAGE(ReturnData!L80:L90)</f>
        <v>2.8345454545454549E-2</v>
      </c>
      <c r="M80" s="16">
        <f>AVERAGE(ReturnData!M80:M90)</f>
        <v>2.6118181818181818E-2</v>
      </c>
      <c r="N80" s="16">
        <f>AVERAGE(ReturnData!N80:N90)</f>
        <v>3.9563636363636363E-2</v>
      </c>
      <c r="O80" s="16">
        <f>AVERAGE(ReturnData!O80:O90)</f>
        <v>4.1181818181818186E-3</v>
      </c>
      <c r="P80" s="16">
        <f>AVERAGE(ReturnData!P80:P90)</f>
        <v>3.2899999999999999E-2</v>
      </c>
      <c r="Q80" s="16">
        <f>AVERAGE(ReturnData!Q80:Q90)</f>
        <v>2.3918181818181814E-2</v>
      </c>
    </row>
    <row r="81" spans="1:17" x14ac:dyDescent="0.25">
      <c r="A81">
        <f>ReturnData!A93</f>
        <v>198108</v>
      </c>
      <c r="B81" s="16">
        <f>AVERAGE(ReturnData!B81:B91)</f>
        <v>1.37E-2</v>
      </c>
      <c r="C81" s="16">
        <f>AVERAGE(ReturnData!C81:C91)</f>
        <v>1.5327272727272728E-2</v>
      </c>
      <c r="D81" s="16">
        <f>AVERAGE(ReturnData!D81:D91)</f>
        <v>1.11E-2</v>
      </c>
      <c r="E81" s="16">
        <f>AVERAGE(ReturnData!E81:E91)</f>
        <v>2.3336363636363634E-2</v>
      </c>
      <c r="F81" s="16">
        <f>AVERAGE(ReturnData!F81:F91)</f>
        <v>1.7872727272727273E-2</v>
      </c>
      <c r="G81" s="16">
        <f>AVERAGE(ReturnData!G81:G91)</f>
        <v>1.4909090909090905E-2</v>
      </c>
      <c r="H81" s="16">
        <f>AVERAGE(ReturnData!H81:H91)</f>
        <v>1.4827272727272727E-2</v>
      </c>
      <c r="I81" s="16">
        <f>AVERAGE(ReturnData!I81:I91)</f>
        <v>1.4227272727272726E-2</v>
      </c>
      <c r="J81" s="16">
        <f>AVERAGE(ReturnData!J81:J91)</f>
        <v>1.9154545454545448E-2</v>
      </c>
      <c r="K81" s="16">
        <f>AVERAGE(ReturnData!K81:K91)</f>
        <v>1.8781818181818177E-2</v>
      </c>
      <c r="L81" s="16">
        <f>AVERAGE(ReturnData!L81:L91)</f>
        <v>9.963636363636362E-3</v>
      </c>
      <c r="M81" s="16">
        <f>AVERAGE(ReturnData!M81:M91)</f>
        <v>1.17E-2</v>
      </c>
      <c r="N81" s="16">
        <f>AVERAGE(ReturnData!N81:N91)</f>
        <v>2.2018181818181812E-2</v>
      </c>
      <c r="O81" s="16">
        <f>AVERAGE(ReturnData!O81:O91)</f>
        <v>7.3363636363636374E-3</v>
      </c>
      <c r="P81" s="16">
        <f>AVERAGE(ReturnData!P81:P91)</f>
        <v>2.2136363636363631E-2</v>
      </c>
      <c r="Q81" s="16">
        <f>AVERAGE(ReturnData!Q81:Q91)</f>
        <v>2.2481818181818183E-2</v>
      </c>
    </row>
    <row r="82" spans="1:17" x14ac:dyDescent="0.25">
      <c r="A82">
        <f>ReturnData!A94</f>
        <v>198109</v>
      </c>
      <c r="B82" s="16">
        <f>AVERAGE(ReturnData!B82:B92)</f>
        <v>1.1972727272727272E-2</v>
      </c>
      <c r="C82" s="16">
        <f>AVERAGE(ReturnData!C82:C92)</f>
        <v>1.3100000000000001E-2</v>
      </c>
      <c r="D82" s="16">
        <f>AVERAGE(ReturnData!D82:D92)</f>
        <v>1.5045454545454546E-2</v>
      </c>
      <c r="E82" s="16">
        <f>AVERAGE(ReturnData!E82:E92)</f>
        <v>1.9918181818181821E-2</v>
      </c>
      <c r="F82" s="16">
        <f>AVERAGE(ReturnData!F82:F92)</f>
        <v>1.3272727272727271E-2</v>
      </c>
      <c r="G82" s="16">
        <f>AVERAGE(ReturnData!G82:G92)</f>
        <v>7.6545454545454521E-3</v>
      </c>
      <c r="H82" s="16">
        <f>AVERAGE(ReturnData!H82:H92)</f>
        <v>1.2890909090909092E-2</v>
      </c>
      <c r="I82" s="16">
        <f>AVERAGE(ReturnData!I82:I92)</f>
        <v>9.1636363636363634E-3</v>
      </c>
      <c r="J82" s="16">
        <f>AVERAGE(ReturnData!J82:J92)</f>
        <v>1.8281818181818177E-2</v>
      </c>
      <c r="K82" s="16">
        <f>AVERAGE(ReturnData!K82:K92)</f>
        <v>1.670909090909091E-2</v>
      </c>
      <c r="L82" s="16">
        <f>AVERAGE(ReturnData!L82:L92)</f>
        <v>5.2272727272727262E-3</v>
      </c>
      <c r="M82" s="16">
        <f>AVERAGE(ReturnData!M82:M92)</f>
        <v>6.2000000000000006E-3</v>
      </c>
      <c r="N82" s="16">
        <f>AVERAGE(ReturnData!N82:N92)</f>
        <v>1.5836363636363635E-2</v>
      </c>
      <c r="O82" s="16">
        <f>AVERAGE(ReturnData!O82:O92)</f>
        <v>1.0945454545454543E-2</v>
      </c>
      <c r="P82" s="16">
        <f>AVERAGE(ReturnData!P82:P92)</f>
        <v>1.8745454545454544E-2</v>
      </c>
      <c r="Q82" s="16">
        <f>AVERAGE(ReturnData!Q82:Q92)</f>
        <v>1.7981818181818182E-2</v>
      </c>
    </row>
    <row r="83" spans="1:17" x14ac:dyDescent="0.25">
      <c r="A83">
        <f>ReturnData!A95</f>
        <v>198110</v>
      </c>
      <c r="B83" s="16">
        <f>AVERAGE(ReturnData!B83:B93)</f>
        <v>7.6090909090909091E-3</v>
      </c>
      <c r="C83" s="16">
        <f>AVERAGE(ReturnData!C83:C93)</f>
        <v>1.8909090909090922E-3</v>
      </c>
      <c r="D83" s="16">
        <f>AVERAGE(ReturnData!D83:D93)</f>
        <v>2.8272727272727273E-3</v>
      </c>
      <c r="E83" s="16">
        <f>AVERAGE(ReturnData!E83:E93)</f>
        <v>1.3036363636363636E-2</v>
      </c>
      <c r="F83" s="16">
        <f>AVERAGE(ReturnData!F83:F93)</f>
        <v>4.9999999999999992E-3</v>
      </c>
      <c r="G83" s="16">
        <f>AVERAGE(ReturnData!G83:G93)</f>
        <v>-3.7272727272727582E-4</v>
      </c>
      <c r="H83" s="16">
        <f>AVERAGE(ReturnData!H83:H93)</f>
        <v>7.3909090909090895E-3</v>
      </c>
      <c r="I83" s="16">
        <f>AVERAGE(ReturnData!I83:I93)</f>
        <v>2.9090909090909054E-3</v>
      </c>
      <c r="J83" s="16">
        <f>AVERAGE(ReturnData!J83:J93)</f>
        <v>7.4181818181818177E-3</v>
      </c>
      <c r="K83" s="16">
        <f>AVERAGE(ReturnData!K83:K93)</f>
        <v>8.2181818181818172E-3</v>
      </c>
      <c r="L83" s="16">
        <f>AVERAGE(ReturnData!L83:L93)</f>
        <v>-3.2909090909090917E-3</v>
      </c>
      <c r="M83" s="16">
        <f>AVERAGE(ReturnData!M83:M93)</f>
        <v>-3.4909090909090892E-3</v>
      </c>
      <c r="N83" s="16">
        <f>AVERAGE(ReturnData!N83:N93)</f>
        <v>4.427272727272725E-3</v>
      </c>
      <c r="O83" s="16">
        <f>AVERAGE(ReturnData!O83:O93)</f>
        <v>1.0054545454545453E-2</v>
      </c>
      <c r="P83" s="16">
        <f>AVERAGE(ReturnData!P83:P93)</f>
        <v>1.3427272727272722E-2</v>
      </c>
      <c r="Q83" s="16">
        <f>AVERAGE(ReturnData!Q83:Q93)</f>
        <v>1.0927272727272728E-2</v>
      </c>
    </row>
    <row r="84" spans="1:17" x14ac:dyDescent="0.25">
      <c r="A84">
        <f>ReturnData!A96</f>
        <v>198111</v>
      </c>
      <c r="B84" s="16">
        <f>AVERAGE(ReturnData!B84:B94)</f>
        <v>6.7454545454545441E-3</v>
      </c>
      <c r="C84" s="16">
        <f>AVERAGE(ReturnData!C84:C94)</f>
        <v>-1.138181818181818E-2</v>
      </c>
      <c r="D84" s="16">
        <f>AVERAGE(ReturnData!D84:D94)</f>
        <v>-1.5563636363636365E-2</v>
      </c>
      <c r="E84" s="16">
        <f>AVERAGE(ReturnData!E84:E94)</f>
        <v>9.2545454545454545E-3</v>
      </c>
      <c r="F84" s="16">
        <f>AVERAGE(ReturnData!F84:F94)</f>
        <v>7.2727272727272918E-5</v>
      </c>
      <c r="G84" s="16">
        <f>AVERAGE(ReturnData!G84:G94)</f>
        <v>-6.9636363636363654E-3</v>
      </c>
      <c r="H84" s="16">
        <f>AVERAGE(ReturnData!H84:H94)</f>
        <v>7.6545454545454547E-3</v>
      </c>
      <c r="I84" s="16">
        <f>AVERAGE(ReturnData!I84:I94)</f>
        <v>-9.0999999999999987E-3</v>
      </c>
      <c r="J84" s="16">
        <f>AVERAGE(ReturnData!J84:J94)</f>
        <v>-2.1818181818181813E-4</v>
      </c>
      <c r="K84" s="16">
        <f>AVERAGE(ReturnData!K84:K94)</f>
        <v>-3.4999999999999992E-3</v>
      </c>
      <c r="L84" s="16">
        <f>AVERAGE(ReturnData!L84:L94)</f>
        <v>-1.0618181818181818E-2</v>
      </c>
      <c r="M84" s="16">
        <f>AVERAGE(ReturnData!M84:M94)</f>
        <v>-1.8181818181818167E-3</v>
      </c>
      <c r="N84" s="16">
        <f>AVERAGE(ReturnData!N84:N94)</f>
        <v>-2.5363636363636356E-3</v>
      </c>
      <c r="O84" s="16">
        <f>AVERAGE(ReturnData!O84:O94)</f>
        <v>3.263636363636364E-3</v>
      </c>
      <c r="P84" s="16">
        <f>AVERAGE(ReturnData!P84:P94)</f>
        <v>1.2781818181818179E-2</v>
      </c>
      <c r="Q84" s="16">
        <f>AVERAGE(ReturnData!Q84:Q94)</f>
        <v>8.5454545454545436E-3</v>
      </c>
    </row>
    <row r="85" spans="1:17" x14ac:dyDescent="0.25">
      <c r="A85">
        <f>ReturnData!A97</f>
        <v>198112</v>
      </c>
      <c r="B85" s="16">
        <f>AVERAGE(ReturnData!B85:B95)</f>
        <v>1.4500000000000001E-2</v>
      </c>
      <c r="C85" s="16">
        <f>AVERAGE(ReturnData!C85:C95)</f>
        <v>-1.5990909090909087E-2</v>
      </c>
      <c r="D85" s="16">
        <f>AVERAGE(ReturnData!D85:D95)</f>
        <v>-2.7809090909090908E-2</v>
      </c>
      <c r="E85" s="16">
        <f>AVERAGE(ReturnData!E85:E95)</f>
        <v>1.0972727272727273E-2</v>
      </c>
      <c r="F85" s="16">
        <f>AVERAGE(ReturnData!F85:F95)</f>
        <v>-6.0909090909090887E-3</v>
      </c>
      <c r="G85" s="16">
        <f>AVERAGE(ReturnData!G85:G95)</f>
        <v>-9.8727272727272726E-3</v>
      </c>
      <c r="H85" s="16">
        <f>AVERAGE(ReturnData!H85:H95)</f>
        <v>8.0181818181818184E-3</v>
      </c>
      <c r="I85" s="16">
        <f>AVERAGE(ReturnData!I85:I95)</f>
        <v>-1.4218181818181819E-2</v>
      </c>
      <c r="J85" s="16">
        <f>AVERAGE(ReturnData!J85:J95)</f>
        <v>-4.0181818181818174E-3</v>
      </c>
      <c r="K85" s="16">
        <f>AVERAGE(ReturnData!K85:K95)</f>
        <v>-6.4090909090909094E-3</v>
      </c>
      <c r="L85" s="16">
        <f>AVERAGE(ReturnData!L85:L95)</f>
        <v>-1.6899999999999998E-2</v>
      </c>
      <c r="M85" s="16">
        <f>AVERAGE(ReturnData!M85:M95)</f>
        <v>-9.0272727272727275E-3</v>
      </c>
      <c r="N85" s="16">
        <f>AVERAGE(ReturnData!N85:N95)</f>
        <v>-8.363636363636363E-3</v>
      </c>
      <c r="O85" s="16">
        <f>AVERAGE(ReturnData!O85:O95)</f>
        <v>9.9090909090909091E-4</v>
      </c>
      <c r="P85" s="16">
        <f>AVERAGE(ReturnData!P85:P95)</f>
        <v>1.7809090909090906E-2</v>
      </c>
      <c r="Q85" s="16">
        <f>AVERAGE(ReturnData!Q85:Q95)</f>
        <v>1.0218181818181821E-2</v>
      </c>
    </row>
    <row r="86" spans="1:17" x14ac:dyDescent="0.25">
      <c r="A86">
        <f>ReturnData!A98</f>
        <v>198201</v>
      </c>
      <c r="B86" s="16">
        <f>AVERAGE(ReturnData!B86:B96)</f>
        <v>1.4663636363636363E-2</v>
      </c>
      <c r="C86" s="16">
        <f>AVERAGE(ReturnData!C86:C96)</f>
        <v>-6.5272727272727253E-3</v>
      </c>
      <c r="D86" s="16">
        <f>AVERAGE(ReturnData!D86:D96)</f>
        <v>-1.1863636363636366E-2</v>
      </c>
      <c r="E86" s="16">
        <f>AVERAGE(ReturnData!E86:E96)</f>
        <v>1.2918181818181822E-2</v>
      </c>
      <c r="F86" s="16">
        <f>AVERAGE(ReturnData!F86:F96)</f>
        <v>1.6000000000000029E-3</v>
      </c>
      <c r="G86" s="16">
        <f>AVERAGE(ReturnData!G86:G96)</f>
        <v>-4.7181818181818184E-3</v>
      </c>
      <c r="H86" s="16">
        <f>AVERAGE(ReturnData!H86:H96)</f>
        <v>7.8909090909090891E-3</v>
      </c>
      <c r="I86" s="16">
        <f>AVERAGE(ReturnData!I86:I96)</f>
        <v>-4.8909090909090925E-3</v>
      </c>
      <c r="J86" s="16">
        <f>AVERAGE(ReturnData!J86:J96)</f>
        <v>3.9090909090909089E-3</v>
      </c>
      <c r="K86" s="16">
        <f>AVERAGE(ReturnData!K86:K96)</f>
        <v>-4.7454545454545466E-3</v>
      </c>
      <c r="L86" s="16">
        <f>AVERAGE(ReturnData!L86:L96)</f>
        <v>-1.2E-2</v>
      </c>
      <c r="M86" s="16">
        <f>AVERAGE(ReturnData!M86:M96)</f>
        <v>-6.0545454545454513E-3</v>
      </c>
      <c r="N86" s="16">
        <f>AVERAGE(ReturnData!N86:N96)</f>
        <v>-6.2818181818181809E-3</v>
      </c>
      <c r="O86" s="16">
        <f>AVERAGE(ReturnData!O86:O96)</f>
        <v>8.1454545454545443E-3</v>
      </c>
      <c r="P86" s="16">
        <f>AVERAGE(ReturnData!P86:P96)</f>
        <v>1.8154545454545448E-2</v>
      </c>
      <c r="Q86" s="16">
        <f>AVERAGE(ReturnData!Q86:Q96)</f>
        <v>1.2536363636363639E-2</v>
      </c>
    </row>
    <row r="87" spans="1:17" x14ac:dyDescent="0.25">
      <c r="A87">
        <f>ReturnData!A99</f>
        <v>198202</v>
      </c>
      <c r="B87" s="16">
        <f>AVERAGE(ReturnData!B87:B97)</f>
        <v>1.2336363636363635E-2</v>
      </c>
      <c r="C87" s="16">
        <f>AVERAGE(ReturnData!C87:C97)</f>
        <v>-4.0999999999999986E-3</v>
      </c>
      <c r="D87" s="16">
        <f>AVERAGE(ReturnData!D87:D97)</f>
        <v>-8.800000000000004E-3</v>
      </c>
      <c r="E87" s="16">
        <f>AVERAGE(ReturnData!E87:E97)</f>
        <v>4.7272727272727275E-3</v>
      </c>
      <c r="F87" s="16">
        <f>AVERAGE(ReturnData!F87:F97)</f>
        <v>2.3727272727272759E-3</v>
      </c>
      <c r="G87" s="16">
        <f>AVERAGE(ReturnData!G87:G97)</f>
        <v>-7.6727272727272746E-3</v>
      </c>
      <c r="H87" s="16">
        <f>AVERAGE(ReturnData!H87:H97)</f>
        <v>7.4272727272727259E-3</v>
      </c>
      <c r="I87" s="16">
        <f>AVERAGE(ReturnData!I87:I97)</f>
        <v>-5.0545454545454539E-3</v>
      </c>
      <c r="J87" s="16">
        <f>AVERAGE(ReturnData!J87:J97)</f>
        <v>8.1818181818181827E-4</v>
      </c>
      <c r="K87" s="16">
        <f>AVERAGE(ReturnData!K87:K97)</f>
        <v>-1.5181818181818176E-3</v>
      </c>
      <c r="L87" s="16">
        <f>AVERAGE(ReturnData!L87:L97)</f>
        <v>-5.7727272727272714E-3</v>
      </c>
      <c r="M87" s="16">
        <f>AVERAGE(ReturnData!M87:M97)</f>
        <v>-1.6272727272727263E-3</v>
      </c>
      <c r="N87" s="16">
        <f>AVERAGE(ReturnData!N87:N97)</f>
        <v>-5.3636363636363647E-3</v>
      </c>
      <c r="O87" s="16">
        <f>AVERAGE(ReturnData!O87:O97)</f>
        <v>8.363636363636363E-3</v>
      </c>
      <c r="P87" s="16">
        <f>AVERAGE(ReturnData!P87:P97)</f>
        <v>1.5000000000000003E-2</v>
      </c>
      <c r="Q87" s="16">
        <f>AVERAGE(ReturnData!Q87:Q97)</f>
        <v>1.1318181818181821E-2</v>
      </c>
    </row>
    <row r="88" spans="1:17" x14ac:dyDescent="0.25">
      <c r="A88">
        <f>ReturnData!A100</f>
        <v>198203</v>
      </c>
      <c r="B88" s="16">
        <f>AVERAGE(ReturnData!B88:B98)</f>
        <v>9.7818181818181815E-3</v>
      </c>
      <c r="C88" s="16">
        <f>AVERAGE(ReturnData!C88:C98)</f>
        <v>-1.1136363636363632E-2</v>
      </c>
      <c r="D88" s="16">
        <f>AVERAGE(ReturnData!D88:D98)</f>
        <v>-1.6281818181818185E-2</v>
      </c>
      <c r="E88" s="16">
        <f>AVERAGE(ReturnData!E88:E98)</f>
        <v>2.6818181818181806E-3</v>
      </c>
      <c r="F88" s="16">
        <f>AVERAGE(ReturnData!F88:F98)</f>
        <v>-1.6818181818181821E-3</v>
      </c>
      <c r="G88" s="16">
        <f>AVERAGE(ReturnData!G88:G98)</f>
        <v>-1.5172727272727275E-2</v>
      </c>
      <c r="H88" s="16">
        <f>AVERAGE(ReturnData!H88:H98)</f>
        <v>6.7363636363636367E-3</v>
      </c>
      <c r="I88" s="16">
        <f>AVERAGE(ReturnData!I88:I98)</f>
        <v>-1.520909090909091E-2</v>
      </c>
      <c r="J88" s="16">
        <f>AVERAGE(ReturnData!J88:J98)</f>
        <v>-9.5727272727272727E-3</v>
      </c>
      <c r="K88" s="16">
        <f>AVERAGE(ReturnData!K88:K98)</f>
        <v>-5.527272727272727E-3</v>
      </c>
      <c r="L88" s="16">
        <f>AVERAGE(ReturnData!L88:L98)</f>
        <v>-5.9818181818181802E-3</v>
      </c>
      <c r="M88" s="16">
        <f>AVERAGE(ReturnData!M88:M98)</f>
        <v>-8.0999999999999978E-3</v>
      </c>
      <c r="N88" s="16">
        <f>AVERAGE(ReturnData!N88:N98)</f>
        <v>-8.1181818181818195E-3</v>
      </c>
      <c r="O88" s="16">
        <f>AVERAGE(ReturnData!O88:O98)</f>
        <v>8.9090909090909099E-3</v>
      </c>
      <c r="P88" s="16">
        <f>AVERAGE(ReturnData!P88:P98)</f>
        <v>1.2345454545454543E-2</v>
      </c>
      <c r="Q88" s="16">
        <f>AVERAGE(ReturnData!Q88:Q98)</f>
        <v>7.5545454545454579E-3</v>
      </c>
    </row>
    <row r="89" spans="1:17" x14ac:dyDescent="0.25">
      <c r="A89">
        <f>ReturnData!A101</f>
        <v>198204</v>
      </c>
      <c r="B89" s="16">
        <f>AVERAGE(ReturnData!B89:B99)</f>
        <v>2.8454545454545451E-3</v>
      </c>
      <c r="C89" s="16">
        <f>AVERAGE(ReturnData!C89:C99)</f>
        <v>-3.3327272727272726E-2</v>
      </c>
      <c r="D89" s="16">
        <f>AVERAGE(ReturnData!D89:D99)</f>
        <v>-2.4818181818181819E-2</v>
      </c>
      <c r="E89" s="16">
        <f>AVERAGE(ReturnData!E89:E99)</f>
        <v>-7.8454545454545461E-3</v>
      </c>
      <c r="F89" s="16">
        <f>AVERAGE(ReturnData!F89:F99)</f>
        <v>-9.1363636363636352E-3</v>
      </c>
      <c r="G89" s="16">
        <f>AVERAGE(ReturnData!G89:G99)</f>
        <v>-2.3081818181818183E-2</v>
      </c>
      <c r="H89" s="16">
        <f>AVERAGE(ReturnData!H89:H99)</f>
        <v>5.3636363636363625E-4</v>
      </c>
      <c r="I89" s="16">
        <f>AVERAGE(ReturnData!I89:I99)</f>
        <v>-2.8745454545454543E-2</v>
      </c>
      <c r="J89" s="16">
        <f>AVERAGE(ReturnData!J89:J99)</f>
        <v>-3.1963636363636368E-2</v>
      </c>
      <c r="K89" s="16">
        <f>AVERAGE(ReturnData!K89:K99)</f>
        <v>-1.6472727272727271E-2</v>
      </c>
      <c r="L89" s="16">
        <f>AVERAGE(ReturnData!L89:L99)</f>
        <v>-1.5363636363636362E-2</v>
      </c>
      <c r="M89" s="16">
        <f>AVERAGE(ReturnData!M89:M99)</f>
        <v>-1.7863636363636359E-2</v>
      </c>
      <c r="N89" s="16">
        <f>AVERAGE(ReturnData!N89:N99)</f>
        <v>-0.02</v>
      </c>
      <c r="O89" s="16">
        <f>AVERAGE(ReturnData!O89:O99)</f>
        <v>5.8727272727272717E-3</v>
      </c>
      <c r="P89" s="16">
        <f>AVERAGE(ReturnData!P89:P99)</f>
        <v>-2.4545454545454491E-4</v>
      </c>
      <c r="Q89" s="16">
        <f>AVERAGE(ReturnData!Q89:Q99)</f>
        <v>-1.3727272727272718E-3</v>
      </c>
    </row>
    <row r="90" spans="1:17" x14ac:dyDescent="0.25">
      <c r="A90">
        <f>ReturnData!A102</f>
        <v>198205</v>
      </c>
      <c r="B90" s="16">
        <f>AVERAGE(ReturnData!B90:B100)</f>
        <v>6.0181818181818166E-3</v>
      </c>
      <c r="C90" s="16">
        <f>AVERAGE(ReturnData!C90:C100)</f>
        <v>-4.0072727272727274E-2</v>
      </c>
      <c r="D90" s="16">
        <f>AVERAGE(ReturnData!D90:D100)</f>
        <v>-2.1000000000000001E-2</v>
      </c>
      <c r="E90" s="16">
        <f>AVERAGE(ReturnData!E90:E100)</f>
        <v>-8.7272727272727276E-3</v>
      </c>
      <c r="F90" s="16">
        <f>AVERAGE(ReturnData!F90:F100)</f>
        <v>-6.2909090909090892E-3</v>
      </c>
      <c r="G90" s="16">
        <f>AVERAGE(ReturnData!G90:G100)</f>
        <v>-2.2054545454545459E-2</v>
      </c>
      <c r="H90" s="16">
        <f>AVERAGE(ReturnData!H90:H100)</f>
        <v>-2.8999999999999998E-3</v>
      </c>
      <c r="I90" s="16">
        <f>AVERAGE(ReturnData!I90:I100)</f>
        <v>-2.9654545454545454E-2</v>
      </c>
      <c r="J90" s="16">
        <f>AVERAGE(ReturnData!J90:J100)</f>
        <v>-3.5200000000000002E-2</v>
      </c>
      <c r="K90" s="16">
        <f>AVERAGE(ReturnData!K90:K100)</f>
        <v>-2.1945454545454546E-2</v>
      </c>
      <c r="L90" s="16">
        <f>AVERAGE(ReturnData!L90:L100)</f>
        <v>-1.8436363636363636E-2</v>
      </c>
      <c r="M90" s="16">
        <f>AVERAGE(ReturnData!M90:M100)</f>
        <v>-1.61E-2</v>
      </c>
      <c r="N90" s="16">
        <f>AVERAGE(ReturnData!N90:N100)</f>
        <v>-2.1372727272727269E-2</v>
      </c>
      <c r="O90" s="16">
        <f>AVERAGE(ReturnData!O90:O100)</f>
        <v>9.8181818181818179E-3</v>
      </c>
      <c r="P90" s="16">
        <f>AVERAGE(ReturnData!P90:P100)</f>
        <v>1.236363636363637E-3</v>
      </c>
      <c r="Q90" s="16">
        <f>AVERAGE(ReturnData!Q90:Q100)</f>
        <v>-2.9181818181818172E-3</v>
      </c>
    </row>
    <row r="91" spans="1:17" x14ac:dyDescent="0.25">
      <c r="A91">
        <f>ReturnData!A103</f>
        <v>198206</v>
      </c>
      <c r="B91" s="16">
        <f>AVERAGE(ReturnData!B91:B101)</f>
        <v>9.9545454545454538E-3</v>
      </c>
      <c r="C91" s="16">
        <f>AVERAGE(ReturnData!C91:C101)</f>
        <v>-3.9727272727272729E-2</v>
      </c>
      <c r="D91" s="16">
        <f>AVERAGE(ReturnData!D91:D101)</f>
        <v>-1.3300000000000005E-2</v>
      </c>
      <c r="E91" s="16">
        <f>AVERAGE(ReturnData!E91:E101)</f>
        <v>-2.7727272727272726E-3</v>
      </c>
      <c r="F91" s="16">
        <f>AVERAGE(ReturnData!F91:F101)</f>
        <v>-5.6636363636363611E-3</v>
      </c>
      <c r="G91" s="16">
        <f>AVERAGE(ReturnData!G91:G101)</f>
        <v>-1.5672727272727272E-2</v>
      </c>
      <c r="H91" s="16">
        <f>AVERAGE(ReturnData!H91:H101)</f>
        <v>1.6272727272727285E-3</v>
      </c>
      <c r="I91" s="16">
        <f>AVERAGE(ReturnData!I91:I101)</f>
        <v>-2.7900000000000001E-2</v>
      </c>
      <c r="J91" s="16">
        <f>AVERAGE(ReturnData!J91:J101)</f>
        <v>-3.3663636363636361E-2</v>
      </c>
      <c r="K91" s="16">
        <f>AVERAGE(ReturnData!K91:K101)</f>
        <v>-1.999090909090909E-2</v>
      </c>
      <c r="L91" s="16">
        <f>AVERAGE(ReturnData!L91:L101)</f>
        <v>-1.5581818181818179E-2</v>
      </c>
      <c r="M91" s="16">
        <f>AVERAGE(ReturnData!M91:M101)</f>
        <v>-1.4627272727272728E-2</v>
      </c>
      <c r="N91" s="16">
        <f>AVERAGE(ReturnData!N91:N101)</f>
        <v>-1.9272727272727271E-2</v>
      </c>
      <c r="O91" s="16">
        <f>AVERAGE(ReturnData!O91:O101)</f>
        <v>1.1654545454545452E-2</v>
      </c>
      <c r="P91" s="16">
        <f>AVERAGE(ReturnData!P91:P101)</f>
        <v>3.7000000000000015E-3</v>
      </c>
      <c r="Q91" s="16">
        <f>AVERAGE(ReturnData!Q91:Q101)</f>
        <v>-2.4545454545454536E-3</v>
      </c>
    </row>
    <row r="92" spans="1:17" x14ac:dyDescent="0.25">
      <c r="A92">
        <f>ReturnData!A104</f>
        <v>198207</v>
      </c>
      <c r="B92" s="16">
        <f>AVERAGE(ReturnData!B92:B102)</f>
        <v>8.3000000000000001E-3</v>
      </c>
      <c r="C92" s="16">
        <f>AVERAGE(ReturnData!C92:C102)</f>
        <v>-4.2290909090909094E-2</v>
      </c>
      <c r="D92" s="16">
        <f>AVERAGE(ReturnData!D92:D102)</f>
        <v>-1.5518181818181822E-2</v>
      </c>
      <c r="E92" s="16">
        <f>AVERAGE(ReturnData!E92:E102)</f>
        <v>-4.6363636363636364E-3</v>
      </c>
      <c r="F92" s="16">
        <f>AVERAGE(ReturnData!F92:F102)</f>
        <v>-4.9818181818181819E-3</v>
      </c>
      <c r="G92" s="16">
        <f>AVERAGE(ReturnData!G92:G102)</f>
        <v>-2.2054545454545459E-2</v>
      </c>
      <c r="H92" s="16">
        <f>AVERAGE(ReturnData!H92:H102)</f>
        <v>1.0000000000000002E-3</v>
      </c>
      <c r="I92" s="16">
        <f>AVERAGE(ReturnData!I92:I102)</f>
        <v>-3.1245454545454545E-2</v>
      </c>
      <c r="J92" s="16">
        <f>AVERAGE(ReturnData!J92:J102)</f>
        <v>-3.4190909090909091E-2</v>
      </c>
      <c r="K92" s="16">
        <f>AVERAGE(ReturnData!K92:K102)</f>
        <v>-1.8781818181818184E-2</v>
      </c>
      <c r="L92" s="16">
        <f>AVERAGE(ReturnData!L92:L102)</f>
        <v>-1.5609090909090906E-2</v>
      </c>
      <c r="M92" s="16">
        <f>AVERAGE(ReturnData!M92:M102)</f>
        <v>-1.2036363636363635E-2</v>
      </c>
      <c r="N92" s="16">
        <f>AVERAGE(ReturnData!N92:N102)</f>
        <v>-1.9818181818181822E-2</v>
      </c>
      <c r="O92" s="16">
        <f>AVERAGE(ReturnData!O92:O102)</f>
        <v>8.0545454545454549E-3</v>
      </c>
      <c r="P92" s="16">
        <f>AVERAGE(ReturnData!P92:P102)</f>
        <v>2.2636363636363648E-3</v>
      </c>
      <c r="Q92" s="16">
        <f>AVERAGE(ReturnData!Q92:Q102)</f>
        <v>-9.0272727272727275E-3</v>
      </c>
    </row>
    <row r="93" spans="1:17" x14ac:dyDescent="0.25">
      <c r="A93">
        <f>ReturnData!A105</f>
        <v>198208</v>
      </c>
      <c r="B93" s="16">
        <f>AVERAGE(ReturnData!B93:B103)</f>
        <v>1.1327272727272727E-2</v>
      </c>
      <c r="C93" s="16">
        <f>AVERAGE(ReturnData!C93:C103)</f>
        <v>-5.170909090909092E-2</v>
      </c>
      <c r="D93" s="16">
        <f>AVERAGE(ReturnData!D93:D103)</f>
        <v>-2.8736363636363636E-2</v>
      </c>
      <c r="E93" s="16">
        <f>AVERAGE(ReturnData!E93:E103)</f>
        <v>-3.1363636363636359E-3</v>
      </c>
      <c r="F93" s="16">
        <f>AVERAGE(ReturnData!F93:F103)</f>
        <v>-1.3636363636363553E-4</v>
      </c>
      <c r="G93" s="16">
        <f>AVERAGE(ReturnData!G93:G103)</f>
        <v>-2.1745454545454547E-2</v>
      </c>
      <c r="H93" s="16">
        <f>AVERAGE(ReturnData!H93:H103)</f>
        <v>3.027272727272727E-3</v>
      </c>
      <c r="I93" s="16">
        <f>AVERAGE(ReturnData!I93:I103)</f>
        <v>-2.9936363636363639E-2</v>
      </c>
      <c r="J93" s="16">
        <f>AVERAGE(ReturnData!J93:J103)</f>
        <v>-4.0554545454545447E-2</v>
      </c>
      <c r="K93" s="16">
        <f>AVERAGE(ReturnData!K93:K103)</f>
        <v>-2.4136363636363636E-2</v>
      </c>
      <c r="L93" s="16">
        <f>AVERAGE(ReturnData!L93:L103)</f>
        <v>-1.5390909090909089E-2</v>
      </c>
      <c r="M93" s="16">
        <f>AVERAGE(ReturnData!M93:M103)</f>
        <v>-6.9363636363636355E-3</v>
      </c>
      <c r="N93" s="16">
        <f>AVERAGE(ReturnData!N93:N103)</f>
        <v>-1.4827272727272729E-2</v>
      </c>
      <c r="O93" s="16">
        <f>AVERAGE(ReturnData!O93:O103)</f>
        <v>3.5000000000000005E-3</v>
      </c>
      <c r="P93" s="16">
        <f>AVERAGE(ReturnData!P93:P103)</f>
        <v>8.5363636363636353E-3</v>
      </c>
      <c r="Q93" s="16">
        <f>AVERAGE(ReturnData!Q93:Q103)</f>
        <v>-8.4636363636363642E-3</v>
      </c>
    </row>
    <row r="94" spans="1:17" x14ac:dyDescent="0.25">
      <c r="A94">
        <f>ReturnData!A106</f>
        <v>198209</v>
      </c>
      <c r="B94" s="16">
        <f>AVERAGE(ReturnData!B94:B104)</f>
        <v>1.7563636363636361E-2</v>
      </c>
      <c r="C94" s="16">
        <f>AVERAGE(ReturnData!C94:C104)</f>
        <v>-5.681818181818183E-2</v>
      </c>
      <c r="D94" s="16">
        <f>AVERAGE(ReturnData!D94:D104)</f>
        <v>-3.0118181818181822E-2</v>
      </c>
      <c r="E94" s="16">
        <f>AVERAGE(ReturnData!E94:E104)</f>
        <v>1.7181818181818186E-3</v>
      </c>
      <c r="F94" s="16">
        <f>AVERAGE(ReturnData!F94:F104)</f>
        <v>8.0363636363636384E-3</v>
      </c>
      <c r="G94" s="16">
        <f>AVERAGE(ReturnData!G94:G104)</f>
        <v>-1.8890909090909094E-2</v>
      </c>
      <c r="H94" s="16">
        <f>AVERAGE(ReturnData!H94:H104)</f>
        <v>7.1272727272727269E-3</v>
      </c>
      <c r="I94" s="16">
        <f>AVERAGE(ReturnData!I94:I104)</f>
        <v>-2.8036363636363641E-2</v>
      </c>
      <c r="J94" s="16">
        <f>AVERAGE(ReturnData!J94:J104)</f>
        <v>-3.8009090909090909E-2</v>
      </c>
      <c r="K94" s="16">
        <f>AVERAGE(ReturnData!K94:K104)</f>
        <v>-2.122727272727273E-2</v>
      </c>
      <c r="L94" s="16">
        <f>AVERAGE(ReturnData!L94:L104)</f>
        <v>-9.072727272727274E-3</v>
      </c>
      <c r="M94" s="16">
        <f>AVERAGE(ReturnData!M94:M104)</f>
        <v>-2.1727272727272737E-3</v>
      </c>
      <c r="N94" s="16">
        <f>AVERAGE(ReturnData!N94:N104)</f>
        <v>-7.8090909090909105E-3</v>
      </c>
      <c r="O94" s="16">
        <f>AVERAGE(ReturnData!O94:O104)</f>
        <v>1.9181818181818191E-3</v>
      </c>
      <c r="P94" s="16">
        <f>AVERAGE(ReturnData!P94:P104)</f>
        <v>1.487272727272727E-2</v>
      </c>
      <c r="Q94" s="16">
        <f>AVERAGE(ReturnData!Q94:Q104)</f>
        <v>-6.4818181818181806E-3</v>
      </c>
    </row>
    <row r="95" spans="1:17" x14ac:dyDescent="0.25">
      <c r="A95">
        <f>ReturnData!A107</f>
        <v>198210</v>
      </c>
      <c r="B95" s="16">
        <f>AVERAGE(ReturnData!B95:B105)</f>
        <v>2.5609090909090904E-2</v>
      </c>
      <c r="C95" s="16">
        <f>AVERAGE(ReturnData!C95:C105)</f>
        <v>-2.4299999999999999E-2</v>
      </c>
      <c r="D95" s="16">
        <f>AVERAGE(ReturnData!D95:D105)</f>
        <v>-9.8181818181818214E-3</v>
      </c>
      <c r="E95" s="16">
        <f>AVERAGE(ReturnData!E95:E105)</f>
        <v>1.4081818181818183E-2</v>
      </c>
      <c r="F95" s="16">
        <f>AVERAGE(ReturnData!F95:F105)</f>
        <v>2.1581818181818181E-2</v>
      </c>
      <c r="G95" s="16">
        <f>AVERAGE(ReturnData!G95:G105)</f>
        <v>2.7090909090909084E-3</v>
      </c>
      <c r="H95" s="16">
        <f>AVERAGE(ReturnData!H95:H105)</f>
        <v>1.9036363636363639E-2</v>
      </c>
      <c r="I95" s="16">
        <f>AVERAGE(ReturnData!I95:I105)</f>
        <v>-2.7636363636363644E-3</v>
      </c>
      <c r="J95" s="16">
        <f>AVERAGE(ReturnData!J95:J105)</f>
        <v>-1.7318181818181816E-2</v>
      </c>
      <c r="K95" s="16">
        <f>AVERAGE(ReturnData!K95:K105)</f>
        <v>-5.5000000000000023E-3</v>
      </c>
      <c r="L95" s="16">
        <f>AVERAGE(ReturnData!L95:L105)</f>
        <v>8.0909090909090913E-3</v>
      </c>
      <c r="M95" s="16">
        <f>AVERAGE(ReturnData!M95:M105)</f>
        <v>1.5763636363636365E-2</v>
      </c>
      <c r="N95" s="16">
        <f>AVERAGE(ReturnData!N95:N105)</f>
        <v>1.2554545454545452E-2</v>
      </c>
      <c r="O95" s="16">
        <f>AVERAGE(ReturnData!O95:O105)</f>
        <v>1.7854545454545453E-2</v>
      </c>
      <c r="P95" s="16">
        <f>AVERAGE(ReturnData!P95:P105)</f>
        <v>2.7436363636363637E-2</v>
      </c>
      <c r="Q95" s="16">
        <f>AVERAGE(ReturnData!Q95:Q105)</f>
        <v>6.2181818181818197E-3</v>
      </c>
    </row>
    <row r="96" spans="1:17" x14ac:dyDescent="0.25">
      <c r="A96">
        <f>ReturnData!A108</f>
        <v>198211</v>
      </c>
      <c r="B96" s="16">
        <f>AVERAGE(ReturnData!B96:B106)</f>
        <v>2.1445454545454542E-2</v>
      </c>
      <c r="C96" s="16">
        <f>AVERAGE(ReturnData!C96:C106)</f>
        <v>-2.7309090909090904E-2</v>
      </c>
      <c r="D96" s="16">
        <f>AVERAGE(ReturnData!D96:D106)</f>
        <v>-1.7572727272727282E-2</v>
      </c>
      <c r="E96" s="16">
        <f>AVERAGE(ReturnData!E96:E106)</f>
        <v>1.9027272727272726E-2</v>
      </c>
      <c r="F96" s="16">
        <f>AVERAGE(ReturnData!F96:F106)</f>
        <v>2.0645454545454547E-2</v>
      </c>
      <c r="G96" s="16">
        <f>AVERAGE(ReturnData!G96:G106)</f>
        <v>-2.4727272727272731E-3</v>
      </c>
      <c r="H96" s="16">
        <f>AVERAGE(ReturnData!H96:H106)</f>
        <v>1.5527272727272725E-2</v>
      </c>
      <c r="I96" s="16">
        <f>AVERAGE(ReturnData!I96:I106)</f>
        <v>-4.6090909090909099E-3</v>
      </c>
      <c r="J96" s="16">
        <f>AVERAGE(ReturnData!J96:J106)</f>
        <v>-2.3272727272727268E-2</v>
      </c>
      <c r="K96" s="16">
        <f>AVERAGE(ReturnData!K96:K106)</f>
        <v>-1.3009090909090915E-2</v>
      </c>
      <c r="L96" s="16">
        <f>AVERAGE(ReturnData!L96:L106)</f>
        <v>4.2909090909090918E-3</v>
      </c>
      <c r="M96" s="16">
        <f>AVERAGE(ReturnData!M96:M106)</f>
        <v>2.2772727272727274E-2</v>
      </c>
      <c r="N96" s="16">
        <f>AVERAGE(ReturnData!N96:N106)</f>
        <v>3.2727272727272692E-3</v>
      </c>
      <c r="O96" s="16">
        <f>AVERAGE(ReturnData!O96:O106)</f>
        <v>1.4381818181818183E-2</v>
      </c>
      <c r="P96" s="16">
        <f>AVERAGE(ReturnData!P96:P106)</f>
        <v>2.6218181818181818E-2</v>
      </c>
      <c r="Q96" s="16">
        <f>AVERAGE(ReturnData!Q96:Q106)</f>
        <v>4.8909090909090925E-3</v>
      </c>
    </row>
    <row r="97" spans="1:17" x14ac:dyDescent="0.25">
      <c r="A97">
        <f>ReturnData!A109</f>
        <v>198212</v>
      </c>
      <c r="B97" s="16">
        <f>AVERAGE(ReturnData!B97:B107)</f>
        <v>2.6309090909090907E-2</v>
      </c>
      <c r="C97" s="16">
        <f>AVERAGE(ReturnData!C97:C107)</f>
        <v>-1.3327272727272731E-2</v>
      </c>
      <c r="D97" s="16">
        <f>AVERAGE(ReturnData!D97:D107)</f>
        <v>-1.8836363636363637E-2</v>
      </c>
      <c r="E97" s="16">
        <f>AVERAGE(ReturnData!E97:E107)</f>
        <v>3.1618181818181816E-2</v>
      </c>
      <c r="F97" s="16">
        <f>AVERAGE(ReturnData!F97:F107)</f>
        <v>2.6745454545454548E-2</v>
      </c>
      <c r="G97" s="16">
        <f>AVERAGE(ReturnData!G97:G107)</f>
        <v>5.7272727272727249E-3</v>
      </c>
      <c r="H97" s="16">
        <f>AVERAGE(ReturnData!H97:H107)</f>
        <v>2.0372727272727268E-2</v>
      </c>
      <c r="I97" s="16">
        <f>AVERAGE(ReturnData!I97:I107)</f>
        <v>6.3909090909090869E-3</v>
      </c>
      <c r="J97" s="16">
        <f>AVERAGE(ReturnData!J97:J107)</f>
        <v>-1.8863636363636364E-2</v>
      </c>
      <c r="K97" s="16">
        <f>AVERAGE(ReturnData!K97:K107)</f>
        <v>9.7272727272727159E-4</v>
      </c>
      <c r="L97" s="16">
        <f>AVERAGE(ReturnData!L97:L107)</f>
        <v>1.4727272727272728E-2</v>
      </c>
      <c r="M97" s="16">
        <f>AVERAGE(ReturnData!M97:M107)</f>
        <v>3.5436363636363641E-2</v>
      </c>
      <c r="N97" s="16">
        <f>AVERAGE(ReturnData!N97:N107)</f>
        <v>1.6263636363636362E-2</v>
      </c>
      <c r="O97" s="16">
        <f>AVERAGE(ReturnData!O97:O107)</f>
        <v>1.3299999999999999E-2</v>
      </c>
      <c r="P97" s="16">
        <f>AVERAGE(ReturnData!P97:P107)</f>
        <v>4.0472727272727271E-2</v>
      </c>
      <c r="Q97" s="16">
        <f>AVERAGE(ReturnData!Q97:Q107)</f>
        <v>1.3563636363636366E-2</v>
      </c>
    </row>
    <row r="98" spans="1:17" x14ac:dyDescent="0.25">
      <c r="A98">
        <f>ReturnData!A110</f>
        <v>198301</v>
      </c>
      <c r="B98" s="16">
        <f>AVERAGE(ReturnData!B98:B108)</f>
        <v>3.101818181818182E-2</v>
      </c>
      <c r="C98" s="16">
        <f>AVERAGE(ReturnData!C98:C108)</f>
        <v>-2.1363636363636359E-3</v>
      </c>
      <c r="D98" s="16">
        <f>AVERAGE(ReturnData!D98:D108)</f>
        <v>-1.7145454545454551E-2</v>
      </c>
      <c r="E98" s="16">
        <f>AVERAGE(ReturnData!E98:E108)</f>
        <v>4.0472727272727271E-2</v>
      </c>
      <c r="F98" s="16">
        <f>AVERAGE(ReturnData!F98:F108)</f>
        <v>3.5827272727272721E-2</v>
      </c>
      <c r="G98" s="16">
        <f>AVERAGE(ReturnData!G98:G108)</f>
        <v>1.0000000000000002E-2</v>
      </c>
      <c r="H98" s="16">
        <f>AVERAGE(ReturnData!H98:H108)</f>
        <v>2.4936363636363635E-2</v>
      </c>
      <c r="I98" s="16">
        <f>AVERAGE(ReturnData!I98:I108)</f>
        <v>1.9399999999999997E-2</v>
      </c>
      <c r="J98" s="16">
        <f>AVERAGE(ReturnData!J98:J108)</f>
        <v>-1.3099999999999995E-2</v>
      </c>
      <c r="K98" s="16">
        <f>AVERAGE(ReturnData!K98:K108)</f>
        <v>6.6818181818181785E-3</v>
      </c>
      <c r="L98" s="16">
        <f>AVERAGE(ReturnData!L98:L108)</f>
        <v>2.3981818181818181E-2</v>
      </c>
      <c r="M98" s="16">
        <f>AVERAGE(ReturnData!M98:M108)</f>
        <v>3.9827272727272732E-2</v>
      </c>
      <c r="N98" s="16">
        <f>AVERAGE(ReturnData!N98:N108)</f>
        <v>2.467272727272727E-2</v>
      </c>
      <c r="O98" s="16">
        <f>AVERAGE(ReturnData!O98:O108)</f>
        <v>1.5563636363636363E-2</v>
      </c>
      <c r="P98" s="16">
        <f>AVERAGE(ReturnData!P98:P108)</f>
        <v>5.2309090909090909E-2</v>
      </c>
      <c r="Q98" s="16">
        <f>AVERAGE(ReturnData!Q98:Q108)</f>
        <v>2.3027272727272726E-2</v>
      </c>
    </row>
    <row r="99" spans="1:17" x14ac:dyDescent="0.25">
      <c r="A99">
        <f>ReturnData!A111</f>
        <v>198302</v>
      </c>
      <c r="B99" s="16">
        <f>AVERAGE(ReturnData!B99:B109)</f>
        <v>3.2109090909090907E-2</v>
      </c>
      <c r="C99" s="16">
        <f>AVERAGE(ReturnData!C99:C109)</f>
        <v>1.3572727272727271E-2</v>
      </c>
      <c r="D99" s="16">
        <f>AVERAGE(ReturnData!D99:D109)</f>
        <v>-4.0727272727272765E-3</v>
      </c>
      <c r="E99" s="16">
        <f>AVERAGE(ReturnData!E99:E109)</f>
        <v>4.2309090909090907E-2</v>
      </c>
      <c r="F99" s="16">
        <f>AVERAGE(ReturnData!F99:F109)</f>
        <v>3.0399999999999996E-2</v>
      </c>
      <c r="G99" s="16">
        <f>AVERAGE(ReturnData!G99:G109)</f>
        <v>1.1772727272727273E-2</v>
      </c>
      <c r="H99" s="16">
        <f>AVERAGE(ReturnData!H99:H109)</f>
        <v>2.2063636363636358E-2</v>
      </c>
      <c r="I99" s="16">
        <f>AVERAGE(ReturnData!I99:I109)</f>
        <v>2.869090909090909E-2</v>
      </c>
      <c r="J99" s="16">
        <f>AVERAGE(ReturnData!J99:J109)</f>
        <v>1.5454545454545454E-4</v>
      </c>
      <c r="K99" s="16">
        <f>AVERAGE(ReturnData!K99:K109)</f>
        <v>6.8727272727272717E-3</v>
      </c>
      <c r="L99" s="16">
        <f>AVERAGE(ReturnData!L99:L109)</f>
        <v>2.639090909090909E-2</v>
      </c>
      <c r="M99" s="16">
        <f>AVERAGE(ReturnData!M99:M109)</f>
        <v>4.5200000000000004E-2</v>
      </c>
      <c r="N99" s="16">
        <f>AVERAGE(ReturnData!N99:N109)</f>
        <v>2.9081818181818184E-2</v>
      </c>
      <c r="O99" s="16">
        <f>AVERAGE(ReturnData!O99:O109)</f>
        <v>2.0100000000000003E-2</v>
      </c>
      <c r="P99" s="16">
        <f>AVERAGE(ReturnData!P99:P109)</f>
        <v>4.8809090909090913E-2</v>
      </c>
      <c r="Q99" s="16">
        <f>AVERAGE(ReturnData!Q99:Q109)</f>
        <v>2.2881818181818184E-2</v>
      </c>
    </row>
    <row r="100" spans="1:17" x14ac:dyDescent="0.25">
      <c r="A100">
        <f>ReturnData!A112</f>
        <v>198303</v>
      </c>
      <c r="B100" s="16">
        <f>AVERAGE(ReturnData!B100:B110)</f>
        <v>3.2663636363636367E-2</v>
      </c>
      <c r="C100" s="16">
        <f>AVERAGE(ReturnData!C100:C110)</f>
        <v>3.4154545454545451E-2</v>
      </c>
      <c r="D100" s="16">
        <f>AVERAGE(ReturnData!D100:D110)</f>
        <v>9.6909090909090903E-3</v>
      </c>
      <c r="E100" s="16">
        <f>AVERAGE(ReturnData!E100:E110)</f>
        <v>4.6254545454545458E-2</v>
      </c>
      <c r="F100" s="16">
        <f>AVERAGE(ReturnData!F100:F110)</f>
        <v>3.8590909090909092E-2</v>
      </c>
      <c r="G100" s="16">
        <f>AVERAGE(ReturnData!G100:G110)</f>
        <v>2.6627272727272725E-2</v>
      </c>
      <c r="H100" s="16">
        <f>AVERAGE(ReturnData!H100:H110)</f>
        <v>2.5718181818181817E-2</v>
      </c>
      <c r="I100" s="16">
        <f>AVERAGE(ReturnData!I100:I110)</f>
        <v>3.7118181818181814E-2</v>
      </c>
      <c r="J100" s="16">
        <f>AVERAGE(ReturnData!J100:J110)</f>
        <v>1.1799999999999998E-2</v>
      </c>
      <c r="K100" s="16">
        <f>AVERAGE(ReturnData!K100:K110)</f>
        <v>1.7718181818181817E-2</v>
      </c>
      <c r="L100" s="16">
        <f>AVERAGE(ReturnData!L100:L110)</f>
        <v>3.8863636363636371E-2</v>
      </c>
      <c r="M100" s="16">
        <f>AVERAGE(ReturnData!M100:M110)</f>
        <v>4.9718181818181821E-2</v>
      </c>
      <c r="N100" s="16">
        <f>AVERAGE(ReturnData!N100:N110)</f>
        <v>4.018181818181818E-2</v>
      </c>
      <c r="O100" s="16">
        <f>AVERAGE(ReturnData!O100:O110)</f>
        <v>2.3763636363636365E-2</v>
      </c>
      <c r="P100" s="16">
        <f>AVERAGE(ReturnData!P100:P110)</f>
        <v>4.992727272727273E-2</v>
      </c>
      <c r="Q100" s="16">
        <f>AVERAGE(ReturnData!Q100:Q110)</f>
        <v>2.5972727272727279E-2</v>
      </c>
    </row>
    <row r="101" spans="1:17" x14ac:dyDescent="0.25">
      <c r="A101">
        <f>ReturnData!A113</f>
        <v>198304</v>
      </c>
      <c r="B101" s="16">
        <f>AVERAGE(ReturnData!B101:B111)</f>
        <v>3.1090909090909089E-2</v>
      </c>
      <c r="C101" s="16">
        <f>AVERAGE(ReturnData!C101:C111)</f>
        <v>3.6845454545454542E-2</v>
      </c>
      <c r="D101" s="16">
        <f>AVERAGE(ReturnData!D101:D111)</f>
        <v>1.2490909090909091E-2</v>
      </c>
      <c r="E101" s="16">
        <f>AVERAGE(ReturnData!E101:E111)</f>
        <v>5.3536363636363632E-2</v>
      </c>
      <c r="F101" s="16">
        <f>AVERAGE(ReturnData!F101:F111)</f>
        <v>4.2636363636363632E-2</v>
      </c>
      <c r="G101" s="16">
        <f>AVERAGE(ReturnData!G101:G111)</f>
        <v>3.1790909090909092E-2</v>
      </c>
      <c r="H101" s="16">
        <f>AVERAGE(ReturnData!H101:H111)</f>
        <v>2.8536363636363634E-2</v>
      </c>
      <c r="I101" s="16">
        <f>AVERAGE(ReturnData!I101:I111)</f>
        <v>4.35090909090909E-2</v>
      </c>
      <c r="J101" s="16">
        <f>AVERAGE(ReturnData!J101:J111)</f>
        <v>2.001818181818182E-2</v>
      </c>
      <c r="K101" s="16">
        <f>AVERAGE(ReturnData!K101:K111)</f>
        <v>2.7790909090909088E-2</v>
      </c>
      <c r="L101" s="16">
        <f>AVERAGE(ReturnData!L101:L111)</f>
        <v>4.4790909090909097E-2</v>
      </c>
      <c r="M101" s="16">
        <f>AVERAGE(ReturnData!M101:M111)</f>
        <v>4.7518181818181821E-2</v>
      </c>
      <c r="N101" s="16">
        <f>AVERAGE(ReturnData!N101:N111)</f>
        <v>4.5054545454545451E-2</v>
      </c>
      <c r="O101" s="16">
        <f>AVERAGE(ReturnData!O101:O111)</f>
        <v>2.3700000000000002E-2</v>
      </c>
      <c r="P101" s="16">
        <f>AVERAGE(ReturnData!P101:P111)</f>
        <v>5.1881818181818182E-2</v>
      </c>
      <c r="Q101" s="16">
        <f>AVERAGE(ReturnData!Q101:Q111)</f>
        <v>3.1872727272727282E-2</v>
      </c>
    </row>
    <row r="102" spans="1:17" x14ac:dyDescent="0.25">
      <c r="A102">
        <f>ReturnData!A114</f>
        <v>198305</v>
      </c>
      <c r="B102" s="16">
        <f>AVERAGE(ReturnData!B102:B112)</f>
        <v>3.0363636363636357E-2</v>
      </c>
      <c r="C102" s="16">
        <f>AVERAGE(ReturnData!C102:C112)</f>
        <v>3.9909090909090908E-2</v>
      </c>
      <c r="D102" s="16">
        <f>AVERAGE(ReturnData!D102:D112)</f>
        <v>1.3863636363636363E-2</v>
      </c>
      <c r="E102" s="16">
        <f>AVERAGE(ReturnData!E102:E112)</f>
        <v>5.676363636363637E-2</v>
      </c>
      <c r="F102" s="16">
        <f>AVERAGE(ReturnData!F102:F112)</f>
        <v>3.9345454545454545E-2</v>
      </c>
      <c r="G102" s="16">
        <f>AVERAGE(ReturnData!G102:G112)</f>
        <v>2.7681818181818182E-2</v>
      </c>
      <c r="H102" s="16">
        <f>AVERAGE(ReturnData!H102:H112)</f>
        <v>2.6572727272727269E-2</v>
      </c>
      <c r="I102" s="16">
        <f>AVERAGE(ReturnData!I102:I112)</f>
        <v>4.6599999999999996E-2</v>
      </c>
      <c r="J102" s="16">
        <f>AVERAGE(ReturnData!J102:J112)</f>
        <v>2.1236363636363637E-2</v>
      </c>
      <c r="K102" s="16">
        <f>AVERAGE(ReturnData!K102:K112)</f>
        <v>2.6936363636363633E-2</v>
      </c>
      <c r="L102" s="16">
        <f>AVERAGE(ReturnData!L102:L112)</f>
        <v>3.9936363636363645E-2</v>
      </c>
      <c r="M102" s="16">
        <f>AVERAGE(ReturnData!M102:M112)</f>
        <v>4.245454545454546E-2</v>
      </c>
      <c r="N102" s="16">
        <f>AVERAGE(ReturnData!N102:N112)</f>
        <v>4.4227272727272733E-2</v>
      </c>
      <c r="O102" s="16">
        <f>AVERAGE(ReturnData!O102:O112)</f>
        <v>2.0454545454545458E-2</v>
      </c>
      <c r="P102" s="16">
        <f>AVERAGE(ReturnData!P102:P112)</f>
        <v>5.5572727272727267E-2</v>
      </c>
      <c r="Q102" s="16">
        <f>AVERAGE(ReturnData!Q102:Q112)</f>
        <v>3.5100000000000013E-2</v>
      </c>
    </row>
    <row r="103" spans="1:17" x14ac:dyDescent="0.25">
      <c r="A103">
        <f>ReturnData!A115</f>
        <v>198306</v>
      </c>
      <c r="B103" s="16">
        <f>AVERAGE(ReturnData!B103:B113)</f>
        <v>3.7109090909090897E-2</v>
      </c>
      <c r="C103" s="16">
        <f>AVERAGE(ReturnData!C103:C113)</f>
        <v>5.3645454545454545E-2</v>
      </c>
      <c r="D103" s="16">
        <f>AVERAGE(ReturnData!D103:D113)</f>
        <v>2.0245454545454546E-2</v>
      </c>
      <c r="E103" s="16">
        <f>AVERAGE(ReturnData!E103:E113)</f>
        <v>6.541818181818182E-2</v>
      </c>
      <c r="F103" s="16">
        <f>AVERAGE(ReturnData!F103:F113)</f>
        <v>4.6881818181818177E-2</v>
      </c>
      <c r="G103" s="16">
        <f>AVERAGE(ReturnData!G103:G113)</f>
        <v>3.9709090909090909E-2</v>
      </c>
      <c r="H103" s="16">
        <f>AVERAGE(ReturnData!H103:H113)</f>
        <v>3.4172727272727271E-2</v>
      </c>
      <c r="I103" s="16">
        <f>AVERAGE(ReturnData!I103:I113)</f>
        <v>5.6609090909090901E-2</v>
      </c>
      <c r="J103" s="16">
        <f>AVERAGE(ReturnData!J103:J113)</f>
        <v>3.03090909090909E-2</v>
      </c>
      <c r="K103" s="16">
        <f>AVERAGE(ReturnData!K103:K113)</f>
        <v>3.3454545454545452E-2</v>
      </c>
      <c r="L103" s="16">
        <f>AVERAGE(ReturnData!L103:L113)</f>
        <v>5.1409090909090918E-2</v>
      </c>
      <c r="M103" s="16">
        <f>AVERAGE(ReturnData!M103:M113)</f>
        <v>5.6809090909090913E-2</v>
      </c>
      <c r="N103" s="16">
        <f>AVERAGE(ReturnData!N103:N113)</f>
        <v>5.4090909090909085E-2</v>
      </c>
      <c r="O103" s="16">
        <f>AVERAGE(ReturnData!O103:O113)</f>
        <v>2.5254545454545453E-2</v>
      </c>
      <c r="P103" s="16">
        <f>AVERAGE(ReturnData!P103:P113)</f>
        <v>6.6418181818181821E-2</v>
      </c>
      <c r="Q103" s="16">
        <f>AVERAGE(ReturnData!Q103:Q113)</f>
        <v>4.8418181818181825E-2</v>
      </c>
    </row>
    <row r="104" spans="1:17" x14ac:dyDescent="0.25">
      <c r="A104">
        <f>ReturnData!A116</f>
        <v>198307</v>
      </c>
      <c r="B104" s="16">
        <f>AVERAGE(ReturnData!B104:B114)</f>
        <v>3.4463636363636356E-2</v>
      </c>
      <c r="C104" s="16">
        <f>AVERAGE(ReturnData!C104:C114)</f>
        <v>6.5236363636363634E-2</v>
      </c>
      <c r="D104" s="16">
        <f>AVERAGE(ReturnData!D104:D114)</f>
        <v>2.75E-2</v>
      </c>
      <c r="E104" s="16">
        <f>AVERAGE(ReturnData!E104:E114)</f>
        <v>6.547272727272728E-2</v>
      </c>
      <c r="F104" s="16">
        <f>AVERAGE(ReturnData!F104:F114)</f>
        <v>4.063636363636363E-2</v>
      </c>
      <c r="G104" s="16">
        <f>AVERAGE(ReturnData!G104:G114)</f>
        <v>4.8063636363636371E-2</v>
      </c>
      <c r="H104" s="16">
        <f>AVERAGE(ReturnData!H104:H114)</f>
        <v>3.1009090909090906E-2</v>
      </c>
      <c r="I104" s="16">
        <f>AVERAGE(ReturnData!I104:I114)</f>
        <v>6.1654545454545448E-2</v>
      </c>
      <c r="J104" s="16">
        <f>AVERAGE(ReturnData!J104:J114)</f>
        <v>4.523636363636363E-2</v>
      </c>
      <c r="K104" s="16">
        <f>AVERAGE(ReturnData!K104:K114)</f>
        <v>4.3263636363636358E-2</v>
      </c>
      <c r="L104" s="16">
        <f>AVERAGE(ReturnData!L104:L114)</f>
        <v>5.6490909090909085E-2</v>
      </c>
      <c r="M104" s="16">
        <f>AVERAGE(ReturnData!M104:M114)</f>
        <v>5.2727272727272734E-2</v>
      </c>
      <c r="N104" s="16">
        <f>AVERAGE(ReturnData!N104:N114)</f>
        <v>5.7209090909090897E-2</v>
      </c>
      <c r="O104" s="16">
        <f>AVERAGE(ReturnData!O104:O114)</f>
        <v>2.9627272727272728E-2</v>
      </c>
      <c r="P104" s="16">
        <f>AVERAGE(ReturnData!P104:P114)</f>
        <v>6.3145454545454546E-2</v>
      </c>
      <c r="Q104" s="16">
        <f>AVERAGE(ReturnData!Q104:Q114)</f>
        <v>5.1263636363636358E-2</v>
      </c>
    </row>
    <row r="105" spans="1:17" x14ac:dyDescent="0.25">
      <c r="A105">
        <f>ReturnData!A117</f>
        <v>198308</v>
      </c>
      <c r="B105" s="16">
        <f>AVERAGE(ReturnData!B105:B115)</f>
        <v>3.4100000000000005E-2</v>
      </c>
      <c r="C105" s="16">
        <f>AVERAGE(ReturnData!C105:C115)</f>
        <v>7.1281818181818182E-2</v>
      </c>
      <c r="D105" s="16">
        <f>AVERAGE(ReturnData!D105:D115)</f>
        <v>4.0781818181818183E-2</v>
      </c>
      <c r="E105" s="16">
        <f>AVERAGE(ReturnData!E105:E115)</f>
        <v>7.3718181818181822E-2</v>
      </c>
      <c r="F105" s="16">
        <f>AVERAGE(ReturnData!F105:F115)</f>
        <v>4.3736363636363636E-2</v>
      </c>
      <c r="G105" s="16">
        <f>AVERAGE(ReturnData!G105:G115)</f>
        <v>5.2636363636363634E-2</v>
      </c>
      <c r="H105" s="16">
        <f>AVERAGE(ReturnData!H105:H115)</f>
        <v>3.6199999999999996E-2</v>
      </c>
      <c r="I105" s="16">
        <f>AVERAGE(ReturnData!I105:I115)</f>
        <v>6.4327272727272733E-2</v>
      </c>
      <c r="J105" s="16">
        <f>AVERAGE(ReturnData!J105:J115)</f>
        <v>4.7554545454545454E-2</v>
      </c>
      <c r="K105" s="16">
        <f>AVERAGE(ReturnData!K105:K115)</f>
        <v>4.6636363636363636E-2</v>
      </c>
      <c r="L105" s="16">
        <f>AVERAGE(ReturnData!L105:L115)</f>
        <v>6.1545454545454542E-2</v>
      </c>
      <c r="M105" s="16">
        <f>AVERAGE(ReturnData!M105:M115)</f>
        <v>6.760909090909091E-2</v>
      </c>
      <c r="N105" s="16">
        <f>AVERAGE(ReturnData!N105:N115)</f>
        <v>6.577272727272726E-2</v>
      </c>
      <c r="O105" s="16">
        <f>AVERAGE(ReturnData!O105:O115)</f>
        <v>3.147272727272727E-2</v>
      </c>
      <c r="P105" s="16">
        <f>AVERAGE(ReturnData!P105:P115)</f>
        <v>6.7836363636363639E-2</v>
      </c>
      <c r="Q105" s="16">
        <f>AVERAGE(ReturnData!Q105:Q115)</f>
        <v>5.4318181818181821E-2</v>
      </c>
    </row>
    <row r="106" spans="1:17" x14ac:dyDescent="0.25">
      <c r="A106">
        <f>ReturnData!A118</f>
        <v>198309</v>
      </c>
      <c r="B106" s="16">
        <f>AVERAGE(ReturnData!B106:B116)</f>
        <v>2.5681818181818184E-2</v>
      </c>
      <c r="C106" s="16">
        <f>AVERAGE(ReturnData!C106:C116)</f>
        <v>4.7754545454545445E-2</v>
      </c>
      <c r="D106" s="16">
        <f>AVERAGE(ReturnData!D106:D116)</f>
        <v>2.9490909090909092E-2</v>
      </c>
      <c r="E106" s="16">
        <f>AVERAGE(ReturnData!E106:E116)</f>
        <v>6.0072727272727271E-2</v>
      </c>
      <c r="F106" s="16">
        <f>AVERAGE(ReturnData!F106:F116)</f>
        <v>2.8472727272727271E-2</v>
      </c>
      <c r="G106" s="16">
        <f>AVERAGE(ReturnData!G106:G116)</f>
        <v>3.8809090909090911E-2</v>
      </c>
      <c r="H106" s="16">
        <f>AVERAGE(ReturnData!H106:H116)</f>
        <v>2.2263636363636364E-2</v>
      </c>
      <c r="I106" s="16">
        <f>AVERAGE(ReturnData!I106:I116)</f>
        <v>4.4672727272727267E-2</v>
      </c>
      <c r="J106" s="16">
        <f>AVERAGE(ReturnData!J106:J116)</f>
        <v>3.4699999999999995E-2</v>
      </c>
      <c r="K106" s="16">
        <f>AVERAGE(ReturnData!K106:K116)</f>
        <v>3.7936363636363636E-2</v>
      </c>
      <c r="L106" s="16">
        <f>AVERAGE(ReturnData!L106:L116)</f>
        <v>4.5472727272727283E-2</v>
      </c>
      <c r="M106" s="16">
        <f>AVERAGE(ReturnData!M106:M116)</f>
        <v>5.1290909090909095E-2</v>
      </c>
      <c r="N106" s="16">
        <f>AVERAGE(ReturnData!N106:N116)</f>
        <v>4.5927272727272733E-2</v>
      </c>
      <c r="O106" s="16">
        <f>AVERAGE(ReturnData!O106:O116)</f>
        <v>2.1500000000000002E-2</v>
      </c>
      <c r="P106" s="16">
        <f>AVERAGE(ReturnData!P106:P116)</f>
        <v>5.5281818181818182E-2</v>
      </c>
      <c r="Q106" s="16">
        <f>AVERAGE(ReturnData!Q106:Q116)</f>
        <v>4.1299999999999996E-2</v>
      </c>
    </row>
    <row r="107" spans="1:17" x14ac:dyDescent="0.25">
      <c r="A107">
        <f>ReturnData!A119</f>
        <v>198310</v>
      </c>
      <c r="B107" s="16">
        <f>AVERAGE(ReturnData!B107:B117)</f>
        <v>2.3681818181818189E-2</v>
      </c>
      <c r="C107" s="16">
        <f>AVERAGE(ReturnData!C107:C117)</f>
        <v>4.8127272727272713E-2</v>
      </c>
      <c r="D107" s="16">
        <f>AVERAGE(ReturnData!D107:D117)</f>
        <v>3.4218181818181821E-2</v>
      </c>
      <c r="E107" s="16">
        <f>AVERAGE(ReturnData!E107:E117)</f>
        <v>4.8327272727272733E-2</v>
      </c>
      <c r="F107" s="16">
        <f>AVERAGE(ReturnData!F107:F117)</f>
        <v>2.7381818181818177E-2</v>
      </c>
      <c r="G107" s="16">
        <f>AVERAGE(ReturnData!G107:G117)</f>
        <v>4.5381818181818183E-2</v>
      </c>
      <c r="H107" s="16">
        <f>AVERAGE(ReturnData!H107:H117)</f>
        <v>2.1145454545454544E-2</v>
      </c>
      <c r="I107" s="16">
        <f>AVERAGE(ReturnData!I107:I117)</f>
        <v>4.1172727272727264E-2</v>
      </c>
      <c r="J107" s="16">
        <f>AVERAGE(ReturnData!J107:J117)</f>
        <v>4.647272727272727E-2</v>
      </c>
      <c r="K107" s="16">
        <f>AVERAGE(ReturnData!K107:K117)</f>
        <v>3.7190909090909094E-2</v>
      </c>
      <c r="L107" s="16">
        <f>AVERAGE(ReturnData!L107:L117)</f>
        <v>4.5263636363636381E-2</v>
      </c>
      <c r="M107" s="16">
        <f>AVERAGE(ReturnData!M107:M117)</f>
        <v>4.9218181818181821E-2</v>
      </c>
      <c r="N107" s="16">
        <f>AVERAGE(ReturnData!N107:N117)</f>
        <v>4.3781818181818193E-2</v>
      </c>
      <c r="O107" s="16">
        <f>AVERAGE(ReturnData!O107:O117)</f>
        <v>2.1918181818181819E-2</v>
      </c>
      <c r="P107" s="16">
        <f>AVERAGE(ReturnData!P107:P117)</f>
        <v>4.6072727272727265E-2</v>
      </c>
      <c r="Q107" s="16">
        <f>AVERAGE(ReturnData!Q107:Q117)</f>
        <v>3.6781818181818179E-2</v>
      </c>
    </row>
    <row r="108" spans="1:17" x14ac:dyDescent="0.25">
      <c r="A108">
        <f>ReturnData!A120</f>
        <v>198311</v>
      </c>
      <c r="B108" s="16">
        <f>AVERAGE(ReturnData!B108:B118)</f>
        <v>2.1945454545454546E-2</v>
      </c>
      <c r="C108" s="16">
        <f>AVERAGE(ReturnData!C108:C118)</f>
        <v>2.6827272727272731E-2</v>
      </c>
      <c r="D108" s="16">
        <f>AVERAGE(ReturnData!D108:D118)</f>
        <v>2.4845454545454556E-2</v>
      </c>
      <c r="E108" s="16">
        <f>AVERAGE(ReturnData!E108:E118)</f>
        <v>3.6927272727272732E-2</v>
      </c>
      <c r="F108" s="16">
        <f>AVERAGE(ReturnData!F108:F118)</f>
        <v>1.831818181818182E-2</v>
      </c>
      <c r="G108" s="16">
        <f>AVERAGE(ReturnData!G108:G118)</f>
        <v>3.3345454545454553E-2</v>
      </c>
      <c r="H108" s="16">
        <f>AVERAGE(ReturnData!H108:H118)</f>
        <v>1.5881818181818178E-2</v>
      </c>
      <c r="I108" s="16">
        <f>AVERAGE(ReturnData!I108:I118)</f>
        <v>2.7463636363636367E-2</v>
      </c>
      <c r="J108" s="16">
        <f>AVERAGE(ReturnData!J108:J118)</f>
        <v>3.5718181818181823E-2</v>
      </c>
      <c r="K108" s="16">
        <f>AVERAGE(ReturnData!K108:K118)</f>
        <v>2.4500000000000008E-2</v>
      </c>
      <c r="L108" s="16">
        <f>AVERAGE(ReturnData!L108:L118)</f>
        <v>3.446363636363637E-2</v>
      </c>
      <c r="M108" s="16">
        <f>AVERAGE(ReturnData!M108:M118)</f>
        <v>3.8263636363636361E-2</v>
      </c>
      <c r="N108" s="16">
        <f>AVERAGE(ReturnData!N108:N118)</f>
        <v>3.2481818181818188E-2</v>
      </c>
      <c r="O108" s="16">
        <f>AVERAGE(ReturnData!O108:O118)</f>
        <v>2.1854545454545453E-2</v>
      </c>
      <c r="P108" s="16">
        <f>AVERAGE(ReturnData!P108:P118)</f>
        <v>3.2854545454545456E-2</v>
      </c>
      <c r="Q108" s="16">
        <f>AVERAGE(ReturnData!Q108:Q118)</f>
        <v>2.4736363636363636E-2</v>
      </c>
    </row>
    <row r="109" spans="1:17" x14ac:dyDescent="0.25">
      <c r="A109">
        <f>ReturnData!A121</f>
        <v>198312</v>
      </c>
      <c r="B109" s="16">
        <f>AVERAGE(ReturnData!B109:B119)</f>
        <v>1.9145454545454545E-2</v>
      </c>
      <c r="C109" s="16">
        <f>AVERAGE(ReturnData!C109:C119)</f>
        <v>1.2509090909090912E-2</v>
      </c>
      <c r="D109" s="16">
        <f>AVERAGE(ReturnData!D109:D119)</f>
        <v>2.7336363636363645E-2</v>
      </c>
      <c r="E109" s="16">
        <f>AVERAGE(ReturnData!E109:E119)</f>
        <v>2.525454545454546E-2</v>
      </c>
      <c r="F109" s="16">
        <f>AVERAGE(ReturnData!F109:F119)</f>
        <v>8.0272727272727249E-3</v>
      </c>
      <c r="G109" s="16">
        <f>AVERAGE(ReturnData!G109:G119)</f>
        <v>2.7863636363636368E-2</v>
      </c>
      <c r="H109" s="16">
        <f>AVERAGE(ReturnData!H109:H119)</f>
        <v>1.3645454545454546E-2</v>
      </c>
      <c r="I109" s="16">
        <f>AVERAGE(ReturnData!I109:I119)</f>
        <v>1.2445454545454544E-2</v>
      </c>
      <c r="J109" s="16">
        <f>AVERAGE(ReturnData!J109:J119)</f>
        <v>2.7627272727272726E-2</v>
      </c>
      <c r="K109" s="16">
        <f>AVERAGE(ReturnData!K109:K119)</f>
        <v>1.899090909090909E-2</v>
      </c>
      <c r="L109" s="16">
        <f>AVERAGE(ReturnData!L109:L119)</f>
        <v>2.066363636363637E-2</v>
      </c>
      <c r="M109" s="16">
        <f>AVERAGE(ReturnData!M109:M119)</f>
        <v>3.2436363636363638E-2</v>
      </c>
      <c r="N109" s="16">
        <f>AVERAGE(ReturnData!N109:N119)</f>
        <v>2.5363636363636366E-2</v>
      </c>
      <c r="O109" s="16">
        <f>AVERAGE(ReturnData!O109:O119)</f>
        <v>2.4499999999999997E-2</v>
      </c>
      <c r="P109" s="16">
        <f>AVERAGE(ReturnData!P109:P119)</f>
        <v>2.2090909090909092E-2</v>
      </c>
      <c r="Q109" s="16">
        <f>AVERAGE(ReturnData!Q109:Q119)</f>
        <v>1.606363636363636E-2</v>
      </c>
    </row>
    <row r="110" spans="1:17" x14ac:dyDescent="0.25">
      <c r="A110">
        <f>ReturnData!A122</f>
        <v>198401</v>
      </c>
      <c r="B110" s="16">
        <f>AVERAGE(ReturnData!B110:B120)</f>
        <v>2.0763636363636363E-2</v>
      </c>
      <c r="C110" s="16">
        <f>AVERAGE(ReturnData!C110:C120)</f>
        <v>1.5163636363636364E-2</v>
      </c>
      <c r="D110" s="16">
        <f>AVERAGE(ReturnData!D110:D120)</f>
        <v>2.1618181818181825E-2</v>
      </c>
      <c r="E110" s="16">
        <f>AVERAGE(ReturnData!E110:E120)</f>
        <v>2.7054545454545463E-2</v>
      </c>
      <c r="F110" s="16">
        <f>AVERAGE(ReturnData!F110:F120)</f>
        <v>1.8027272727272722E-2</v>
      </c>
      <c r="G110" s="16">
        <f>AVERAGE(ReturnData!G110:G120)</f>
        <v>3.2481818181818181E-2</v>
      </c>
      <c r="H110" s="16">
        <f>AVERAGE(ReturnData!H110:H120)</f>
        <v>1.373636363636364E-2</v>
      </c>
      <c r="I110" s="16">
        <f>AVERAGE(ReturnData!I110:I120)</f>
        <v>1.6463636363636364E-2</v>
      </c>
      <c r="J110" s="16">
        <f>AVERAGE(ReturnData!J110:J120)</f>
        <v>3.1081818181818186E-2</v>
      </c>
      <c r="K110" s="16">
        <f>AVERAGE(ReturnData!K110:K120)</f>
        <v>2.7063636363636359E-2</v>
      </c>
      <c r="L110" s="16">
        <f>AVERAGE(ReturnData!L110:L120)</f>
        <v>1.9300000000000005E-2</v>
      </c>
      <c r="M110" s="16">
        <f>AVERAGE(ReturnData!M110:M120)</f>
        <v>2.752727272727273E-2</v>
      </c>
      <c r="N110" s="16">
        <f>AVERAGE(ReturnData!N110:N120)</f>
        <v>3.1290909090909098E-2</v>
      </c>
      <c r="O110" s="16">
        <f>AVERAGE(ReturnData!O110:O120)</f>
        <v>1.9109090909090905E-2</v>
      </c>
      <c r="P110" s="16">
        <f>AVERAGE(ReturnData!P110:P120)</f>
        <v>2.8700000000000003E-2</v>
      </c>
      <c r="Q110" s="16">
        <f>AVERAGE(ReturnData!Q110:Q120)</f>
        <v>2.1799999999999996E-2</v>
      </c>
    </row>
    <row r="111" spans="1:17" x14ac:dyDescent="0.25">
      <c r="A111">
        <f>ReturnData!A123</f>
        <v>198402</v>
      </c>
      <c r="B111" s="16">
        <f>AVERAGE(ReturnData!B111:B121)</f>
        <v>2.0363636363636365E-2</v>
      </c>
      <c r="C111" s="16">
        <f>AVERAGE(ReturnData!C111:C121)</f>
        <v>4.3636363636363626E-4</v>
      </c>
      <c r="D111" s="16">
        <f>AVERAGE(ReturnData!D111:D121)</f>
        <v>2.0336363636363639E-2</v>
      </c>
      <c r="E111" s="16">
        <f>AVERAGE(ReturnData!E111:E121)</f>
        <v>2.4290909090909099E-2</v>
      </c>
      <c r="F111" s="16">
        <f>AVERAGE(ReturnData!F111:F121)</f>
        <v>1.4399999999999996E-2</v>
      </c>
      <c r="G111" s="16">
        <f>AVERAGE(ReturnData!G111:G121)</f>
        <v>2.0527272727272724E-2</v>
      </c>
      <c r="H111" s="16">
        <f>AVERAGE(ReturnData!H111:H121)</f>
        <v>9.5090909090909115E-3</v>
      </c>
      <c r="I111" s="16">
        <f>AVERAGE(ReturnData!I111:I121)</f>
        <v>1.35E-2</v>
      </c>
      <c r="J111" s="16">
        <f>AVERAGE(ReturnData!J111:J121)</f>
        <v>2.4690909090909093E-2</v>
      </c>
      <c r="K111" s="16">
        <f>AVERAGE(ReturnData!K111:K121)</f>
        <v>2.0263636363636362E-2</v>
      </c>
      <c r="L111" s="16">
        <f>AVERAGE(ReturnData!L111:L121)</f>
        <v>1.342727272727273E-2</v>
      </c>
      <c r="M111" s="16">
        <f>AVERAGE(ReturnData!M111:M121)</f>
        <v>2.6509090909090913E-2</v>
      </c>
      <c r="N111" s="16">
        <f>AVERAGE(ReturnData!N111:N121)</f>
        <v>2.4009090909090914E-2</v>
      </c>
      <c r="O111" s="16">
        <f>AVERAGE(ReturnData!O111:O121)</f>
        <v>1.2418181818181818E-2</v>
      </c>
      <c r="P111" s="16">
        <f>AVERAGE(ReturnData!P111:P121)</f>
        <v>2.3081818181818183E-2</v>
      </c>
      <c r="Q111" s="16">
        <f>AVERAGE(ReturnData!Q111:Q121)</f>
        <v>2.0681818181818176E-2</v>
      </c>
    </row>
    <row r="112" spans="1:17" x14ac:dyDescent="0.25">
      <c r="A112">
        <f>ReturnData!A124</f>
        <v>198403</v>
      </c>
      <c r="B112" s="16">
        <f>AVERAGE(ReturnData!B112:B122)</f>
        <v>1.9181818181818178E-2</v>
      </c>
      <c r="C112" s="16">
        <f>AVERAGE(ReturnData!C112:C122)</f>
        <v>5.6272727272727256E-3</v>
      </c>
      <c r="D112" s="16">
        <f>AVERAGE(ReturnData!D112:D122)</f>
        <v>3.0118181818181818E-2</v>
      </c>
      <c r="E112" s="16">
        <f>AVERAGE(ReturnData!E112:E122)</f>
        <v>1.0645454545454548E-2</v>
      </c>
      <c r="F112" s="16">
        <f>AVERAGE(ReturnData!F112:F122)</f>
        <v>2.2909090909090895E-3</v>
      </c>
      <c r="G112" s="16">
        <f>AVERAGE(ReturnData!G112:G122)</f>
        <v>1.2781818181818188E-2</v>
      </c>
      <c r="H112" s="16">
        <f>AVERAGE(ReturnData!H112:H122)</f>
        <v>8.0454545454545431E-3</v>
      </c>
      <c r="I112" s="16">
        <f>AVERAGE(ReturnData!I112:I122)</f>
        <v>6.0909090909090913E-3</v>
      </c>
      <c r="J112" s="16">
        <f>AVERAGE(ReturnData!J112:J122)</f>
        <v>1.9372727272727278E-2</v>
      </c>
      <c r="K112" s="16">
        <f>AVERAGE(ReturnData!K112:K122)</f>
        <v>1.3745454545454545E-2</v>
      </c>
      <c r="L112" s="16">
        <f>AVERAGE(ReturnData!L112:L122)</f>
        <v>6.2272727272727263E-3</v>
      </c>
      <c r="M112" s="16">
        <f>AVERAGE(ReturnData!M112:M122)</f>
        <v>2.1918181818181816E-2</v>
      </c>
      <c r="N112" s="16">
        <f>AVERAGE(ReturnData!N112:N122)</f>
        <v>1.5727272727272725E-2</v>
      </c>
      <c r="O112" s="16">
        <f>AVERAGE(ReturnData!O112:O122)</f>
        <v>1.2290909090909092E-2</v>
      </c>
      <c r="P112" s="16">
        <f>AVERAGE(ReturnData!P112:P122)</f>
        <v>1.0127272727272728E-2</v>
      </c>
      <c r="Q112" s="16">
        <f>AVERAGE(ReturnData!Q112:Q122)</f>
        <v>1.5327272727272724E-2</v>
      </c>
    </row>
    <row r="113" spans="1:17" x14ac:dyDescent="0.25">
      <c r="A113">
        <f>ReturnData!A125</f>
        <v>198404</v>
      </c>
      <c r="B113" s="16">
        <f>AVERAGE(ReturnData!B113:B123)</f>
        <v>9.8545454545454509E-3</v>
      </c>
      <c r="C113" s="16">
        <f>AVERAGE(ReturnData!C113:C123)</f>
        <v>3.6181818181818186E-3</v>
      </c>
      <c r="D113" s="16">
        <f>AVERAGE(ReturnData!D113:D123)</f>
        <v>2.76E-2</v>
      </c>
      <c r="E113" s="16">
        <f>AVERAGE(ReturnData!E113:E123)</f>
        <v>-3.00909090909091E-3</v>
      </c>
      <c r="F113" s="16">
        <f>AVERAGE(ReturnData!F113:F123)</f>
        <v>-6.2727272727272816E-4</v>
      </c>
      <c r="G113" s="16">
        <f>AVERAGE(ReturnData!G113:G123)</f>
        <v>5.554545454545457E-3</v>
      </c>
      <c r="H113" s="16">
        <f>AVERAGE(ReturnData!H113:H123)</f>
        <v>1.7090909090909095E-3</v>
      </c>
      <c r="I113" s="16">
        <f>AVERAGE(ReturnData!I113:I123)</f>
        <v>-4.5454545454545444E-3</v>
      </c>
      <c r="J113" s="16">
        <f>AVERAGE(ReturnData!J113:J123)</f>
        <v>9.763636363636365E-3</v>
      </c>
      <c r="K113" s="16">
        <f>AVERAGE(ReturnData!K113:K123)</f>
        <v>4.9909090909090867E-3</v>
      </c>
      <c r="L113" s="16">
        <f>AVERAGE(ReturnData!L113:L123)</f>
        <v>5.1818181818182041E-4</v>
      </c>
      <c r="M113" s="16">
        <f>AVERAGE(ReturnData!M113:M123)</f>
        <v>1.6345454545454552E-2</v>
      </c>
      <c r="N113" s="16">
        <f>AVERAGE(ReturnData!N113:N123)</f>
        <v>5.463636363636365E-3</v>
      </c>
      <c r="O113" s="16">
        <f>AVERAGE(ReturnData!O113:O123)</f>
        <v>9.0181818181818193E-3</v>
      </c>
      <c r="P113" s="16">
        <f>AVERAGE(ReturnData!P113:P123)</f>
        <v>-2.8818181818181794E-3</v>
      </c>
      <c r="Q113" s="16">
        <f>AVERAGE(ReturnData!Q113:Q123)</f>
        <v>4.9363636363636389E-3</v>
      </c>
    </row>
    <row r="114" spans="1:17" x14ac:dyDescent="0.25">
      <c r="A114">
        <f>ReturnData!A126</f>
        <v>198405</v>
      </c>
      <c r="B114" s="16">
        <f>AVERAGE(ReturnData!B114:B124)</f>
        <v>6.3545454545454547E-3</v>
      </c>
      <c r="C114" s="16">
        <f>AVERAGE(ReturnData!C114:C124)</f>
        <v>4.3636363636363496E-4</v>
      </c>
      <c r="D114" s="16">
        <f>AVERAGE(ReturnData!D114:D124)</f>
        <v>1.9918181818181821E-2</v>
      </c>
      <c r="E114" s="16">
        <f>AVERAGE(ReturnData!E114:E124)</f>
        <v>-1.0518181818181817E-2</v>
      </c>
      <c r="F114" s="16">
        <f>AVERAGE(ReturnData!F114:F124)</f>
        <v>-4.2363636363636388E-3</v>
      </c>
      <c r="G114" s="16">
        <f>AVERAGE(ReturnData!G114:G124)</f>
        <v>2.8545454545454568E-3</v>
      </c>
      <c r="H114" s="16">
        <f>AVERAGE(ReturnData!H114:H124)</f>
        <v>-2.9545454545454545E-3</v>
      </c>
      <c r="I114" s="16">
        <f>AVERAGE(ReturnData!I114:I124)</f>
        <v>-5.6636363636363646E-3</v>
      </c>
      <c r="J114" s="16">
        <f>AVERAGE(ReturnData!J114:J124)</f>
        <v>1.2281818181818182E-2</v>
      </c>
      <c r="K114" s="16">
        <f>AVERAGE(ReturnData!K114:K124)</f>
        <v>3.7727272727272722E-3</v>
      </c>
      <c r="L114" s="16">
        <f>AVERAGE(ReturnData!L114:L124)</f>
        <v>-3.6272727272727264E-3</v>
      </c>
      <c r="M114" s="16">
        <f>AVERAGE(ReturnData!M114:M124)</f>
        <v>-9.0909090909084049E-6</v>
      </c>
      <c r="N114" s="16">
        <f>AVERAGE(ReturnData!N114:N124)</f>
        <v>2.3636363636363918E-4</v>
      </c>
      <c r="O114" s="16">
        <f>AVERAGE(ReturnData!O114:O124)</f>
        <v>4.4272727272727276E-3</v>
      </c>
      <c r="P114" s="16">
        <f>AVERAGE(ReturnData!P114:P124)</f>
        <v>-1.0463636363636362E-2</v>
      </c>
      <c r="Q114" s="16">
        <f>AVERAGE(ReturnData!Q114:Q124)</f>
        <v>-1.4636363636363634E-3</v>
      </c>
    </row>
    <row r="115" spans="1:17" x14ac:dyDescent="0.25">
      <c r="A115">
        <f>ReturnData!A127</f>
        <v>198406</v>
      </c>
      <c r="B115" s="16">
        <f>AVERAGE(ReturnData!B115:B125)</f>
        <v>7.6272727272727273E-3</v>
      </c>
      <c r="C115" s="16">
        <f>AVERAGE(ReturnData!C115:C125)</f>
        <v>-1.0772727272727272E-2</v>
      </c>
      <c r="D115" s="16">
        <f>AVERAGE(ReturnData!D115:D125)</f>
        <v>2.2272727272727274E-2</v>
      </c>
      <c r="E115" s="16">
        <f>AVERAGE(ReturnData!E115:E125)</f>
        <v>-1.1327272727272726E-2</v>
      </c>
      <c r="F115" s="16">
        <f>AVERAGE(ReturnData!F115:F125)</f>
        <v>-5.4545454545456776E-5</v>
      </c>
      <c r="G115" s="16">
        <f>AVERAGE(ReturnData!G115:G125)</f>
        <v>-8.1818181818181003E-5</v>
      </c>
      <c r="H115" s="16">
        <f>AVERAGE(ReturnData!H115:H125)</f>
        <v>1.4545454545454542E-3</v>
      </c>
      <c r="I115" s="16">
        <f>AVERAGE(ReturnData!I115:I125)</f>
        <v>-1.0754545454545454E-2</v>
      </c>
      <c r="J115" s="16">
        <f>AVERAGE(ReturnData!J115:J125)</f>
        <v>-1.5E-3</v>
      </c>
      <c r="K115" s="16">
        <f>AVERAGE(ReturnData!K115:K125)</f>
        <v>6.3636363636363456E-4</v>
      </c>
      <c r="L115" s="16">
        <f>AVERAGE(ReturnData!L115:L125)</f>
        <v>-6.3090909090909083E-3</v>
      </c>
      <c r="M115" s="16">
        <f>AVERAGE(ReturnData!M115:M125)</f>
        <v>3.0454545454545469E-3</v>
      </c>
      <c r="N115" s="16">
        <f>AVERAGE(ReturnData!N115:N125)</f>
        <v>-3.7090909090909088E-3</v>
      </c>
      <c r="O115" s="16">
        <f>AVERAGE(ReturnData!O115:O125)</f>
        <v>1.6272727272727279E-3</v>
      </c>
      <c r="P115" s="16">
        <f>AVERAGE(ReturnData!P115:P125)</f>
        <v>-9.7454545454545433E-3</v>
      </c>
      <c r="Q115" s="16">
        <f>AVERAGE(ReturnData!Q115:Q125)</f>
        <v>-3.109090909090909E-3</v>
      </c>
    </row>
    <row r="116" spans="1:17" x14ac:dyDescent="0.25">
      <c r="A116">
        <f>ReturnData!A128</f>
        <v>198407</v>
      </c>
      <c r="B116" s="16">
        <f>AVERAGE(ReturnData!B116:B126)</f>
        <v>4.5090909090909096E-3</v>
      </c>
      <c r="C116" s="16">
        <f>AVERAGE(ReturnData!C116:C126)</f>
        <v>-1.8745454545454544E-2</v>
      </c>
      <c r="D116" s="16">
        <f>AVERAGE(ReturnData!D116:D126)</f>
        <v>1.1899999999999996E-2</v>
      </c>
      <c r="E116" s="16">
        <f>AVERAGE(ReturnData!E116:E126)</f>
        <v>-2.4209090909090906E-2</v>
      </c>
      <c r="F116" s="16">
        <f>AVERAGE(ReturnData!F116:F126)</f>
        <v>-8.0727272727272748E-3</v>
      </c>
      <c r="G116" s="16">
        <f>AVERAGE(ReturnData!G116:G126)</f>
        <v>-7.4272727272727268E-3</v>
      </c>
      <c r="H116" s="16">
        <f>AVERAGE(ReturnData!H116:H126)</f>
        <v>-6.227272727272728E-3</v>
      </c>
      <c r="I116" s="16">
        <f>AVERAGE(ReturnData!I116:I126)</f>
        <v>-1.8736363636363638E-2</v>
      </c>
      <c r="J116" s="16">
        <f>AVERAGE(ReturnData!J116:J126)</f>
        <v>-8.2818181818181836E-3</v>
      </c>
      <c r="K116" s="16">
        <f>AVERAGE(ReturnData!K116:K126)</f>
        <v>-4.8090909090909113E-3</v>
      </c>
      <c r="L116" s="16">
        <f>AVERAGE(ReturnData!L116:L126)</f>
        <v>-1.7345454545454542E-2</v>
      </c>
      <c r="M116" s="16">
        <f>AVERAGE(ReturnData!M116:M126)</f>
        <v>-1.3036363636363634E-2</v>
      </c>
      <c r="N116" s="16">
        <f>AVERAGE(ReturnData!N116:N126)</f>
        <v>-1.4218181818181819E-2</v>
      </c>
      <c r="O116" s="16">
        <f>AVERAGE(ReturnData!O116:O126)</f>
        <v>1.3909090909090904E-3</v>
      </c>
      <c r="P116" s="16">
        <f>AVERAGE(ReturnData!P116:P126)</f>
        <v>-1.9590909090909089E-2</v>
      </c>
      <c r="Q116" s="16">
        <f>AVERAGE(ReturnData!Q116:Q126)</f>
        <v>-1.0154545454545454E-2</v>
      </c>
    </row>
    <row r="117" spans="1:17" x14ac:dyDescent="0.25">
      <c r="A117">
        <f>ReturnData!A129</f>
        <v>198408</v>
      </c>
      <c r="B117" s="16">
        <f>AVERAGE(ReturnData!B117:B127)</f>
        <v>1.2518181818181817E-2</v>
      </c>
      <c r="C117" s="16">
        <f>AVERAGE(ReturnData!C117:C127)</f>
        <v>-1.8809090909090907E-2</v>
      </c>
      <c r="D117" s="16">
        <f>AVERAGE(ReturnData!D117:D127)</f>
        <v>1.2345454545454547E-2</v>
      </c>
      <c r="E117" s="16">
        <f>AVERAGE(ReturnData!E117:E127)</f>
        <v>-1.6381818181818178E-2</v>
      </c>
      <c r="F117" s="16">
        <f>AVERAGE(ReturnData!F117:F127)</f>
        <v>-1.8363636363636368E-3</v>
      </c>
      <c r="G117" s="16">
        <f>AVERAGE(ReturnData!G117:G127)</f>
        <v>-7.1909090909090898E-3</v>
      </c>
      <c r="H117" s="16">
        <f>AVERAGE(ReturnData!H117:H127)</f>
        <v>2.0909090909090916E-3</v>
      </c>
      <c r="I117" s="16">
        <f>AVERAGE(ReturnData!I117:I127)</f>
        <v>-1.3900000000000001E-2</v>
      </c>
      <c r="J117" s="16">
        <f>AVERAGE(ReturnData!J117:J127)</f>
        <v>-8.9090909090909099E-3</v>
      </c>
      <c r="K117" s="16">
        <f>AVERAGE(ReturnData!K117:K127)</f>
        <v>5.1818181818181798E-3</v>
      </c>
      <c r="L117" s="16">
        <f>AVERAGE(ReturnData!L117:L127)</f>
        <v>-1.2027272727272727E-2</v>
      </c>
      <c r="M117" s="16">
        <f>AVERAGE(ReturnData!M117:M127)</f>
        <v>-8.3000000000000001E-3</v>
      </c>
      <c r="N117" s="16">
        <f>AVERAGE(ReturnData!N117:N127)</f>
        <v>-4.4727272727272732E-3</v>
      </c>
      <c r="O117" s="16">
        <f>AVERAGE(ReturnData!O117:O127)</f>
        <v>8.6363636363636287E-4</v>
      </c>
      <c r="P117" s="16">
        <f>AVERAGE(ReturnData!P117:P127)</f>
        <v>-1.0418181818181816E-2</v>
      </c>
      <c r="Q117" s="16">
        <f>AVERAGE(ReturnData!Q117:Q127)</f>
        <v>-5.4727272727272723E-3</v>
      </c>
    </row>
    <row r="118" spans="1:17" x14ac:dyDescent="0.25">
      <c r="A118">
        <f>ReturnData!A130</f>
        <v>198409</v>
      </c>
      <c r="B118" s="16">
        <f>AVERAGE(ReturnData!B118:B128)</f>
        <v>9.9454545454545455E-3</v>
      </c>
      <c r="C118" s="16">
        <f>AVERAGE(ReturnData!C118:C128)</f>
        <v>-3.1399999999999997E-2</v>
      </c>
      <c r="D118" s="16">
        <f>AVERAGE(ReturnData!D118:D128)</f>
        <v>-8.7272727272727252E-4</v>
      </c>
      <c r="E118" s="16">
        <f>AVERAGE(ReturnData!E118:E128)</f>
        <v>-1.7600000000000001E-2</v>
      </c>
      <c r="F118" s="16">
        <f>AVERAGE(ReturnData!F118:F128)</f>
        <v>-5.8181818181818302E-4</v>
      </c>
      <c r="G118" s="16">
        <f>AVERAGE(ReturnData!G118:G128)</f>
        <v>-1.5390909090909092E-2</v>
      </c>
      <c r="H118" s="16">
        <f>AVERAGE(ReturnData!H118:H128)</f>
        <v>-1.854545454545454E-3</v>
      </c>
      <c r="I118" s="16">
        <f>AVERAGE(ReturnData!I118:I128)</f>
        <v>-1.2654545454545453E-2</v>
      </c>
      <c r="J118" s="16">
        <f>AVERAGE(ReturnData!J118:J128)</f>
        <v>-2.4363636363636365E-2</v>
      </c>
      <c r="K118" s="16">
        <f>AVERAGE(ReturnData!K118:K128)</f>
        <v>4.3272727272727239E-3</v>
      </c>
      <c r="L118" s="16">
        <f>AVERAGE(ReturnData!L118:L128)</f>
        <v>-1.2636363636363638E-2</v>
      </c>
      <c r="M118" s="16">
        <f>AVERAGE(ReturnData!M118:M128)</f>
        <v>-1.0181818181818183E-3</v>
      </c>
      <c r="N118" s="16">
        <f>AVERAGE(ReturnData!N118:N128)</f>
        <v>-6.2727272727272675E-4</v>
      </c>
      <c r="O118" s="16">
        <f>AVERAGE(ReturnData!O118:O128)</f>
        <v>-5.2727272727272735E-4</v>
      </c>
      <c r="P118" s="16">
        <f>AVERAGE(ReturnData!P118:P128)</f>
        <v>-4.5454545454545444E-3</v>
      </c>
      <c r="Q118" s="16">
        <f>AVERAGE(ReturnData!Q118:Q128)</f>
        <v>-7.0272727272727266E-3</v>
      </c>
    </row>
    <row r="119" spans="1:17" x14ac:dyDescent="0.25">
      <c r="A119">
        <f>ReturnData!A131</f>
        <v>198410</v>
      </c>
      <c r="B119" s="16">
        <f>AVERAGE(ReturnData!B119:B129)</f>
        <v>1.1663636363636364E-2</v>
      </c>
      <c r="C119" s="16">
        <f>AVERAGE(ReturnData!C119:C129)</f>
        <v>-8.2181818181818189E-3</v>
      </c>
      <c r="D119" s="16">
        <f>AVERAGE(ReturnData!D119:D129)</f>
        <v>1.6181818181818179E-2</v>
      </c>
      <c r="E119" s="16">
        <f>AVERAGE(ReturnData!E119:E129)</f>
        <v>-1.0445454545454541E-2</v>
      </c>
      <c r="F119" s="16">
        <f>AVERAGE(ReturnData!F119:F129)</f>
        <v>5.1818181818181798E-3</v>
      </c>
      <c r="G119" s="16">
        <f>AVERAGE(ReturnData!G119:G129)</f>
        <v>-2.709090909090911E-3</v>
      </c>
      <c r="H119" s="16">
        <f>AVERAGE(ReturnData!H119:H129)</f>
        <v>2.4545454545454553E-3</v>
      </c>
      <c r="I119" s="16">
        <f>AVERAGE(ReturnData!I119:I129)</f>
        <v>-4.1727272727272724E-3</v>
      </c>
      <c r="J119" s="16">
        <f>AVERAGE(ReturnData!J119:J129)</f>
        <v>-9.2727272727272762E-3</v>
      </c>
      <c r="K119" s="16">
        <f>AVERAGE(ReturnData!K119:K129)</f>
        <v>1.2954545454545451E-2</v>
      </c>
      <c r="L119" s="16">
        <f>AVERAGE(ReturnData!L119:L129)</f>
        <v>-2.7454545454545435E-3</v>
      </c>
      <c r="M119" s="16">
        <f>AVERAGE(ReturnData!M119:M129)</f>
        <v>3.2272727272727249E-3</v>
      </c>
      <c r="N119" s="16">
        <f>AVERAGE(ReturnData!N119:N129)</f>
        <v>7.372727272727273E-3</v>
      </c>
      <c r="O119" s="16">
        <f>AVERAGE(ReturnData!O119:O129)</f>
        <v>2.2909090909090895E-3</v>
      </c>
      <c r="P119" s="16">
        <f>AVERAGE(ReturnData!P119:P129)</f>
        <v>1.818181818181821E-3</v>
      </c>
      <c r="Q119" s="16">
        <f>AVERAGE(ReturnData!Q119:Q129)</f>
        <v>1.2363636363636377E-3</v>
      </c>
    </row>
    <row r="120" spans="1:17" x14ac:dyDescent="0.25">
      <c r="A120">
        <f>ReturnData!A132</f>
        <v>198411</v>
      </c>
      <c r="B120" s="16">
        <f>AVERAGE(ReturnData!B120:B130)</f>
        <v>1.1899999999999999E-2</v>
      </c>
      <c r="C120" s="16">
        <f>AVERAGE(ReturnData!C120:C130)</f>
        <v>5.8181818181817868E-4</v>
      </c>
      <c r="D120" s="16">
        <f>AVERAGE(ReturnData!D120:D130)</f>
        <v>1.998181818181818E-2</v>
      </c>
      <c r="E120" s="16">
        <f>AVERAGE(ReturnData!E120:E130)</f>
        <v>-7.6818181818181794E-3</v>
      </c>
      <c r="F120" s="16">
        <f>AVERAGE(ReturnData!F120:F130)</f>
        <v>4.4181818181818159E-3</v>
      </c>
      <c r="G120" s="16">
        <f>AVERAGE(ReturnData!G120:G130)</f>
        <v>-2.8181818181818208E-3</v>
      </c>
      <c r="H120" s="16">
        <f>AVERAGE(ReturnData!H120:H130)</f>
        <v>5.2727272727272801E-4</v>
      </c>
      <c r="I120" s="16">
        <f>AVERAGE(ReturnData!I120:I130)</f>
        <v>9.0909090909090757E-4</v>
      </c>
      <c r="J120" s="16">
        <f>AVERAGE(ReturnData!J120:J130)</f>
        <v>-7.5727272727272735E-3</v>
      </c>
      <c r="K120" s="16">
        <f>AVERAGE(ReturnData!K120:K130)</f>
        <v>1.1490909090909086E-2</v>
      </c>
      <c r="L120" s="16">
        <f>AVERAGE(ReturnData!L120:L130)</f>
        <v>-7.999999999999983E-4</v>
      </c>
      <c r="M120" s="16">
        <f>AVERAGE(ReturnData!M120:M130)</f>
        <v>4.199999999999998E-3</v>
      </c>
      <c r="N120" s="16">
        <f>AVERAGE(ReturnData!N120:N130)</f>
        <v>7.0454545454545457E-3</v>
      </c>
      <c r="O120" s="16">
        <f>AVERAGE(ReturnData!O120:O130)</f>
        <v>3.8818181818181825E-3</v>
      </c>
      <c r="P120" s="16">
        <f>AVERAGE(ReturnData!P120:P130)</f>
        <v>2.5818181818181812E-3</v>
      </c>
      <c r="Q120" s="16">
        <f>AVERAGE(ReturnData!Q120:Q130)</f>
        <v>6.8909090909090916E-3</v>
      </c>
    </row>
    <row r="121" spans="1:17" x14ac:dyDescent="0.25">
      <c r="A121">
        <f>ReturnData!A133</f>
        <v>198412</v>
      </c>
      <c r="B121" s="16">
        <f>AVERAGE(ReturnData!B121:B131)</f>
        <v>1.1627272727272726E-2</v>
      </c>
      <c r="C121" s="16">
        <f>AVERAGE(ReturnData!C121:C131)</f>
        <v>-1.2836363636363641E-2</v>
      </c>
      <c r="D121" s="16">
        <f>AVERAGE(ReturnData!D121:D131)</f>
        <v>1.6609090909090907E-2</v>
      </c>
      <c r="E121" s="16">
        <f>AVERAGE(ReturnData!E121:E131)</f>
        <v>-1.1263636363636359E-2</v>
      </c>
      <c r="F121" s="16">
        <f>AVERAGE(ReturnData!F121:F131)</f>
        <v>-2.981818181818184E-3</v>
      </c>
      <c r="G121" s="16">
        <f>AVERAGE(ReturnData!G121:G131)</f>
        <v>-6.3545454545454547E-3</v>
      </c>
      <c r="H121" s="16">
        <f>AVERAGE(ReturnData!H121:H131)</f>
        <v>3.7636363636363661E-3</v>
      </c>
      <c r="I121" s="16">
        <f>AVERAGE(ReturnData!I121:I131)</f>
        <v>-5.5727272727272761E-3</v>
      </c>
      <c r="J121" s="16">
        <f>AVERAGE(ReturnData!J121:J131)</f>
        <v>-1.7899999999999999E-2</v>
      </c>
      <c r="K121" s="16">
        <f>AVERAGE(ReturnData!K121:K131)</f>
        <v>6.6090909090909082E-3</v>
      </c>
      <c r="L121" s="16">
        <f>AVERAGE(ReturnData!L121:L131)</f>
        <v>-3.4909090909090901E-3</v>
      </c>
      <c r="M121" s="16">
        <f>AVERAGE(ReturnData!M121:M131)</f>
        <v>6.9999999999999975E-3</v>
      </c>
      <c r="N121" s="16">
        <f>AVERAGE(ReturnData!N121:N131)</f>
        <v>4.2363636363636353E-3</v>
      </c>
      <c r="O121" s="16">
        <f>AVERAGE(ReturnData!O121:O131)</f>
        <v>8.3818181818181795E-3</v>
      </c>
      <c r="P121" s="16">
        <f>AVERAGE(ReturnData!P121:P131)</f>
        <v>-2.3909090909090898E-3</v>
      </c>
      <c r="Q121" s="16">
        <f>AVERAGE(ReturnData!Q121:Q131)</f>
        <v>4.3545454545454547E-3</v>
      </c>
    </row>
    <row r="122" spans="1:17" x14ac:dyDescent="0.25">
      <c r="A122">
        <f>ReturnData!A134</f>
        <v>198501</v>
      </c>
      <c r="B122" s="16">
        <f>AVERAGE(ReturnData!B122:B132)</f>
        <v>1.1872727272727269E-2</v>
      </c>
      <c r="C122" s="16">
        <f>AVERAGE(ReturnData!C122:C132)</f>
        <v>-1.1781818181818181E-2</v>
      </c>
      <c r="D122" s="16">
        <f>AVERAGE(ReturnData!D122:D132)</f>
        <v>1.3590909090909091E-2</v>
      </c>
      <c r="E122" s="16">
        <f>AVERAGE(ReturnData!E122:E132)</f>
        <v>-8.827272727272727E-3</v>
      </c>
      <c r="F122" s="16">
        <f>AVERAGE(ReturnData!F122:F132)</f>
        <v>-5.4999999999999997E-3</v>
      </c>
      <c r="G122" s="16">
        <f>AVERAGE(ReturnData!G122:G132)</f>
        <v>-3.8454545454545473E-3</v>
      </c>
      <c r="H122" s="16">
        <f>AVERAGE(ReturnData!H122:H132)</f>
        <v>6.7545454545454549E-3</v>
      </c>
      <c r="I122" s="16">
        <f>AVERAGE(ReturnData!I122:I132)</f>
        <v>-4.5545454545454552E-3</v>
      </c>
      <c r="J122" s="16">
        <f>AVERAGE(ReturnData!J122:J132)</f>
        <v>-1.9972727272727277E-2</v>
      </c>
      <c r="K122" s="16">
        <f>AVERAGE(ReturnData!K122:K132)</f>
        <v>5.0999999999999969E-3</v>
      </c>
      <c r="L122" s="16">
        <f>AVERAGE(ReturnData!L122:L132)</f>
        <v>-7.690909090909092E-3</v>
      </c>
      <c r="M122" s="16">
        <f>AVERAGE(ReturnData!M122:M132)</f>
        <v>3.1636363636363641E-3</v>
      </c>
      <c r="N122" s="16">
        <f>AVERAGE(ReturnData!N122:N132)</f>
        <v>2.2909090909090908E-3</v>
      </c>
      <c r="O122" s="16">
        <f>AVERAGE(ReturnData!O122:O132)</f>
        <v>1.4518181818181819E-2</v>
      </c>
      <c r="P122" s="16">
        <f>AVERAGE(ReturnData!P122:P132)</f>
        <v>-9.0909090909091622E-5</v>
      </c>
      <c r="Q122" s="16">
        <f>AVERAGE(ReturnData!Q122:Q132)</f>
        <v>5.3545454545454556E-3</v>
      </c>
    </row>
    <row r="123" spans="1:17" x14ac:dyDescent="0.25">
      <c r="A123">
        <f>ReturnData!A135</f>
        <v>198502</v>
      </c>
      <c r="B123" s="16">
        <f>AVERAGE(ReturnData!B123:B133)</f>
        <v>1.3763636363636362E-2</v>
      </c>
      <c r="C123" s="16">
        <f>AVERAGE(ReturnData!C123:C133)</f>
        <v>-1.2854545454545452E-2</v>
      </c>
      <c r="D123" s="16">
        <f>AVERAGE(ReturnData!D123:D133)</f>
        <v>3.8454545454545438E-3</v>
      </c>
      <c r="E123" s="16">
        <f>AVERAGE(ReturnData!E123:E133)</f>
        <v>-2.1363636363636363E-3</v>
      </c>
      <c r="F123" s="16">
        <f>AVERAGE(ReturnData!F123:F133)</f>
        <v>2.8727272727272729E-3</v>
      </c>
      <c r="G123" s="16">
        <f>AVERAGE(ReturnData!G123:G133)</f>
        <v>3.7272727272727159E-4</v>
      </c>
      <c r="H123" s="16">
        <f>AVERAGE(ReturnData!H123:H133)</f>
        <v>9.2272727272727281E-3</v>
      </c>
      <c r="I123" s="16">
        <f>AVERAGE(ReturnData!I123:I133)</f>
        <v>6.454545454545427E-4</v>
      </c>
      <c r="J123" s="16">
        <f>AVERAGE(ReturnData!J123:J133)</f>
        <v>-1.6190909090909093E-2</v>
      </c>
      <c r="K123" s="16">
        <f>AVERAGE(ReturnData!K123:K133)</f>
        <v>9.4363636363636334E-3</v>
      </c>
      <c r="L123" s="16">
        <f>AVERAGE(ReturnData!L123:L133)</f>
        <v>-1.0545454545454538E-3</v>
      </c>
      <c r="M123" s="16">
        <f>AVERAGE(ReturnData!M123:M133)</f>
        <v>1.0599999999999998E-2</v>
      </c>
      <c r="N123" s="16">
        <f>AVERAGE(ReturnData!N123:N133)</f>
        <v>9.1090909090909104E-3</v>
      </c>
      <c r="O123" s="16">
        <f>AVERAGE(ReturnData!O123:O133)</f>
        <v>1.5590909090909089E-2</v>
      </c>
      <c r="P123" s="16">
        <f>AVERAGE(ReturnData!P123:P133)</f>
        <v>5.6272727272727264E-3</v>
      </c>
      <c r="Q123" s="16">
        <f>AVERAGE(ReturnData!Q123:Q133)</f>
        <v>9.8636363636363644E-3</v>
      </c>
    </row>
    <row r="124" spans="1:17" x14ac:dyDescent="0.25">
      <c r="A124">
        <f>ReturnData!A136</f>
        <v>198503</v>
      </c>
      <c r="B124" s="16">
        <f>AVERAGE(ReturnData!B124:B134)</f>
        <v>1.9418181818181821E-2</v>
      </c>
      <c r="C124" s="16">
        <f>AVERAGE(ReturnData!C124:C134)</f>
        <v>4.5454545454542972E-5</v>
      </c>
      <c r="D124" s="16">
        <f>AVERAGE(ReturnData!D124:D134)</f>
        <v>6.827272727272727E-3</v>
      </c>
      <c r="E124" s="16">
        <f>AVERAGE(ReturnData!E124:E134)</f>
        <v>1.1590909090909091E-2</v>
      </c>
      <c r="F124" s="16">
        <f>AVERAGE(ReturnData!F124:F134)</f>
        <v>1.7000000000000001E-2</v>
      </c>
      <c r="G124" s="16">
        <f>AVERAGE(ReturnData!G124:G134)</f>
        <v>1.339090909090909E-2</v>
      </c>
      <c r="H124" s="16">
        <f>AVERAGE(ReturnData!H124:H134)</f>
        <v>1.5709090909090909E-2</v>
      </c>
      <c r="I124" s="16">
        <f>AVERAGE(ReturnData!I124:I134)</f>
        <v>1.7445454545454542E-2</v>
      </c>
      <c r="J124" s="16">
        <f>AVERAGE(ReturnData!J124:J134)</f>
        <v>3.8181818181818141E-4</v>
      </c>
      <c r="K124" s="16">
        <f>AVERAGE(ReturnData!K124:K134)</f>
        <v>2.1345454545454542E-2</v>
      </c>
      <c r="L124" s="16">
        <f>AVERAGE(ReturnData!L124:L134)</f>
        <v>1.5309090909090909E-2</v>
      </c>
      <c r="M124" s="16">
        <f>AVERAGE(ReturnData!M124:M134)</f>
        <v>2.472727272727273E-2</v>
      </c>
      <c r="N124" s="16">
        <f>AVERAGE(ReturnData!N124:N134)</f>
        <v>2.4772727272727276E-2</v>
      </c>
      <c r="O124" s="16">
        <f>AVERAGE(ReturnData!O124:O134)</f>
        <v>2.0790909090909089E-2</v>
      </c>
      <c r="P124" s="16">
        <f>AVERAGE(ReturnData!P124:P134)</f>
        <v>2.1009090909090908E-2</v>
      </c>
      <c r="Q124" s="16">
        <f>AVERAGE(ReturnData!Q124:Q134)</f>
        <v>2.2118181818181818E-2</v>
      </c>
    </row>
    <row r="125" spans="1:17" x14ac:dyDescent="0.25">
      <c r="A125">
        <f>ReturnData!A137</f>
        <v>198504</v>
      </c>
      <c r="B125" s="16">
        <f>AVERAGE(ReturnData!B125:B135)</f>
        <v>2.3218181818181818E-2</v>
      </c>
      <c r="C125" s="16">
        <f>AVERAGE(ReturnData!C125:C135)</f>
        <v>-8.7090909090909111E-3</v>
      </c>
      <c r="D125" s="16">
        <f>AVERAGE(ReturnData!D125:D135)</f>
        <v>9.5818181818181809E-3</v>
      </c>
      <c r="E125" s="16">
        <f>AVERAGE(ReturnData!E125:E135)</f>
        <v>1.367272727272727E-2</v>
      </c>
      <c r="F125" s="16">
        <f>AVERAGE(ReturnData!F125:F135)</f>
        <v>1.5454545454545453E-2</v>
      </c>
      <c r="G125" s="16">
        <f>AVERAGE(ReturnData!G125:G135)</f>
        <v>1.0245454545454544E-2</v>
      </c>
      <c r="H125" s="16">
        <f>AVERAGE(ReturnData!H125:H135)</f>
        <v>1.9463636363636364E-2</v>
      </c>
      <c r="I125" s="16">
        <f>AVERAGE(ReturnData!I125:I135)</f>
        <v>1.3527272727272723E-2</v>
      </c>
      <c r="J125" s="16">
        <f>AVERAGE(ReturnData!J125:J135)</f>
        <v>-5.2909090909090944E-3</v>
      </c>
      <c r="K125" s="16">
        <f>AVERAGE(ReturnData!K125:K135)</f>
        <v>2.059090909090909E-2</v>
      </c>
      <c r="L125" s="16">
        <f>AVERAGE(ReturnData!L125:L135)</f>
        <v>1.1918181818181817E-2</v>
      </c>
      <c r="M125" s="16">
        <f>AVERAGE(ReturnData!M125:M135)</f>
        <v>2.4881818181818182E-2</v>
      </c>
      <c r="N125" s="16">
        <f>AVERAGE(ReturnData!N125:N135)</f>
        <v>2.9081818181818184E-2</v>
      </c>
      <c r="O125" s="16">
        <f>AVERAGE(ReturnData!O125:O135)</f>
        <v>2.230909090909091E-2</v>
      </c>
      <c r="P125" s="16">
        <f>AVERAGE(ReturnData!P125:P135)</f>
        <v>2.2681818181818181E-2</v>
      </c>
      <c r="Q125" s="16">
        <f>AVERAGE(ReturnData!Q125:Q135)</f>
        <v>2.2218181818181817E-2</v>
      </c>
    </row>
    <row r="126" spans="1:17" x14ac:dyDescent="0.25">
      <c r="A126">
        <f>ReturnData!A138</f>
        <v>198505</v>
      </c>
      <c r="B126" s="16">
        <f>AVERAGE(ReturnData!B126:B136)</f>
        <v>2.8363636363636365E-2</v>
      </c>
      <c r="C126" s="16">
        <f>AVERAGE(ReturnData!C126:C136)</f>
        <v>1.2454545454545433E-3</v>
      </c>
      <c r="D126" s="16">
        <f>AVERAGE(ReturnData!D126:D136)</f>
        <v>7.2363636363636371E-3</v>
      </c>
      <c r="E126" s="16">
        <f>AVERAGE(ReturnData!E126:E136)</f>
        <v>1.3454545454545452E-2</v>
      </c>
      <c r="F126" s="16">
        <f>AVERAGE(ReturnData!F126:F136)</f>
        <v>1.1345454545454546E-2</v>
      </c>
      <c r="G126" s="16">
        <f>AVERAGE(ReturnData!G126:G136)</f>
        <v>6.9909090909090902E-3</v>
      </c>
      <c r="H126" s="16">
        <f>AVERAGE(ReturnData!H126:H136)</f>
        <v>2.1581818181818181E-2</v>
      </c>
      <c r="I126" s="16">
        <f>AVERAGE(ReturnData!I126:I136)</f>
        <v>1.1836363636363633E-2</v>
      </c>
      <c r="J126" s="16">
        <f>AVERAGE(ReturnData!J126:J136)</f>
        <v>-3.245454545454547E-3</v>
      </c>
      <c r="K126" s="16">
        <f>AVERAGE(ReturnData!K126:K136)</f>
        <v>1.6227272727272726E-2</v>
      </c>
      <c r="L126" s="16">
        <f>AVERAGE(ReturnData!L126:L136)</f>
        <v>6.2272727272727263E-3</v>
      </c>
      <c r="M126" s="16">
        <f>AVERAGE(ReturnData!M126:M136)</f>
        <v>1.9072727272727272E-2</v>
      </c>
      <c r="N126" s="16">
        <f>AVERAGE(ReturnData!N126:N136)</f>
        <v>2.6927272727272734E-2</v>
      </c>
      <c r="O126" s="16">
        <f>AVERAGE(ReturnData!O126:O136)</f>
        <v>2.8290909090909092E-2</v>
      </c>
      <c r="P126" s="16">
        <f>AVERAGE(ReturnData!P126:P136)</f>
        <v>2.1472727272727272E-2</v>
      </c>
      <c r="Q126" s="16">
        <f>AVERAGE(ReturnData!Q126:Q136)</f>
        <v>2.3354545454545458E-2</v>
      </c>
    </row>
    <row r="127" spans="1:17" x14ac:dyDescent="0.25">
      <c r="A127">
        <f>ReturnData!A139</f>
        <v>198506</v>
      </c>
      <c r="B127" s="16">
        <f>AVERAGE(ReturnData!B127:B137)</f>
        <v>2.8881818181818186E-2</v>
      </c>
      <c r="C127" s="16">
        <f>AVERAGE(ReturnData!C127:C137)</f>
        <v>6.1999999999999972E-3</v>
      </c>
      <c r="D127" s="16">
        <f>AVERAGE(ReturnData!D127:D137)</f>
        <v>1.4809090909090911E-2</v>
      </c>
      <c r="E127" s="16">
        <f>AVERAGE(ReturnData!E127:E137)</f>
        <v>1.7918181818181816E-2</v>
      </c>
      <c r="F127" s="16">
        <f>AVERAGE(ReturnData!F127:F137)</f>
        <v>1.340909090909091E-2</v>
      </c>
      <c r="G127" s="16">
        <f>AVERAGE(ReturnData!G127:G137)</f>
        <v>1.4090909090909091E-2</v>
      </c>
      <c r="H127" s="16">
        <f>AVERAGE(ReturnData!H127:H137)</f>
        <v>2.2190909090909094E-2</v>
      </c>
      <c r="I127" s="16">
        <f>AVERAGE(ReturnData!I127:I137)</f>
        <v>1.9099999999999992E-2</v>
      </c>
      <c r="J127" s="16">
        <f>AVERAGE(ReturnData!J127:J137)</f>
        <v>9.3636363636363665E-4</v>
      </c>
      <c r="K127" s="16">
        <f>AVERAGE(ReturnData!K127:K137)</f>
        <v>1.6527272727272727E-2</v>
      </c>
      <c r="L127" s="16">
        <f>AVERAGE(ReturnData!L127:L137)</f>
        <v>9.0636363636363588E-3</v>
      </c>
      <c r="M127" s="16">
        <f>AVERAGE(ReturnData!M127:M137)</f>
        <v>1.9927272727272724E-2</v>
      </c>
      <c r="N127" s="16">
        <f>AVERAGE(ReturnData!N127:N137)</f>
        <v>2.7463636363636367E-2</v>
      </c>
      <c r="O127" s="16">
        <f>AVERAGE(ReturnData!O127:O137)</f>
        <v>3.0481818181818186E-2</v>
      </c>
      <c r="P127" s="16">
        <f>AVERAGE(ReturnData!P127:P137)</f>
        <v>2.6263636363636367E-2</v>
      </c>
      <c r="Q127" s="16">
        <f>AVERAGE(ReturnData!Q127:Q137)</f>
        <v>3.2381818181818178E-2</v>
      </c>
    </row>
    <row r="128" spans="1:17" x14ac:dyDescent="0.25">
      <c r="A128">
        <f>ReturnData!A140</f>
        <v>198507</v>
      </c>
      <c r="B128" s="16">
        <f>AVERAGE(ReturnData!B128:B138)</f>
        <v>3.27E-2</v>
      </c>
      <c r="C128" s="16">
        <f>AVERAGE(ReturnData!C128:C138)</f>
        <v>1.3363636363636362E-2</v>
      </c>
      <c r="D128" s="16">
        <f>AVERAGE(ReturnData!D128:D138)</f>
        <v>1.7645454545454544E-2</v>
      </c>
      <c r="E128" s="16">
        <f>AVERAGE(ReturnData!E128:E138)</f>
        <v>2.1609090909090908E-2</v>
      </c>
      <c r="F128" s="16">
        <f>AVERAGE(ReturnData!F128:F138)</f>
        <v>1.6254545454545456E-2</v>
      </c>
      <c r="G128" s="16">
        <f>AVERAGE(ReturnData!G128:G138)</f>
        <v>2.0927272727272725E-2</v>
      </c>
      <c r="H128" s="16">
        <f>AVERAGE(ReturnData!H128:H138)</f>
        <v>2.3490909090909094E-2</v>
      </c>
      <c r="I128" s="16">
        <f>AVERAGE(ReturnData!I128:I138)</f>
        <v>2.3290909090909088E-2</v>
      </c>
      <c r="J128" s="16">
        <f>AVERAGE(ReturnData!J128:J138)</f>
        <v>3.7454545454545453E-3</v>
      </c>
      <c r="K128" s="16">
        <f>AVERAGE(ReturnData!K128:K138)</f>
        <v>1.1318181818181821E-2</v>
      </c>
      <c r="L128" s="16">
        <f>AVERAGE(ReturnData!L128:L138)</f>
        <v>1.119090909090909E-2</v>
      </c>
      <c r="M128" s="16">
        <f>AVERAGE(ReturnData!M128:M138)</f>
        <v>2.3236363636363635E-2</v>
      </c>
      <c r="N128" s="16">
        <f>AVERAGE(ReturnData!N128:N138)</f>
        <v>3.15E-2</v>
      </c>
      <c r="O128" s="16">
        <f>AVERAGE(ReturnData!O128:O138)</f>
        <v>3.5027272727272733E-2</v>
      </c>
      <c r="P128" s="16">
        <f>AVERAGE(ReturnData!P128:P138)</f>
        <v>2.9263636363636367E-2</v>
      </c>
      <c r="Q128" s="16">
        <f>AVERAGE(ReturnData!Q128:Q138)</f>
        <v>3.5963636363636364E-2</v>
      </c>
    </row>
    <row r="129" spans="1:17" x14ac:dyDescent="0.25">
      <c r="A129">
        <f>ReturnData!A141</f>
        <v>198508</v>
      </c>
      <c r="B129" s="16">
        <f>AVERAGE(ReturnData!B129:B139)</f>
        <v>3.6745454545454546E-2</v>
      </c>
      <c r="C129" s="16">
        <f>AVERAGE(ReturnData!C129:C139)</f>
        <v>2.4890909090909095E-2</v>
      </c>
      <c r="D129" s="16">
        <f>AVERAGE(ReturnData!D129:D139)</f>
        <v>2.3709090909090905E-2</v>
      </c>
      <c r="E129" s="16">
        <f>AVERAGE(ReturnData!E129:E139)</f>
        <v>2.8709090909090906E-2</v>
      </c>
      <c r="F129" s="16">
        <f>AVERAGE(ReturnData!F129:F139)</f>
        <v>1.781818181818182E-2</v>
      </c>
      <c r="G129" s="16">
        <f>AVERAGE(ReturnData!G129:G139)</f>
        <v>2.4190909090909093E-2</v>
      </c>
      <c r="H129" s="16">
        <f>AVERAGE(ReturnData!H129:H139)</f>
        <v>2.8172727272727273E-2</v>
      </c>
      <c r="I129" s="16">
        <f>AVERAGE(ReturnData!I129:I139)</f>
        <v>2.6818181818181817E-2</v>
      </c>
      <c r="J129" s="16">
        <f>AVERAGE(ReturnData!J129:J139)</f>
        <v>1.1463636363636365E-2</v>
      </c>
      <c r="K129" s="16">
        <f>AVERAGE(ReturnData!K129:K139)</f>
        <v>1.4954545454545455E-2</v>
      </c>
      <c r="L129" s="16">
        <f>AVERAGE(ReturnData!L129:L139)</f>
        <v>1.1554545454545451E-2</v>
      </c>
      <c r="M129" s="16">
        <f>AVERAGE(ReturnData!M129:M139)</f>
        <v>2.0290909090909085E-2</v>
      </c>
      <c r="N129" s="16">
        <f>AVERAGE(ReturnData!N129:N139)</f>
        <v>3.3309090909090913E-2</v>
      </c>
      <c r="O129" s="16">
        <f>AVERAGE(ReturnData!O129:O139)</f>
        <v>3.8336363636363641E-2</v>
      </c>
      <c r="P129" s="16">
        <f>AVERAGE(ReturnData!P129:P139)</f>
        <v>2.9381818181818186E-2</v>
      </c>
      <c r="Q129" s="16">
        <f>AVERAGE(ReturnData!Q129:Q139)</f>
        <v>3.9281818181818182E-2</v>
      </c>
    </row>
    <row r="130" spans="1:17" x14ac:dyDescent="0.25">
      <c r="A130">
        <f>ReturnData!A142</f>
        <v>198509</v>
      </c>
      <c r="B130" s="16">
        <f>AVERAGE(ReturnData!B130:B140)</f>
        <v>2.7981818181818184E-2</v>
      </c>
      <c r="C130" s="16">
        <f>AVERAGE(ReturnData!C130:C140)</f>
        <v>1.5000000000000001E-2</v>
      </c>
      <c r="D130" s="16">
        <f>AVERAGE(ReturnData!D130:D140)</f>
        <v>1.0527272727272729E-2</v>
      </c>
      <c r="E130" s="16">
        <f>AVERAGE(ReturnData!E130:E140)</f>
        <v>2.2154545454545451E-2</v>
      </c>
      <c r="F130" s="16">
        <f>AVERAGE(ReturnData!F130:F140)</f>
        <v>1.1827272727272726E-2</v>
      </c>
      <c r="G130" s="16">
        <f>AVERAGE(ReturnData!G130:G140)</f>
        <v>1.5654545454545452E-2</v>
      </c>
      <c r="H130" s="16">
        <f>AVERAGE(ReturnData!H130:H140)</f>
        <v>2.0136363636363636E-2</v>
      </c>
      <c r="I130" s="16">
        <f>AVERAGE(ReturnData!I130:I140)</f>
        <v>1.7963636363636362E-2</v>
      </c>
      <c r="J130" s="16">
        <f>AVERAGE(ReturnData!J130:J140)</f>
        <v>5.8363636363636369E-3</v>
      </c>
      <c r="K130" s="16">
        <f>AVERAGE(ReturnData!K130:K140)</f>
        <v>8.0999999999999996E-3</v>
      </c>
      <c r="L130" s="16">
        <f>AVERAGE(ReturnData!L130:L140)</f>
        <v>3.5000000000000005E-3</v>
      </c>
      <c r="M130" s="16">
        <f>AVERAGE(ReturnData!M130:M140)</f>
        <v>1.2472727272727272E-2</v>
      </c>
      <c r="N130" s="16">
        <f>AVERAGE(ReturnData!N130:N140)</f>
        <v>2.5399999999999999E-2</v>
      </c>
      <c r="O130" s="16">
        <f>AVERAGE(ReturnData!O130:O140)</f>
        <v>2.7009090909090913E-2</v>
      </c>
      <c r="P130" s="16">
        <f>AVERAGE(ReturnData!P130:P140)</f>
        <v>1.6272727272727272E-2</v>
      </c>
      <c r="Q130" s="16">
        <f>AVERAGE(ReturnData!Q130:Q140)</f>
        <v>2.8009090909090907E-2</v>
      </c>
    </row>
    <row r="131" spans="1:17" x14ac:dyDescent="0.25">
      <c r="A131">
        <f>ReturnData!A143</f>
        <v>198510</v>
      </c>
      <c r="B131" s="16">
        <f>AVERAGE(ReturnData!B131:B141)</f>
        <v>2.7963636363636361E-2</v>
      </c>
      <c r="C131" s="16">
        <f>AVERAGE(ReturnData!C131:C141)</f>
        <v>1.3609090909090909E-2</v>
      </c>
      <c r="D131" s="16">
        <f>AVERAGE(ReturnData!D131:D141)</f>
        <v>9.9454545454545455E-3</v>
      </c>
      <c r="E131" s="16">
        <f>AVERAGE(ReturnData!E131:E141)</f>
        <v>2.4790909090909086E-2</v>
      </c>
      <c r="F131" s="16">
        <f>AVERAGE(ReturnData!F131:F141)</f>
        <v>1.1800000000000003E-2</v>
      </c>
      <c r="G131" s="16">
        <f>AVERAGE(ReturnData!G131:G141)</f>
        <v>1.7572727272727271E-2</v>
      </c>
      <c r="H131" s="16">
        <f>AVERAGE(ReturnData!H131:H141)</f>
        <v>2.1045454545454548E-2</v>
      </c>
      <c r="I131" s="16">
        <f>AVERAGE(ReturnData!I131:I141)</f>
        <v>1.4809090909090905E-2</v>
      </c>
      <c r="J131" s="16">
        <f>AVERAGE(ReturnData!J131:J141)</f>
        <v>7.1818181818181816E-3</v>
      </c>
      <c r="K131" s="16">
        <f>AVERAGE(ReturnData!K131:K141)</f>
        <v>8.2818181818181801E-3</v>
      </c>
      <c r="L131" s="16">
        <f>AVERAGE(ReturnData!L131:L141)</f>
        <v>4.381818181818182E-3</v>
      </c>
      <c r="M131" s="16">
        <f>AVERAGE(ReturnData!M131:M141)</f>
        <v>9.5272727272727245E-3</v>
      </c>
      <c r="N131" s="16">
        <f>AVERAGE(ReturnData!N131:N141)</f>
        <v>2.5418181818181819E-2</v>
      </c>
      <c r="O131" s="16">
        <f>AVERAGE(ReturnData!O131:O141)</f>
        <v>2.4363636363636365E-2</v>
      </c>
      <c r="P131" s="16">
        <f>AVERAGE(ReturnData!P131:P141)</f>
        <v>1.5827272727272728E-2</v>
      </c>
      <c r="Q131" s="16">
        <f>AVERAGE(ReturnData!Q131:Q141)</f>
        <v>2.4709090909090906E-2</v>
      </c>
    </row>
    <row r="132" spans="1:17" x14ac:dyDescent="0.25">
      <c r="A132">
        <f>ReturnData!A144</f>
        <v>198511</v>
      </c>
      <c r="B132" s="16">
        <f>AVERAGE(ReturnData!B132:B142)</f>
        <v>2.8945454545454549E-2</v>
      </c>
      <c r="C132" s="16">
        <f>AVERAGE(ReturnData!C132:C142)</f>
        <v>1.091818181818182E-2</v>
      </c>
      <c r="D132" s="16">
        <f>AVERAGE(ReturnData!D132:D142)</f>
        <v>1.2600000000000005E-2</v>
      </c>
      <c r="E132" s="16">
        <f>AVERAGE(ReturnData!E132:E142)</f>
        <v>2.2472727272727269E-2</v>
      </c>
      <c r="F132" s="16">
        <f>AVERAGE(ReturnData!F132:F142)</f>
        <v>7.8272727272727296E-3</v>
      </c>
      <c r="G132" s="16">
        <f>AVERAGE(ReturnData!G132:G142)</f>
        <v>1.5454545454545455E-2</v>
      </c>
      <c r="H132" s="16">
        <f>AVERAGE(ReturnData!H132:H142)</f>
        <v>1.5836363636363635E-2</v>
      </c>
      <c r="I132" s="16">
        <f>AVERAGE(ReturnData!I132:I142)</f>
        <v>1.0481818181818177E-2</v>
      </c>
      <c r="J132" s="16">
        <f>AVERAGE(ReturnData!J132:J142)</f>
        <v>4.7727272727272714E-3</v>
      </c>
      <c r="K132" s="16">
        <f>AVERAGE(ReturnData!K132:K142)</f>
        <v>4.5636363636363635E-3</v>
      </c>
      <c r="L132" s="16">
        <f>AVERAGE(ReturnData!L132:L142)</f>
        <v>1.1363636363636367E-3</v>
      </c>
      <c r="M132" s="16">
        <f>AVERAGE(ReturnData!M132:M142)</f>
        <v>4.9545454545454545E-3</v>
      </c>
      <c r="N132" s="16">
        <f>AVERAGE(ReturnData!N132:N142)</f>
        <v>1.4518181818181819E-2</v>
      </c>
      <c r="O132" s="16">
        <f>AVERAGE(ReturnData!O132:O142)</f>
        <v>1.6463636363636368E-2</v>
      </c>
      <c r="P132" s="16">
        <f>AVERAGE(ReturnData!P132:P142)</f>
        <v>1.2972727272727276E-2</v>
      </c>
      <c r="Q132" s="16">
        <f>AVERAGE(ReturnData!Q132:Q142)</f>
        <v>1.9590909090909093E-2</v>
      </c>
    </row>
    <row r="133" spans="1:17" x14ac:dyDescent="0.25">
      <c r="A133">
        <f>ReturnData!A145</f>
        <v>198512</v>
      </c>
      <c r="B133" s="16">
        <f>AVERAGE(ReturnData!B133:B143)</f>
        <v>3.3081818181818178E-2</v>
      </c>
      <c r="C133" s="16">
        <f>AVERAGE(ReturnData!C133:C143)</f>
        <v>1.0236363636363635E-2</v>
      </c>
      <c r="D133" s="16">
        <f>AVERAGE(ReturnData!D133:D143)</f>
        <v>1.890909090909091E-2</v>
      </c>
      <c r="E133" s="16">
        <f>AVERAGE(ReturnData!E133:E143)</f>
        <v>2.9399999999999996E-2</v>
      </c>
      <c r="F133" s="16">
        <f>AVERAGE(ReturnData!F133:F143)</f>
        <v>9.7454545454545467E-3</v>
      </c>
      <c r="G133" s="16">
        <f>AVERAGE(ReturnData!G133:G143)</f>
        <v>2.0318181818181822E-2</v>
      </c>
      <c r="H133" s="16">
        <f>AVERAGE(ReturnData!H133:H143)</f>
        <v>1.9945454545454544E-2</v>
      </c>
      <c r="I133" s="16">
        <f>AVERAGE(ReturnData!I133:I143)</f>
        <v>1.3272727272727269E-2</v>
      </c>
      <c r="J133" s="16">
        <f>AVERAGE(ReturnData!J133:J143)</f>
        <v>1.8909090909090909E-3</v>
      </c>
      <c r="K133" s="16">
        <f>AVERAGE(ReturnData!K133:K143)</f>
        <v>1.0245454545454544E-2</v>
      </c>
      <c r="L133" s="16">
        <f>AVERAGE(ReturnData!L133:L143)</f>
        <v>6.8818181818181808E-3</v>
      </c>
      <c r="M133" s="16">
        <f>AVERAGE(ReturnData!M133:M143)</f>
        <v>9.3636363636363622E-3</v>
      </c>
      <c r="N133" s="16">
        <f>AVERAGE(ReturnData!N133:N143)</f>
        <v>1.828181818181818E-2</v>
      </c>
      <c r="O133" s="16">
        <f>AVERAGE(ReturnData!O133:O143)</f>
        <v>1.9427272727272731E-2</v>
      </c>
      <c r="P133" s="16">
        <f>AVERAGE(ReturnData!P133:P143)</f>
        <v>2.2863636363636367E-2</v>
      </c>
      <c r="Q133" s="16">
        <f>AVERAGE(ReturnData!Q133:Q143)</f>
        <v>2.6245454545454548E-2</v>
      </c>
    </row>
    <row r="134" spans="1:17" x14ac:dyDescent="0.25">
      <c r="A134">
        <f>ReturnData!A146</f>
        <v>198601</v>
      </c>
      <c r="B134" s="16">
        <f>AVERAGE(ReturnData!B134:B144)</f>
        <v>3.9336363636363635E-2</v>
      </c>
      <c r="C134" s="16">
        <f>AVERAGE(ReturnData!C134:C144)</f>
        <v>1.7536363636363642E-2</v>
      </c>
      <c r="D134" s="16">
        <f>AVERAGE(ReturnData!D134:D144)</f>
        <v>2.0590909090909094E-2</v>
      </c>
      <c r="E134" s="16">
        <f>AVERAGE(ReturnData!E134:E144)</f>
        <v>3.4927272727272723E-2</v>
      </c>
      <c r="F134" s="16">
        <f>AVERAGE(ReturnData!F134:F144)</f>
        <v>1.8927272727272727E-2</v>
      </c>
      <c r="G134" s="16">
        <f>AVERAGE(ReturnData!G134:G144)</f>
        <v>2.5390909090909089E-2</v>
      </c>
      <c r="H134" s="16">
        <f>AVERAGE(ReturnData!H134:H144)</f>
        <v>2.6590909090909089E-2</v>
      </c>
      <c r="I134" s="16">
        <f>AVERAGE(ReturnData!I134:I144)</f>
        <v>1.9409090909090907E-2</v>
      </c>
      <c r="J134" s="16">
        <f>AVERAGE(ReturnData!J134:J144)</f>
        <v>5.354545454545453E-3</v>
      </c>
      <c r="K134" s="16">
        <f>AVERAGE(ReturnData!K134:K144)</f>
        <v>1.61E-2</v>
      </c>
      <c r="L134" s="16">
        <f>AVERAGE(ReturnData!L134:L144)</f>
        <v>1.2800000000000001E-2</v>
      </c>
      <c r="M134" s="16">
        <f>AVERAGE(ReturnData!M134:M144)</f>
        <v>1.1836363636363634E-2</v>
      </c>
      <c r="N134" s="16">
        <f>AVERAGE(ReturnData!N134:N144)</f>
        <v>2.0254545454545456E-2</v>
      </c>
      <c r="O134" s="16">
        <f>AVERAGE(ReturnData!O134:O144)</f>
        <v>2.0890909090909095E-2</v>
      </c>
      <c r="P134" s="16">
        <f>AVERAGE(ReturnData!P134:P144)</f>
        <v>3.0054545454545459E-2</v>
      </c>
      <c r="Q134" s="16">
        <f>AVERAGE(ReturnData!Q134:Q144)</f>
        <v>2.9100000000000004E-2</v>
      </c>
    </row>
    <row r="135" spans="1:17" x14ac:dyDescent="0.25">
      <c r="A135">
        <f>ReturnData!A147</f>
        <v>198602</v>
      </c>
      <c r="B135" s="16">
        <f>AVERAGE(ReturnData!B135:B145)</f>
        <v>4.1072727272727268E-2</v>
      </c>
      <c r="C135" s="16">
        <f>AVERAGE(ReturnData!C135:C145)</f>
        <v>6.8181818181818274E-4</v>
      </c>
      <c r="D135" s="16">
        <f>AVERAGE(ReturnData!D135:D145)</f>
        <v>1.2272727272727274E-2</v>
      </c>
      <c r="E135" s="16">
        <f>AVERAGE(ReturnData!E135:E145)</f>
        <v>2.8100000000000003E-2</v>
      </c>
      <c r="F135" s="16">
        <f>AVERAGE(ReturnData!F135:F145)</f>
        <v>1.657272727272727E-2</v>
      </c>
      <c r="G135" s="16">
        <f>AVERAGE(ReturnData!G135:G145)</f>
        <v>2.5100000000000001E-2</v>
      </c>
      <c r="H135" s="16">
        <f>AVERAGE(ReturnData!H135:H145)</f>
        <v>2.6209090909090908E-2</v>
      </c>
      <c r="I135" s="16">
        <f>AVERAGE(ReturnData!I135:I145)</f>
        <v>1.2363636363636361E-2</v>
      </c>
      <c r="J135" s="16">
        <f>AVERAGE(ReturnData!J135:J145)</f>
        <v>-1.7909090909090924E-3</v>
      </c>
      <c r="K135" s="16">
        <f>AVERAGE(ReturnData!K135:K145)</f>
        <v>1.5699999999999999E-2</v>
      </c>
      <c r="L135" s="16">
        <f>AVERAGE(ReturnData!L135:L145)</f>
        <v>8.1545454545454542E-3</v>
      </c>
      <c r="M135" s="16">
        <f>AVERAGE(ReturnData!M135:M145)</f>
        <v>8.5727272727272718E-3</v>
      </c>
      <c r="N135" s="16">
        <f>AVERAGE(ReturnData!N135:N145)</f>
        <v>1.3190909090909092E-2</v>
      </c>
      <c r="O135" s="16">
        <f>AVERAGE(ReturnData!O135:O145)</f>
        <v>2.3127272727272729E-2</v>
      </c>
      <c r="P135" s="16">
        <f>AVERAGE(ReturnData!P135:P145)</f>
        <v>2.233636363636364E-2</v>
      </c>
      <c r="Q135" s="16">
        <f>AVERAGE(ReturnData!Q135:Q145)</f>
        <v>2.5554545454545451E-2</v>
      </c>
    </row>
    <row r="136" spans="1:17" x14ac:dyDescent="0.25">
      <c r="A136">
        <f>ReturnData!A148</f>
        <v>198603</v>
      </c>
      <c r="B136" s="16">
        <f>AVERAGE(ReturnData!B136:B146)</f>
        <v>3.7254545454545457E-2</v>
      </c>
      <c r="C136" s="16">
        <f>AVERAGE(ReturnData!C136:C146)</f>
        <v>6.454545454545455E-3</v>
      </c>
      <c r="D136" s="16">
        <f>AVERAGE(ReturnData!D136:D146)</f>
        <v>2.3727272727272711E-3</v>
      </c>
      <c r="E136" s="16">
        <f>AVERAGE(ReturnData!E136:E146)</f>
        <v>3.0472727272727273E-2</v>
      </c>
      <c r="F136" s="16">
        <f>AVERAGE(ReturnData!F136:F146)</f>
        <v>1.659090909090909E-2</v>
      </c>
      <c r="G136" s="16">
        <f>AVERAGE(ReturnData!G136:G146)</f>
        <v>2.4481818181818181E-2</v>
      </c>
      <c r="H136" s="16">
        <f>AVERAGE(ReturnData!H136:H146)</f>
        <v>2.3545454545454546E-2</v>
      </c>
      <c r="I136" s="16">
        <f>AVERAGE(ReturnData!I136:I146)</f>
        <v>1.4572727272727272E-2</v>
      </c>
      <c r="J136" s="16">
        <f>AVERAGE(ReturnData!J136:J146)</f>
        <v>1.0727272727272723E-3</v>
      </c>
      <c r="K136" s="16">
        <f>AVERAGE(ReturnData!K136:K146)</f>
        <v>1.520909090909091E-2</v>
      </c>
      <c r="L136" s="16">
        <f>AVERAGE(ReturnData!L136:L146)</f>
        <v>9.6181818181818191E-3</v>
      </c>
      <c r="M136" s="16">
        <f>AVERAGE(ReturnData!M136:M146)</f>
        <v>1.4836363636363637E-2</v>
      </c>
      <c r="N136" s="16">
        <f>AVERAGE(ReturnData!N136:N146)</f>
        <v>1.2172727272727274E-2</v>
      </c>
      <c r="O136" s="16">
        <f>AVERAGE(ReturnData!O136:O146)</f>
        <v>2.5309090909090906E-2</v>
      </c>
      <c r="P136" s="16">
        <f>AVERAGE(ReturnData!P136:P146)</f>
        <v>2.118181818181818E-2</v>
      </c>
      <c r="Q136" s="16">
        <f>AVERAGE(ReturnData!Q136:Q146)</f>
        <v>2.6781818181818181E-2</v>
      </c>
    </row>
    <row r="137" spans="1:17" x14ac:dyDescent="0.25">
      <c r="A137">
        <f>ReturnData!A149</f>
        <v>198604</v>
      </c>
      <c r="B137" s="16">
        <f>AVERAGE(ReturnData!B137:B147)</f>
        <v>3.9754545454545459E-2</v>
      </c>
      <c r="C137" s="16">
        <f>AVERAGE(ReturnData!C137:C147)</f>
        <v>-1.1090909090909083E-3</v>
      </c>
      <c r="D137" s="16">
        <f>AVERAGE(ReturnData!D137:D147)</f>
        <v>1.4999999999999985E-3</v>
      </c>
      <c r="E137" s="16">
        <f>AVERAGE(ReturnData!E137:E147)</f>
        <v>3.9745454545454542E-2</v>
      </c>
      <c r="F137" s="16">
        <f>AVERAGE(ReturnData!F137:F147)</f>
        <v>3.1027272727272726E-2</v>
      </c>
      <c r="G137" s="16">
        <f>AVERAGE(ReturnData!G137:G147)</f>
        <v>3.7663636363636371E-2</v>
      </c>
      <c r="H137" s="16">
        <f>AVERAGE(ReturnData!H137:H147)</f>
        <v>2.9072727272727274E-2</v>
      </c>
      <c r="I137" s="16">
        <f>AVERAGE(ReturnData!I137:I147)</f>
        <v>2.979090909090909E-2</v>
      </c>
      <c r="J137" s="16">
        <f>AVERAGE(ReturnData!J137:J147)</f>
        <v>8.9272727272727264E-3</v>
      </c>
      <c r="K137" s="16">
        <f>AVERAGE(ReturnData!K137:K147)</f>
        <v>2.4918181818181815E-2</v>
      </c>
      <c r="L137" s="16">
        <f>AVERAGE(ReturnData!L137:L147)</f>
        <v>2.001818181818182E-2</v>
      </c>
      <c r="M137" s="16">
        <f>AVERAGE(ReturnData!M137:M147)</f>
        <v>2.9590909090909091E-2</v>
      </c>
      <c r="N137" s="16">
        <f>AVERAGE(ReturnData!N137:N147)</f>
        <v>2.3409090909090904E-2</v>
      </c>
      <c r="O137" s="16">
        <f>AVERAGE(ReturnData!O137:O147)</f>
        <v>2.5736363636363637E-2</v>
      </c>
      <c r="P137" s="16">
        <f>AVERAGE(ReturnData!P137:P147)</f>
        <v>2.8409090909090908E-2</v>
      </c>
      <c r="Q137" s="16">
        <f>AVERAGE(ReturnData!Q137:Q147)</f>
        <v>3.4581818181818186E-2</v>
      </c>
    </row>
    <row r="138" spans="1:17" x14ac:dyDescent="0.25">
      <c r="A138">
        <f>ReturnData!A150</f>
        <v>198605</v>
      </c>
      <c r="B138" s="16">
        <f>AVERAGE(ReturnData!B138:B148)</f>
        <v>4.8945454545454542E-2</v>
      </c>
      <c r="C138" s="16">
        <f>AVERAGE(ReturnData!C138:C148)</f>
        <v>3.1545454545454541E-3</v>
      </c>
      <c r="D138" s="16">
        <f>AVERAGE(ReturnData!D138:D148)</f>
        <v>-9.7272727272727203E-4</v>
      </c>
      <c r="E138" s="16">
        <f>AVERAGE(ReturnData!E138:E148)</f>
        <v>4.6918181818181817E-2</v>
      </c>
      <c r="F138" s="16">
        <f>AVERAGE(ReturnData!F138:F148)</f>
        <v>3.6499999999999998E-2</v>
      </c>
      <c r="G138" s="16">
        <f>AVERAGE(ReturnData!G138:G148)</f>
        <v>4.2736363636363635E-2</v>
      </c>
      <c r="H138" s="16">
        <f>AVERAGE(ReturnData!H138:H148)</f>
        <v>4.197272727272728E-2</v>
      </c>
      <c r="I138" s="16">
        <f>AVERAGE(ReturnData!I138:I148)</f>
        <v>4.0518181818181814E-2</v>
      </c>
      <c r="J138" s="16">
        <f>AVERAGE(ReturnData!J138:J148)</f>
        <v>1.6945454545454545E-2</v>
      </c>
      <c r="K138" s="16">
        <f>AVERAGE(ReturnData!K138:K148)</f>
        <v>3.0454545454545453E-2</v>
      </c>
      <c r="L138" s="16">
        <f>AVERAGE(ReturnData!L138:L148)</f>
        <v>2.3781818181818182E-2</v>
      </c>
      <c r="M138" s="16">
        <f>AVERAGE(ReturnData!M138:M148)</f>
        <v>4.3754545454545456E-2</v>
      </c>
      <c r="N138" s="16">
        <f>AVERAGE(ReturnData!N138:N148)</f>
        <v>3.0945454545454543E-2</v>
      </c>
      <c r="O138" s="16">
        <f>AVERAGE(ReturnData!O138:O148)</f>
        <v>2.7872727272727271E-2</v>
      </c>
      <c r="P138" s="16">
        <f>AVERAGE(ReturnData!P138:P148)</f>
        <v>3.6181818181818183E-2</v>
      </c>
      <c r="Q138" s="16">
        <f>AVERAGE(ReturnData!Q138:Q148)</f>
        <v>3.7609090909090905E-2</v>
      </c>
    </row>
    <row r="139" spans="1:17" x14ac:dyDescent="0.25">
      <c r="A139">
        <f>ReturnData!A151</f>
        <v>198606</v>
      </c>
      <c r="B139" s="16">
        <f>AVERAGE(ReturnData!B139:B149)</f>
        <v>3.9700000000000006E-2</v>
      </c>
      <c r="C139" s="16">
        <f>AVERAGE(ReturnData!C139:C149)</f>
        <v>-4.0272727272727266E-3</v>
      </c>
      <c r="D139" s="16">
        <f>AVERAGE(ReturnData!D139:D149)</f>
        <v>-1.3909090909090911E-3</v>
      </c>
      <c r="E139" s="16">
        <f>AVERAGE(ReturnData!E139:E149)</f>
        <v>3.8390909090909094E-2</v>
      </c>
      <c r="F139" s="16">
        <f>AVERAGE(ReturnData!F139:F149)</f>
        <v>3.0809090909090908E-2</v>
      </c>
      <c r="G139" s="16">
        <f>AVERAGE(ReturnData!G139:G149)</f>
        <v>3.7618181818181821E-2</v>
      </c>
      <c r="H139" s="16">
        <f>AVERAGE(ReturnData!H139:H149)</f>
        <v>3.5845454545454548E-2</v>
      </c>
      <c r="I139" s="16">
        <f>AVERAGE(ReturnData!I139:I149)</f>
        <v>3.3345454545454546E-2</v>
      </c>
      <c r="J139" s="16">
        <f>AVERAGE(ReturnData!J139:J149)</f>
        <v>1.0536363636363634E-2</v>
      </c>
      <c r="K139" s="16">
        <f>AVERAGE(ReturnData!K139:K149)</f>
        <v>2.4272727272727269E-2</v>
      </c>
      <c r="L139" s="16">
        <f>AVERAGE(ReturnData!L139:L149)</f>
        <v>2.2954545454545453E-2</v>
      </c>
      <c r="M139" s="16">
        <f>AVERAGE(ReturnData!M139:M149)</f>
        <v>3.1354545454545454E-2</v>
      </c>
      <c r="N139" s="16">
        <f>AVERAGE(ReturnData!N139:N149)</f>
        <v>1.8754545454545454E-2</v>
      </c>
      <c r="O139" s="16">
        <f>AVERAGE(ReturnData!O139:O149)</f>
        <v>1.9309090909090908E-2</v>
      </c>
      <c r="P139" s="16">
        <f>AVERAGE(ReturnData!P139:P149)</f>
        <v>2.6090909090909088E-2</v>
      </c>
      <c r="Q139" s="16">
        <f>AVERAGE(ReturnData!Q139:Q149)</f>
        <v>2.8945454545454542E-2</v>
      </c>
    </row>
    <row r="140" spans="1:17" x14ac:dyDescent="0.25">
      <c r="A140">
        <f>ReturnData!A152</f>
        <v>198607</v>
      </c>
      <c r="B140" s="16">
        <f>AVERAGE(ReturnData!B140:B150)</f>
        <v>4.3718181818181823E-2</v>
      </c>
      <c r="C140" s="16">
        <f>AVERAGE(ReturnData!C140:C150)</f>
        <v>-9.0909090909090833E-4</v>
      </c>
      <c r="D140" s="16">
        <f>AVERAGE(ReturnData!D140:D150)</f>
        <v>6.1818181818181807E-3</v>
      </c>
      <c r="E140" s="16">
        <f>AVERAGE(ReturnData!E140:E150)</f>
        <v>4.3727272727272726E-2</v>
      </c>
      <c r="F140" s="16">
        <f>AVERAGE(ReturnData!F140:F150)</f>
        <v>3.2909090909090909E-2</v>
      </c>
      <c r="G140" s="16">
        <f>AVERAGE(ReturnData!G140:G150)</f>
        <v>4.1527272727272725E-2</v>
      </c>
      <c r="H140" s="16">
        <f>AVERAGE(ReturnData!H140:H150)</f>
        <v>4.1881818181818187E-2</v>
      </c>
      <c r="I140" s="16">
        <f>AVERAGE(ReturnData!I140:I150)</f>
        <v>3.729090909090909E-2</v>
      </c>
      <c r="J140" s="16">
        <f>AVERAGE(ReturnData!J140:J150)</f>
        <v>1.2681818181818178E-2</v>
      </c>
      <c r="K140" s="16">
        <f>AVERAGE(ReturnData!K140:K150)</f>
        <v>2.6163636363636365E-2</v>
      </c>
      <c r="L140" s="16">
        <f>AVERAGE(ReturnData!L140:L150)</f>
        <v>2.4518181818181817E-2</v>
      </c>
      <c r="M140" s="16">
        <f>AVERAGE(ReturnData!M140:M150)</f>
        <v>3.4072727272727275E-2</v>
      </c>
      <c r="N140" s="16">
        <f>AVERAGE(ReturnData!N140:N150)</f>
        <v>1.8127272727272728E-2</v>
      </c>
      <c r="O140" s="16">
        <f>AVERAGE(ReturnData!O140:O150)</f>
        <v>1.9309090909090911E-2</v>
      </c>
      <c r="P140" s="16">
        <f>AVERAGE(ReturnData!P140:P150)</f>
        <v>3.5000000000000003E-2</v>
      </c>
      <c r="Q140" s="16">
        <f>AVERAGE(ReturnData!Q140:Q150)</f>
        <v>3.0781818181818184E-2</v>
      </c>
    </row>
    <row r="141" spans="1:17" x14ac:dyDescent="0.25">
      <c r="A141">
        <f>ReturnData!A153</f>
        <v>198608</v>
      </c>
      <c r="B141" s="16">
        <f>AVERAGE(ReturnData!B141:B151)</f>
        <v>5.1390909090909091E-2</v>
      </c>
      <c r="C141" s="16">
        <f>AVERAGE(ReturnData!C141:C151)</f>
        <v>-1.2336363636363635E-2</v>
      </c>
      <c r="D141" s="16">
        <f>AVERAGE(ReturnData!D141:D151)</f>
        <v>4.9181818181818181E-3</v>
      </c>
      <c r="E141" s="16">
        <f>AVERAGE(ReturnData!E141:E151)</f>
        <v>4.580909090909091E-2</v>
      </c>
      <c r="F141" s="16">
        <f>AVERAGE(ReturnData!F141:F151)</f>
        <v>3.0036363636363635E-2</v>
      </c>
      <c r="G141" s="16">
        <f>AVERAGE(ReturnData!G141:G151)</f>
        <v>3.8399999999999997E-2</v>
      </c>
      <c r="H141" s="16">
        <f>AVERAGE(ReturnData!H141:H151)</f>
        <v>4.9181818181818195E-2</v>
      </c>
      <c r="I141" s="16">
        <f>AVERAGE(ReturnData!I141:I151)</f>
        <v>3.4181818181818174E-2</v>
      </c>
      <c r="J141" s="16">
        <f>AVERAGE(ReturnData!J141:J151)</f>
        <v>2.3999999999999994E-3</v>
      </c>
      <c r="K141" s="16">
        <f>AVERAGE(ReturnData!K141:K151)</f>
        <v>2.1509090909090905E-2</v>
      </c>
      <c r="L141" s="16">
        <f>AVERAGE(ReturnData!L141:L151)</f>
        <v>1.6054545454545457E-2</v>
      </c>
      <c r="M141" s="16">
        <f>AVERAGE(ReturnData!M141:M151)</f>
        <v>3.2936363636363639E-2</v>
      </c>
      <c r="N141" s="16">
        <f>AVERAGE(ReturnData!N141:N151)</f>
        <v>1.4554545454545457E-2</v>
      </c>
      <c r="O141" s="16">
        <f>AVERAGE(ReturnData!O141:O151)</f>
        <v>2.8163636363636366E-2</v>
      </c>
      <c r="P141" s="16">
        <f>AVERAGE(ReturnData!P141:P151)</f>
        <v>4.3981818181818177E-2</v>
      </c>
      <c r="Q141" s="16">
        <f>AVERAGE(ReturnData!Q141:Q151)</f>
        <v>3.3799999999999997E-2</v>
      </c>
    </row>
    <row r="142" spans="1:17" x14ac:dyDescent="0.25">
      <c r="A142">
        <f>ReturnData!A154</f>
        <v>198609</v>
      </c>
      <c r="B142" s="16">
        <f>AVERAGE(ReturnData!B142:B152)</f>
        <v>4.4772727272727277E-2</v>
      </c>
      <c r="C142" s="16">
        <f>AVERAGE(ReturnData!C142:C152)</f>
        <v>-1.320909090909091E-2</v>
      </c>
      <c r="D142" s="16">
        <f>AVERAGE(ReturnData!D142:D152)</f>
        <v>-1.2272727272727277E-3</v>
      </c>
      <c r="E142" s="16">
        <f>AVERAGE(ReturnData!E142:E152)</f>
        <v>3.6690909090909087E-2</v>
      </c>
      <c r="F142" s="16">
        <f>AVERAGE(ReturnData!F142:F152)</f>
        <v>2.4854545454545452E-2</v>
      </c>
      <c r="G142" s="16">
        <f>AVERAGE(ReturnData!G142:G152)</f>
        <v>3.2727272727272723E-2</v>
      </c>
      <c r="H142" s="16">
        <f>AVERAGE(ReturnData!H142:H152)</f>
        <v>4.53909090909091E-2</v>
      </c>
      <c r="I142" s="16">
        <f>AVERAGE(ReturnData!I142:I152)</f>
        <v>2.8263636363636359E-2</v>
      </c>
      <c r="J142" s="16">
        <f>AVERAGE(ReturnData!J142:J152)</f>
        <v>-1.0800000000000002E-2</v>
      </c>
      <c r="K142" s="16">
        <f>AVERAGE(ReturnData!K142:K152)</f>
        <v>1.6081818181818183E-2</v>
      </c>
      <c r="L142" s="16">
        <f>AVERAGE(ReturnData!L142:L152)</f>
        <v>1.0981818181818181E-2</v>
      </c>
      <c r="M142" s="16">
        <f>AVERAGE(ReturnData!M142:M152)</f>
        <v>2.5654545454545454E-2</v>
      </c>
      <c r="N142" s="16">
        <f>AVERAGE(ReturnData!N142:N152)</f>
        <v>7.0999999999999987E-3</v>
      </c>
      <c r="O142" s="16">
        <f>AVERAGE(ReturnData!O142:O152)</f>
        <v>3.1109090909090909E-2</v>
      </c>
      <c r="P142" s="16">
        <f>AVERAGE(ReturnData!P142:P152)</f>
        <v>3.5690909090909086E-2</v>
      </c>
      <c r="Q142" s="16">
        <f>AVERAGE(ReturnData!Q142:Q152)</f>
        <v>2.917272727272727E-2</v>
      </c>
    </row>
    <row r="143" spans="1:17" x14ac:dyDescent="0.25">
      <c r="A143">
        <f>ReturnData!A155</f>
        <v>198610</v>
      </c>
      <c r="B143" s="16">
        <f>AVERAGE(ReturnData!B143:B153)</f>
        <v>4.3481818181818184E-2</v>
      </c>
      <c r="C143" s="16">
        <f>AVERAGE(ReturnData!C143:C153)</f>
        <v>8.127272727272726E-3</v>
      </c>
      <c r="D143" s="16">
        <f>AVERAGE(ReturnData!D143:D153)</f>
        <v>1.5354545454545452E-2</v>
      </c>
      <c r="E143" s="16">
        <f>AVERAGE(ReturnData!E143:E153)</f>
        <v>4.1572727272727282E-2</v>
      </c>
      <c r="F143" s="16">
        <f>AVERAGE(ReturnData!F143:F153)</f>
        <v>3.3763636363636357E-2</v>
      </c>
      <c r="G143" s="16">
        <f>AVERAGE(ReturnData!G143:G153)</f>
        <v>4.1445454545454549E-2</v>
      </c>
      <c r="H143" s="16">
        <f>AVERAGE(ReturnData!H143:H153)</f>
        <v>5.0818181818181825E-2</v>
      </c>
      <c r="I143" s="16">
        <f>AVERAGE(ReturnData!I143:I153)</f>
        <v>3.9227272727272715E-2</v>
      </c>
      <c r="J143" s="16">
        <f>AVERAGE(ReturnData!J143:J153)</f>
        <v>2.2272727272727231E-3</v>
      </c>
      <c r="K143" s="16">
        <f>AVERAGE(ReturnData!K143:K153)</f>
        <v>2.4545454545454547E-2</v>
      </c>
      <c r="L143" s="16">
        <f>AVERAGE(ReturnData!L143:L153)</f>
        <v>2.1536363636363635E-2</v>
      </c>
      <c r="M143" s="16">
        <f>AVERAGE(ReturnData!M143:M153)</f>
        <v>3.3872727272727277E-2</v>
      </c>
      <c r="N143" s="16">
        <f>AVERAGE(ReturnData!N143:N153)</f>
        <v>1.9136363636363635E-2</v>
      </c>
      <c r="O143" s="16">
        <f>AVERAGE(ReturnData!O143:O153)</f>
        <v>4.3154545454545452E-2</v>
      </c>
      <c r="P143" s="16">
        <f>AVERAGE(ReturnData!P143:P153)</f>
        <v>4.0627272727272727E-2</v>
      </c>
      <c r="Q143" s="16">
        <f>AVERAGE(ReturnData!Q143:Q153)</f>
        <v>3.9700000000000006E-2</v>
      </c>
    </row>
    <row r="144" spans="1:17" x14ac:dyDescent="0.25">
      <c r="A144">
        <f>ReturnData!A156</f>
        <v>198611</v>
      </c>
      <c r="B144" s="16">
        <f>AVERAGE(ReturnData!B144:B154)</f>
        <v>2.9281818181818187E-2</v>
      </c>
      <c r="C144" s="16">
        <f>AVERAGE(ReturnData!C144:C154)</f>
        <v>1.1663636363636364E-2</v>
      </c>
      <c r="D144" s="16">
        <f>AVERAGE(ReturnData!D144:D154)</f>
        <v>9.1636363636363617E-3</v>
      </c>
      <c r="E144" s="16">
        <f>AVERAGE(ReturnData!E144:E154)</f>
        <v>2.6999999999999993E-2</v>
      </c>
      <c r="F144" s="16">
        <f>AVERAGE(ReturnData!F144:F154)</f>
        <v>2.5309090909090906E-2</v>
      </c>
      <c r="G144" s="16">
        <f>AVERAGE(ReturnData!G144:G154)</f>
        <v>3.2454545454545458E-2</v>
      </c>
      <c r="H144" s="16">
        <f>AVERAGE(ReturnData!H144:H154)</f>
        <v>3.4609090909090902E-2</v>
      </c>
      <c r="I144" s="16">
        <f>AVERAGE(ReturnData!I144:I154)</f>
        <v>3.0136363636363631E-2</v>
      </c>
      <c r="J144" s="16">
        <f>AVERAGE(ReturnData!J144:J154)</f>
        <v>1.0590909090909088E-2</v>
      </c>
      <c r="K144" s="16">
        <f>AVERAGE(ReturnData!K144:K154)</f>
        <v>1.7781818181818183E-2</v>
      </c>
      <c r="L144" s="16">
        <f>AVERAGE(ReturnData!L144:L154)</f>
        <v>1.2381818181818183E-2</v>
      </c>
      <c r="M144" s="16">
        <f>AVERAGE(ReturnData!M144:M154)</f>
        <v>2.5027272727272728E-2</v>
      </c>
      <c r="N144" s="16">
        <f>AVERAGE(ReturnData!N144:N154)</f>
        <v>1.5936363636363641E-2</v>
      </c>
      <c r="O144" s="16">
        <f>AVERAGE(ReturnData!O144:O154)</f>
        <v>2.9145454545454544E-2</v>
      </c>
      <c r="P144" s="16">
        <f>AVERAGE(ReturnData!P144:P154)</f>
        <v>2.5854545454545453E-2</v>
      </c>
      <c r="Q144" s="16">
        <f>AVERAGE(ReturnData!Q144:Q154)</f>
        <v>2.3318181818181818E-2</v>
      </c>
    </row>
    <row r="145" spans="1:17" x14ac:dyDescent="0.25">
      <c r="A145">
        <f>ReturnData!A157</f>
        <v>198612</v>
      </c>
      <c r="B145" s="16">
        <f>AVERAGE(ReturnData!B145:B155)</f>
        <v>2.9799999999999993E-2</v>
      </c>
      <c r="C145" s="16">
        <f>AVERAGE(ReturnData!C145:C155)</f>
        <v>6.6727272727272737E-3</v>
      </c>
      <c r="D145" s="16">
        <f>AVERAGE(ReturnData!D145:D155)</f>
        <v>9.6090909090909074E-3</v>
      </c>
      <c r="E145" s="16">
        <f>AVERAGE(ReturnData!E145:E155)</f>
        <v>2.7309090909090904E-2</v>
      </c>
      <c r="F145" s="16">
        <f>AVERAGE(ReturnData!F145:F155)</f>
        <v>2.0336363636363635E-2</v>
      </c>
      <c r="G145" s="16">
        <f>AVERAGE(ReturnData!G145:G155)</f>
        <v>3.4263636363636357E-2</v>
      </c>
      <c r="H145" s="16">
        <f>AVERAGE(ReturnData!H145:H155)</f>
        <v>3.3409090909090909E-2</v>
      </c>
      <c r="I145" s="16">
        <f>AVERAGE(ReturnData!I145:I155)</f>
        <v>2.8399999999999995E-2</v>
      </c>
      <c r="J145" s="16">
        <f>AVERAGE(ReturnData!J145:J155)</f>
        <v>8.5636363636363618E-3</v>
      </c>
      <c r="K145" s="16">
        <f>AVERAGE(ReturnData!K145:K155)</f>
        <v>1.2927272727272726E-2</v>
      </c>
      <c r="L145" s="16">
        <f>AVERAGE(ReturnData!L145:L155)</f>
        <v>4.5181818181818179E-3</v>
      </c>
      <c r="M145" s="16">
        <f>AVERAGE(ReturnData!M145:M155)</f>
        <v>2.4236363636363636E-2</v>
      </c>
      <c r="N145" s="16">
        <f>AVERAGE(ReturnData!N145:N155)</f>
        <v>1.3672727272727274E-2</v>
      </c>
      <c r="O145" s="16">
        <f>AVERAGE(ReturnData!O145:O155)</f>
        <v>3.0063636363636362E-2</v>
      </c>
      <c r="P145" s="16">
        <f>AVERAGE(ReturnData!P145:P155)</f>
        <v>2.5872727272727269E-2</v>
      </c>
      <c r="Q145" s="16">
        <f>AVERAGE(ReturnData!Q145:Q155)</f>
        <v>1.949090909090909E-2</v>
      </c>
    </row>
    <row r="146" spans="1:17" x14ac:dyDescent="0.25">
      <c r="A146">
        <f>ReturnData!A158</f>
        <v>198701</v>
      </c>
      <c r="B146" s="16">
        <f>AVERAGE(ReturnData!B146:B156)</f>
        <v>2.6636363636363628E-2</v>
      </c>
      <c r="C146" s="16">
        <f>AVERAGE(ReturnData!C146:C156)</f>
        <v>1.0563636363636364E-2</v>
      </c>
      <c r="D146" s="16">
        <f>AVERAGE(ReturnData!D146:D156)</f>
        <v>1.5118181818181815E-2</v>
      </c>
      <c r="E146" s="16">
        <f>AVERAGE(ReturnData!E146:E156)</f>
        <v>2.6518181818181819E-2</v>
      </c>
      <c r="F146" s="16">
        <f>AVERAGE(ReturnData!F146:F156)</f>
        <v>2.0299999999999999E-2</v>
      </c>
      <c r="G146" s="16">
        <f>AVERAGE(ReturnData!G146:G156)</f>
        <v>3.1809090909090912E-2</v>
      </c>
      <c r="H146" s="16">
        <f>AVERAGE(ReturnData!H146:H156)</f>
        <v>3.1854545454545462E-2</v>
      </c>
      <c r="I146" s="16">
        <f>AVERAGE(ReturnData!I146:I156)</f>
        <v>2.6336363636363637E-2</v>
      </c>
      <c r="J146" s="16">
        <f>AVERAGE(ReturnData!J146:J156)</f>
        <v>-6.6363636363636375E-4</v>
      </c>
      <c r="K146" s="16">
        <f>AVERAGE(ReturnData!K146:K156)</f>
        <v>9.4363636363636368E-3</v>
      </c>
      <c r="L146" s="16">
        <f>AVERAGE(ReturnData!L146:L156)</f>
        <v>1.5545454545454569E-3</v>
      </c>
      <c r="M146" s="16">
        <f>AVERAGE(ReturnData!M146:M156)</f>
        <v>2.2000000000000002E-2</v>
      </c>
      <c r="N146" s="16">
        <f>AVERAGE(ReturnData!N146:N156)</f>
        <v>1.2709090909090913E-2</v>
      </c>
      <c r="O146" s="16">
        <f>AVERAGE(ReturnData!O146:O156)</f>
        <v>2.6154545454545455E-2</v>
      </c>
      <c r="P146" s="16">
        <f>AVERAGE(ReturnData!P146:P156)</f>
        <v>2.3999999999999997E-2</v>
      </c>
      <c r="Q146" s="16">
        <f>AVERAGE(ReturnData!Q146:Q156)</f>
        <v>1.4181818181818179E-2</v>
      </c>
    </row>
    <row r="147" spans="1:17" x14ac:dyDescent="0.25">
      <c r="A147">
        <f>ReturnData!A159</f>
        <v>198702</v>
      </c>
      <c r="B147" s="16">
        <f>AVERAGE(ReturnData!B147:B157)</f>
        <v>2.3190909090909092E-2</v>
      </c>
      <c r="C147" s="16">
        <f>AVERAGE(ReturnData!C147:C157)</f>
        <v>6.1999999999999998E-3</v>
      </c>
      <c r="D147" s="16">
        <f>AVERAGE(ReturnData!D147:D157)</f>
        <v>2.0754545454545456E-2</v>
      </c>
      <c r="E147" s="16">
        <f>AVERAGE(ReturnData!E147:E157)</f>
        <v>1.7863636363636359E-2</v>
      </c>
      <c r="F147" s="16">
        <f>AVERAGE(ReturnData!F147:F157)</f>
        <v>2.0199999999999999E-2</v>
      </c>
      <c r="G147" s="16">
        <f>AVERAGE(ReturnData!G147:G157)</f>
        <v>2.6672727272727279E-2</v>
      </c>
      <c r="H147" s="16">
        <f>AVERAGE(ReturnData!H147:H157)</f>
        <v>3.0554545454545449E-2</v>
      </c>
      <c r="I147" s="16">
        <f>AVERAGE(ReturnData!I147:I157)</f>
        <v>2.1490909090909092E-2</v>
      </c>
      <c r="J147" s="16">
        <f>AVERAGE(ReturnData!J147:J157)</f>
        <v>-5.3454545454545465E-3</v>
      </c>
      <c r="K147" s="16">
        <f>AVERAGE(ReturnData!K147:K157)</f>
        <v>2.4909090909090922E-3</v>
      </c>
      <c r="L147" s="16">
        <f>AVERAGE(ReturnData!L147:L157)</f>
        <v>-1.6181818181818166E-3</v>
      </c>
      <c r="M147" s="16">
        <f>AVERAGE(ReturnData!M147:M157)</f>
        <v>1.3281818181818183E-2</v>
      </c>
      <c r="N147" s="16">
        <f>AVERAGE(ReturnData!N147:N157)</f>
        <v>5.7818181818181822E-3</v>
      </c>
      <c r="O147" s="16">
        <f>AVERAGE(ReturnData!O147:O157)</f>
        <v>1.9727272727272729E-2</v>
      </c>
      <c r="P147" s="16">
        <f>AVERAGE(ReturnData!P147:P157)</f>
        <v>1.6472727272727271E-2</v>
      </c>
      <c r="Q147" s="16">
        <f>AVERAGE(ReturnData!Q147:Q157)</f>
        <v>8.8545454545454552E-3</v>
      </c>
    </row>
    <row r="148" spans="1:17" x14ac:dyDescent="0.25">
      <c r="A148">
        <f>ReturnData!A160</f>
        <v>198703</v>
      </c>
      <c r="B148" s="16">
        <f>AVERAGE(ReturnData!B148:B158)</f>
        <v>2.747272727272727E-2</v>
      </c>
      <c r="C148" s="16">
        <f>AVERAGE(ReturnData!C148:C158)</f>
        <v>2.1709090909090911E-2</v>
      </c>
      <c r="D148" s="16">
        <f>AVERAGE(ReturnData!D148:D158)</f>
        <v>3.3636363636363638E-2</v>
      </c>
      <c r="E148" s="16">
        <f>AVERAGE(ReturnData!E148:E158)</f>
        <v>1.839090909090909E-2</v>
      </c>
      <c r="F148" s="16">
        <f>AVERAGE(ReturnData!F148:F158)</f>
        <v>2.352727272727273E-2</v>
      </c>
      <c r="G148" s="16">
        <f>AVERAGE(ReturnData!G148:G158)</f>
        <v>2.9400000000000003E-2</v>
      </c>
      <c r="H148" s="16">
        <f>AVERAGE(ReturnData!H148:H158)</f>
        <v>3.5645454545454543E-2</v>
      </c>
      <c r="I148" s="16">
        <f>AVERAGE(ReturnData!I148:I158)</f>
        <v>2.5809090909090907E-2</v>
      </c>
      <c r="J148" s="16">
        <f>AVERAGE(ReturnData!J148:J158)</f>
        <v>1.6909090909090888E-3</v>
      </c>
      <c r="K148" s="16">
        <f>AVERAGE(ReturnData!K148:K158)</f>
        <v>6.4909090909090915E-3</v>
      </c>
      <c r="L148" s="16">
        <f>AVERAGE(ReturnData!L148:L158)</f>
        <v>8.0272727272727284E-3</v>
      </c>
      <c r="M148" s="16">
        <f>AVERAGE(ReturnData!M148:M158)</f>
        <v>2.0936363636363638E-2</v>
      </c>
      <c r="N148" s="16">
        <f>AVERAGE(ReturnData!N148:N158)</f>
        <v>3.2090909090909101E-3</v>
      </c>
      <c r="O148" s="16">
        <f>AVERAGE(ReturnData!O148:O158)</f>
        <v>2.2209090909090914E-2</v>
      </c>
      <c r="P148" s="16">
        <f>AVERAGE(ReturnData!P148:P158)</f>
        <v>1.9363636363636364E-2</v>
      </c>
      <c r="Q148" s="16">
        <f>AVERAGE(ReturnData!Q148:Q158)</f>
        <v>1.0454545454545456E-2</v>
      </c>
    </row>
    <row r="149" spans="1:17" x14ac:dyDescent="0.25">
      <c r="A149">
        <f>ReturnData!A161</f>
        <v>198704</v>
      </c>
      <c r="B149" s="16">
        <f>AVERAGE(ReturnData!B149:B159)</f>
        <v>2.3490909090909087E-2</v>
      </c>
      <c r="C149" s="16">
        <f>AVERAGE(ReturnData!C149:C159)</f>
        <v>3.0772727272727275E-2</v>
      </c>
      <c r="D149" s="16">
        <f>AVERAGE(ReturnData!D149:D159)</f>
        <v>3.1536363636363633E-2</v>
      </c>
      <c r="E149" s="16">
        <f>AVERAGE(ReturnData!E149:E159)</f>
        <v>2.2054545454545459E-2</v>
      </c>
      <c r="F149" s="16">
        <f>AVERAGE(ReturnData!F149:F159)</f>
        <v>2.3181818181818182E-2</v>
      </c>
      <c r="G149" s="16">
        <f>AVERAGE(ReturnData!G149:G159)</f>
        <v>2.8536363636363637E-2</v>
      </c>
      <c r="H149" s="16">
        <f>AVERAGE(ReturnData!H149:H159)</f>
        <v>3.214545454545454E-2</v>
      </c>
      <c r="I149" s="16">
        <f>AVERAGE(ReturnData!I149:I159)</f>
        <v>1.9436363636363637E-2</v>
      </c>
      <c r="J149" s="16">
        <f>AVERAGE(ReturnData!J149:J159)</f>
        <v>4.7636363636363623E-3</v>
      </c>
      <c r="K149" s="16">
        <f>AVERAGE(ReturnData!K149:K159)</f>
        <v>1.2209090909090912E-2</v>
      </c>
      <c r="L149" s="16">
        <f>AVERAGE(ReturnData!L149:L159)</f>
        <v>1.5281818181818185E-2</v>
      </c>
      <c r="M149" s="16">
        <f>AVERAGE(ReturnData!M149:M159)</f>
        <v>1.293636363636364E-2</v>
      </c>
      <c r="N149" s="16">
        <f>AVERAGE(ReturnData!N149:N159)</f>
        <v>4.0636363636363639E-3</v>
      </c>
      <c r="O149" s="16">
        <f>AVERAGE(ReturnData!O149:O159)</f>
        <v>1.6663636363636367E-2</v>
      </c>
      <c r="P149" s="16">
        <f>AVERAGE(ReturnData!P149:P159)</f>
        <v>2.1736363636363634E-2</v>
      </c>
      <c r="Q149" s="16">
        <f>AVERAGE(ReturnData!Q149:Q159)</f>
        <v>8.6636363636363629E-3</v>
      </c>
    </row>
    <row r="150" spans="1:17" x14ac:dyDescent="0.25">
      <c r="A150">
        <f>ReturnData!A162</f>
        <v>198705</v>
      </c>
      <c r="B150" s="16">
        <f>AVERAGE(ReturnData!B150:B160)</f>
        <v>2.5090909090909094E-2</v>
      </c>
      <c r="C150" s="16">
        <f>AVERAGE(ReturnData!C150:C160)</f>
        <v>4.9536363636363628E-2</v>
      </c>
      <c r="D150" s="16">
        <f>AVERAGE(ReturnData!D150:D160)</f>
        <v>4.195454545454546E-2</v>
      </c>
      <c r="E150" s="16">
        <f>AVERAGE(ReturnData!E150:E160)</f>
        <v>2.4645454545454547E-2</v>
      </c>
      <c r="F150" s="16">
        <f>AVERAGE(ReturnData!F150:F160)</f>
        <v>2.5918181818181819E-2</v>
      </c>
      <c r="G150" s="16">
        <f>AVERAGE(ReturnData!G150:G160)</f>
        <v>3.1536363636363633E-2</v>
      </c>
      <c r="H150" s="16">
        <f>AVERAGE(ReturnData!H150:H160)</f>
        <v>3.2245454545454542E-2</v>
      </c>
      <c r="I150" s="16">
        <f>AVERAGE(ReturnData!I150:I160)</f>
        <v>2.5636363636363634E-2</v>
      </c>
      <c r="J150" s="16">
        <f>AVERAGE(ReturnData!J150:J160)</f>
        <v>1.7427272727272725E-2</v>
      </c>
      <c r="K150" s="16">
        <f>AVERAGE(ReturnData!K150:K160)</f>
        <v>1.2563636363636365E-2</v>
      </c>
      <c r="L150" s="16">
        <f>AVERAGE(ReturnData!L150:L160)</f>
        <v>1.5400000000000002E-2</v>
      </c>
      <c r="M150" s="16">
        <f>AVERAGE(ReturnData!M150:M160)</f>
        <v>2.4536363636363637E-2</v>
      </c>
      <c r="N150" s="16">
        <f>AVERAGE(ReturnData!N150:N160)</f>
        <v>5.3909090909090903E-3</v>
      </c>
      <c r="O150" s="16">
        <f>AVERAGE(ReturnData!O150:O160)</f>
        <v>1.8754545454545461E-2</v>
      </c>
      <c r="P150" s="16">
        <f>AVERAGE(ReturnData!P150:P160)</f>
        <v>2.3763636363636362E-2</v>
      </c>
      <c r="Q150" s="16">
        <f>AVERAGE(ReturnData!Q150:Q160)</f>
        <v>1.0281818181818182E-2</v>
      </c>
    </row>
    <row r="151" spans="1:17" x14ac:dyDescent="0.25">
      <c r="A151">
        <f>ReturnData!A163</f>
        <v>198706</v>
      </c>
      <c r="B151" s="16">
        <f>AVERAGE(ReturnData!B151:B161)</f>
        <v>1.3863636363636366E-2</v>
      </c>
      <c r="C151" s="16">
        <f>AVERAGE(ReturnData!C151:C161)</f>
        <v>4.9372727272727276E-2</v>
      </c>
      <c r="D151" s="16">
        <f>AVERAGE(ReturnData!D151:D161)</f>
        <v>3.5727272727272726E-2</v>
      </c>
      <c r="E151" s="16">
        <f>AVERAGE(ReturnData!E151:E161)</f>
        <v>1.601818181818182E-2</v>
      </c>
      <c r="F151" s="16">
        <f>AVERAGE(ReturnData!F151:F161)</f>
        <v>2.12E-2</v>
      </c>
      <c r="G151" s="16">
        <f>AVERAGE(ReturnData!G151:G161)</f>
        <v>2.7281818181818185E-2</v>
      </c>
      <c r="H151" s="16">
        <f>AVERAGE(ReturnData!H151:H161)</f>
        <v>2.2081818181818182E-2</v>
      </c>
      <c r="I151" s="16">
        <f>AVERAGE(ReturnData!I151:I161)</f>
        <v>1.7181818181818184E-2</v>
      </c>
      <c r="J151" s="16">
        <f>AVERAGE(ReturnData!J151:J161)</f>
        <v>1.8836363636363637E-2</v>
      </c>
      <c r="K151" s="16">
        <f>AVERAGE(ReturnData!K151:K161)</f>
        <v>8.7272727272727276E-3</v>
      </c>
      <c r="L151" s="16">
        <f>AVERAGE(ReturnData!L151:L161)</f>
        <v>1.8227272727272727E-2</v>
      </c>
      <c r="M151" s="16">
        <f>AVERAGE(ReturnData!M151:M161)</f>
        <v>2.7463636363636367E-2</v>
      </c>
      <c r="N151" s="16">
        <f>AVERAGE(ReturnData!N151:N161)</f>
        <v>-1.1363636363636361E-3</v>
      </c>
      <c r="O151" s="16">
        <f>AVERAGE(ReturnData!O151:O161)</f>
        <v>1.1518181818181822E-2</v>
      </c>
      <c r="P151" s="16">
        <f>AVERAGE(ReturnData!P151:P161)</f>
        <v>1.1781818181818181E-2</v>
      </c>
      <c r="Q151" s="16">
        <f>AVERAGE(ReturnData!Q151:Q161)</f>
        <v>1.2363636363636353E-3</v>
      </c>
    </row>
    <row r="152" spans="1:17" x14ac:dyDescent="0.25">
      <c r="A152">
        <f>ReturnData!A164</f>
        <v>198707</v>
      </c>
      <c r="B152" s="16">
        <f>AVERAGE(ReturnData!B152:B162)</f>
        <v>1.0236363636363637E-2</v>
      </c>
      <c r="C152" s="16">
        <f>AVERAGE(ReturnData!C152:C162)</f>
        <v>4.9981818181818169E-2</v>
      </c>
      <c r="D152" s="16">
        <f>AVERAGE(ReturnData!D152:D162)</f>
        <v>3.9918181818181818E-2</v>
      </c>
      <c r="E152" s="16">
        <f>AVERAGE(ReturnData!E152:E162)</f>
        <v>1.3227272727272726E-2</v>
      </c>
      <c r="F152" s="16">
        <f>AVERAGE(ReturnData!F152:F162)</f>
        <v>2.2481818181818183E-2</v>
      </c>
      <c r="G152" s="16">
        <f>AVERAGE(ReturnData!G152:G162)</f>
        <v>2.7200000000000002E-2</v>
      </c>
      <c r="H152" s="16">
        <f>AVERAGE(ReturnData!H152:H162)</f>
        <v>1.6872727272727272E-2</v>
      </c>
      <c r="I152" s="16">
        <f>AVERAGE(ReturnData!I152:I162)</f>
        <v>1.5936363636363634E-2</v>
      </c>
      <c r="J152" s="16">
        <f>AVERAGE(ReturnData!J152:J162)</f>
        <v>2.5972727272727272E-2</v>
      </c>
      <c r="K152" s="16">
        <f>AVERAGE(ReturnData!K152:K162)</f>
        <v>1.0936363636363636E-2</v>
      </c>
      <c r="L152" s="16">
        <f>AVERAGE(ReturnData!L152:L162)</f>
        <v>2.2609090909090912E-2</v>
      </c>
      <c r="M152" s="16">
        <f>AVERAGE(ReturnData!M152:M162)</f>
        <v>2.5118181818181821E-2</v>
      </c>
      <c r="N152" s="16">
        <f>AVERAGE(ReturnData!N152:N162)</f>
        <v>2.8454545454545464E-3</v>
      </c>
      <c r="O152" s="16">
        <f>AVERAGE(ReturnData!O152:O162)</f>
        <v>5.263636363636367E-3</v>
      </c>
      <c r="P152" s="16">
        <f>AVERAGE(ReturnData!P152:P162)</f>
        <v>7.8454545454545426E-3</v>
      </c>
      <c r="Q152" s="16">
        <f>AVERAGE(ReturnData!Q152:Q162)</f>
        <v>-1.2454545454545453E-3</v>
      </c>
    </row>
    <row r="153" spans="1:17" x14ac:dyDescent="0.25">
      <c r="A153">
        <f>ReturnData!A165</f>
        <v>198708</v>
      </c>
      <c r="B153" s="16">
        <f>AVERAGE(ReturnData!B153:B163)</f>
        <v>2.0199999999999999E-2</v>
      </c>
      <c r="C153" s="16">
        <f>AVERAGE(ReturnData!C153:C163)</f>
        <v>5.0854545454545444E-2</v>
      </c>
      <c r="D153" s="16">
        <f>AVERAGE(ReturnData!D153:D163)</f>
        <v>5.0109090909090909E-2</v>
      </c>
      <c r="E153" s="16">
        <f>AVERAGE(ReturnData!E153:E163)</f>
        <v>2.6936363636363637E-2</v>
      </c>
      <c r="F153" s="16">
        <f>AVERAGE(ReturnData!F153:F163)</f>
        <v>3.4027272727272732E-2</v>
      </c>
      <c r="G153" s="16">
        <f>AVERAGE(ReturnData!G153:G163)</f>
        <v>3.8281818181818188E-2</v>
      </c>
      <c r="H153" s="16">
        <f>AVERAGE(ReturnData!H153:H163)</f>
        <v>2.5354545454545453E-2</v>
      </c>
      <c r="I153" s="16">
        <f>AVERAGE(ReturnData!I153:I163)</f>
        <v>3.0136363636363631E-2</v>
      </c>
      <c r="J153" s="16">
        <f>AVERAGE(ReturnData!J153:J163)</f>
        <v>4.4218181818181816E-2</v>
      </c>
      <c r="K153" s="16">
        <f>AVERAGE(ReturnData!K153:K163)</f>
        <v>2.1118181818181817E-2</v>
      </c>
      <c r="L153" s="16">
        <f>AVERAGE(ReturnData!L153:L163)</f>
        <v>3.0709090909090912E-2</v>
      </c>
      <c r="M153" s="16">
        <f>AVERAGE(ReturnData!M153:M163)</f>
        <v>3.5127272727272729E-2</v>
      </c>
      <c r="N153" s="16">
        <f>AVERAGE(ReturnData!N153:N163)</f>
        <v>1.5909090909090911E-2</v>
      </c>
      <c r="O153" s="16">
        <f>AVERAGE(ReturnData!O153:O163)</f>
        <v>3.672727272727275E-3</v>
      </c>
      <c r="P153" s="16">
        <f>AVERAGE(ReturnData!P153:P163)</f>
        <v>2.243636363636364E-2</v>
      </c>
      <c r="Q153" s="16">
        <f>AVERAGE(ReturnData!Q153:Q163)</f>
        <v>8.2636363636363636E-3</v>
      </c>
    </row>
    <row r="154" spans="1:17" x14ac:dyDescent="0.25">
      <c r="A154">
        <f>ReturnData!A166</f>
        <v>198709</v>
      </c>
      <c r="B154" s="16">
        <f>AVERAGE(ReturnData!B154:B164)</f>
        <v>2.1827272727272726E-2</v>
      </c>
      <c r="C154" s="16">
        <f>AVERAGE(ReturnData!C154:C164)</f>
        <v>5.2600000000000001E-2</v>
      </c>
      <c r="D154" s="16">
        <f>AVERAGE(ReturnData!D154:D164)</f>
        <v>3.7181818181818177E-2</v>
      </c>
      <c r="E154" s="16">
        <f>AVERAGE(ReturnData!E154:E164)</f>
        <v>2.9009090909090915E-2</v>
      </c>
      <c r="F154" s="16">
        <f>AVERAGE(ReturnData!F154:F164)</f>
        <v>3.4200000000000001E-2</v>
      </c>
      <c r="G154" s="16">
        <f>AVERAGE(ReturnData!G154:G164)</f>
        <v>3.8227272727272728E-2</v>
      </c>
      <c r="H154" s="16">
        <f>AVERAGE(ReturnData!H154:H164)</f>
        <v>2.7799999999999995E-2</v>
      </c>
      <c r="I154" s="16">
        <f>AVERAGE(ReturnData!I154:I164)</f>
        <v>2.8381818181818178E-2</v>
      </c>
      <c r="J154" s="16">
        <f>AVERAGE(ReturnData!J154:J164)</f>
        <v>5.2945454545454546E-2</v>
      </c>
      <c r="K154" s="16">
        <f>AVERAGE(ReturnData!K154:K164)</f>
        <v>2.2027272727272729E-2</v>
      </c>
      <c r="L154" s="16">
        <f>AVERAGE(ReturnData!L154:L164)</f>
        <v>2.6627272727272732E-2</v>
      </c>
      <c r="M154" s="16">
        <f>AVERAGE(ReturnData!M154:M164)</f>
        <v>3.4427272727272723E-2</v>
      </c>
      <c r="N154" s="16">
        <f>AVERAGE(ReturnData!N154:N164)</f>
        <v>1.6736363636363636E-2</v>
      </c>
      <c r="O154" s="16">
        <f>AVERAGE(ReturnData!O154:O164)</f>
        <v>-5.0272727272727257E-3</v>
      </c>
      <c r="P154" s="16">
        <f>AVERAGE(ReturnData!P154:P164)</f>
        <v>2.697272727272727E-2</v>
      </c>
      <c r="Q154" s="16">
        <f>AVERAGE(ReturnData!Q154:Q164)</f>
        <v>3.4363636363636376E-3</v>
      </c>
    </row>
    <row r="155" spans="1:17" x14ac:dyDescent="0.25">
      <c r="A155">
        <f>ReturnData!A167</f>
        <v>198710</v>
      </c>
      <c r="B155" s="16">
        <f>AVERAGE(ReturnData!B155:B165)</f>
        <v>3.4736363636363635E-2</v>
      </c>
      <c r="C155" s="16">
        <f>AVERAGE(ReturnData!C155:C165)</f>
        <v>4.7954545454545444E-2</v>
      </c>
      <c r="D155" s="16">
        <f>AVERAGE(ReturnData!D155:D165)</f>
        <v>4.0218181818181813E-2</v>
      </c>
      <c r="E155" s="16">
        <f>AVERAGE(ReturnData!E155:E165)</f>
        <v>3.7145454545454544E-2</v>
      </c>
      <c r="F155" s="16">
        <f>AVERAGE(ReturnData!F155:F165)</f>
        <v>4.7818181818181822E-2</v>
      </c>
      <c r="G155" s="16">
        <f>AVERAGE(ReturnData!G155:G165)</f>
        <v>4.5109090909090904E-2</v>
      </c>
      <c r="H155" s="16">
        <f>AVERAGE(ReturnData!H155:H165)</f>
        <v>4.3936363636363635E-2</v>
      </c>
      <c r="I155" s="16">
        <f>AVERAGE(ReturnData!I155:I165)</f>
        <v>3.6672727272727267E-2</v>
      </c>
      <c r="J155" s="16">
        <f>AVERAGE(ReturnData!J155:J165)</f>
        <v>4.4581818181818181E-2</v>
      </c>
      <c r="K155" s="16">
        <f>AVERAGE(ReturnData!K155:K165)</f>
        <v>2.7136363636363636E-2</v>
      </c>
      <c r="L155" s="16">
        <f>AVERAGE(ReturnData!L155:L165)</f>
        <v>3.8727272727272728E-2</v>
      </c>
      <c r="M155" s="16">
        <f>AVERAGE(ReturnData!M155:M165)</f>
        <v>4.6300000000000008E-2</v>
      </c>
      <c r="N155" s="16">
        <f>AVERAGE(ReturnData!N155:N165)</f>
        <v>1.9581818181818183E-2</v>
      </c>
      <c r="O155" s="16">
        <f>AVERAGE(ReturnData!O155:O165)</f>
        <v>6.6000000000000026E-3</v>
      </c>
      <c r="P155" s="16">
        <f>AVERAGE(ReturnData!P155:P165)</f>
        <v>3.8063636363636362E-2</v>
      </c>
      <c r="Q155" s="16">
        <f>AVERAGE(ReturnData!Q155:Q165)</f>
        <v>1.8190909090909091E-2</v>
      </c>
    </row>
    <row r="156" spans="1:17" x14ac:dyDescent="0.25">
      <c r="A156">
        <f>ReturnData!A168</f>
        <v>198711</v>
      </c>
      <c r="B156" s="16">
        <f>AVERAGE(ReturnData!B156:B166)</f>
        <v>2.3309090909090904E-2</v>
      </c>
      <c r="C156" s="16">
        <f>AVERAGE(ReturnData!C156:C166)</f>
        <v>5.1809090909090909E-2</v>
      </c>
      <c r="D156" s="16">
        <f>AVERAGE(ReturnData!D156:D166)</f>
        <v>3.5145454545454542E-2</v>
      </c>
      <c r="E156" s="16">
        <f>AVERAGE(ReturnData!E156:E166)</f>
        <v>2.4518181818181824E-2</v>
      </c>
      <c r="F156" s="16">
        <f>AVERAGE(ReturnData!F156:F166)</f>
        <v>4.023636363636364E-2</v>
      </c>
      <c r="G156" s="16">
        <f>AVERAGE(ReturnData!G156:G166)</f>
        <v>3.729090909090909E-2</v>
      </c>
      <c r="H156" s="16">
        <f>AVERAGE(ReturnData!H156:H166)</f>
        <v>3.4254545454545454E-2</v>
      </c>
      <c r="I156" s="16">
        <f>AVERAGE(ReturnData!I156:I166)</f>
        <v>2.8945454545454542E-2</v>
      </c>
      <c r="J156" s="16">
        <f>AVERAGE(ReturnData!J156:J166)</f>
        <v>4.4872727272727272E-2</v>
      </c>
      <c r="K156" s="16">
        <f>AVERAGE(ReturnData!K156:K166)</f>
        <v>2.2718181818181818E-2</v>
      </c>
      <c r="L156" s="16">
        <f>AVERAGE(ReturnData!L156:L166)</f>
        <v>3.6490909090909095E-2</v>
      </c>
      <c r="M156" s="16">
        <f>AVERAGE(ReturnData!M156:M166)</f>
        <v>3.3390909090909089E-2</v>
      </c>
      <c r="N156" s="16">
        <f>AVERAGE(ReturnData!N156:N166)</f>
        <v>1.430909090909091E-2</v>
      </c>
      <c r="O156" s="16">
        <f>AVERAGE(ReturnData!O156:O166)</f>
        <v>-2.7272727272727014E-4</v>
      </c>
      <c r="P156" s="16">
        <f>AVERAGE(ReturnData!P156:P166)</f>
        <v>2.4581818181818184E-2</v>
      </c>
      <c r="Q156" s="16">
        <f>AVERAGE(ReturnData!Q156:Q166)</f>
        <v>1.2927272727272726E-2</v>
      </c>
    </row>
    <row r="157" spans="1:17" x14ac:dyDescent="0.25">
      <c r="A157">
        <f>ReturnData!A169</f>
        <v>198712</v>
      </c>
      <c r="B157" s="16">
        <f>AVERAGE(ReturnData!B157:B167)</f>
        <v>6.4272727272727259E-3</v>
      </c>
      <c r="C157" s="16">
        <f>AVERAGE(ReturnData!C157:C167)</f>
        <v>2.1299999999999999E-2</v>
      </c>
      <c r="D157" s="16">
        <f>AVERAGE(ReturnData!D157:D167)</f>
        <v>1.5309090909090911E-2</v>
      </c>
      <c r="E157" s="16">
        <f>AVERAGE(ReturnData!E157:E167)</f>
        <v>-6.9363636363636398E-3</v>
      </c>
      <c r="F157" s="16">
        <f>AVERAGE(ReturnData!F157:F167)</f>
        <v>1.0654545454545451E-2</v>
      </c>
      <c r="G157" s="16">
        <f>AVERAGE(ReturnData!G157:G167)</f>
        <v>8.2545454545454484E-3</v>
      </c>
      <c r="H157" s="16">
        <f>AVERAGE(ReturnData!H157:H167)</f>
        <v>1.4818181818181821E-2</v>
      </c>
      <c r="I157" s="16">
        <f>AVERAGE(ReturnData!I157:I167)</f>
        <v>0</v>
      </c>
      <c r="J157" s="16">
        <f>AVERAGE(ReturnData!J157:J167)</f>
        <v>2.3790909090909099E-2</v>
      </c>
      <c r="K157" s="16">
        <f>AVERAGE(ReturnData!K157:K167)</f>
        <v>-4.3818181818181838E-3</v>
      </c>
      <c r="L157" s="16">
        <f>AVERAGE(ReturnData!L157:L167)</f>
        <v>8.409090909090906E-3</v>
      </c>
      <c r="M157" s="16">
        <f>AVERAGE(ReturnData!M157:M167)</f>
        <v>6.1909090909090907E-3</v>
      </c>
      <c r="N157" s="16">
        <f>AVERAGE(ReturnData!N157:N167)</f>
        <v>-1.3127272727272725E-2</v>
      </c>
      <c r="O157" s="16">
        <f>AVERAGE(ReturnData!O157:O167)</f>
        <v>-7.0636363636363613E-3</v>
      </c>
      <c r="P157" s="16">
        <f>AVERAGE(ReturnData!P157:P167)</f>
        <v>-2.5727272727272721E-3</v>
      </c>
      <c r="Q157" s="16">
        <f>AVERAGE(ReturnData!Q157:Q167)</f>
        <v>-5.6272727272727282E-3</v>
      </c>
    </row>
    <row r="158" spans="1:17" x14ac:dyDescent="0.25">
      <c r="A158">
        <f>ReturnData!A170</f>
        <v>198801</v>
      </c>
      <c r="B158" s="16">
        <f>AVERAGE(ReturnData!B158:B168)</f>
        <v>1.8363636363636323E-3</v>
      </c>
      <c r="C158" s="16">
        <f>AVERAGE(ReturnData!C158:C168)</f>
        <v>2.8881818181818186E-2</v>
      </c>
      <c r="D158" s="16">
        <f>AVERAGE(ReturnData!D158:D168)</f>
        <v>5.972727272727271E-3</v>
      </c>
      <c r="E158" s="16">
        <f>AVERAGE(ReturnData!E158:E168)</f>
        <v>-1.2390909090909093E-2</v>
      </c>
      <c r="F158" s="16">
        <f>AVERAGE(ReturnData!F158:F168)</f>
        <v>4.5454545454545243E-4</v>
      </c>
      <c r="G158" s="16">
        <f>AVERAGE(ReturnData!G158:G168)</f>
        <v>6.8272727272727296E-3</v>
      </c>
      <c r="H158" s="16">
        <f>AVERAGE(ReturnData!H158:H168)</f>
        <v>6.3818181818181769E-3</v>
      </c>
      <c r="I158" s="16">
        <f>AVERAGE(ReturnData!I158:I168)</f>
        <v>-1.781818181818188E-3</v>
      </c>
      <c r="J158" s="16">
        <f>AVERAGE(ReturnData!J158:J168)</f>
        <v>2.8327272727272736E-2</v>
      </c>
      <c r="K158" s="16">
        <f>AVERAGE(ReturnData!K158:K168)</f>
        <v>-5.4454545454545459E-3</v>
      </c>
      <c r="L158" s="16">
        <f>AVERAGE(ReturnData!L158:L168)</f>
        <v>3.8090909090909074E-3</v>
      </c>
      <c r="M158" s="16">
        <f>AVERAGE(ReturnData!M158:M168)</f>
        <v>4.7272727272727275E-3</v>
      </c>
      <c r="N158" s="16">
        <f>AVERAGE(ReturnData!N158:N168)</f>
        <v>-1.6236363636363636E-2</v>
      </c>
      <c r="O158" s="16">
        <f>AVERAGE(ReturnData!O158:O168)</f>
        <v>-6.3545454545454521E-3</v>
      </c>
      <c r="P158" s="16">
        <f>AVERAGE(ReturnData!P158:P168)</f>
        <v>-4.7545454545454592E-3</v>
      </c>
      <c r="Q158" s="16">
        <f>AVERAGE(ReturnData!Q158:Q168)</f>
        <v>-9.9727272727272737E-3</v>
      </c>
    </row>
    <row r="159" spans="1:17" x14ac:dyDescent="0.25">
      <c r="A159">
        <f>ReturnData!A171</f>
        <v>198802</v>
      </c>
      <c r="B159" s="16">
        <f>AVERAGE(ReturnData!B159:B169)</f>
        <v>-3.4636363636363645E-3</v>
      </c>
      <c r="C159" s="16">
        <f>AVERAGE(ReturnData!C159:C169)</f>
        <v>2.173636363636364E-2</v>
      </c>
      <c r="D159" s="16">
        <f>AVERAGE(ReturnData!D159:D169)</f>
        <v>-1.8090909090909104E-3</v>
      </c>
      <c r="E159" s="16">
        <f>AVERAGE(ReturnData!E159:E169)</f>
        <v>-1.3754545454545453E-2</v>
      </c>
      <c r="F159" s="16">
        <f>AVERAGE(ReturnData!F159:F169)</f>
        <v>-5.6090909090909099E-3</v>
      </c>
      <c r="G159" s="16">
        <f>AVERAGE(ReturnData!G159:G169)</f>
        <v>6.6181818181818156E-3</v>
      </c>
      <c r="H159" s="16">
        <f>AVERAGE(ReturnData!H159:H169)</f>
        <v>-1.8727272727272696E-3</v>
      </c>
      <c r="I159" s="16">
        <f>AVERAGE(ReturnData!I159:I169)</f>
        <v>-9.5000000000000015E-3</v>
      </c>
      <c r="J159" s="16">
        <f>AVERAGE(ReturnData!J159:J169)</f>
        <v>2.6036363636363635E-2</v>
      </c>
      <c r="K159" s="16">
        <f>AVERAGE(ReturnData!K159:K169)</f>
        <v>-9.2000000000000016E-3</v>
      </c>
      <c r="L159" s="16">
        <f>AVERAGE(ReturnData!L159:L169)</f>
        <v>1.1818181818181273E-4</v>
      </c>
      <c r="M159" s="16">
        <f>AVERAGE(ReturnData!M159:M169)</f>
        <v>-5.4454545454545459E-3</v>
      </c>
      <c r="N159" s="16">
        <f>AVERAGE(ReturnData!N159:N169)</f>
        <v>-1.5299999999999996E-2</v>
      </c>
      <c r="O159" s="16">
        <f>AVERAGE(ReturnData!O159:O169)</f>
        <v>-1.4309090909090908E-2</v>
      </c>
      <c r="P159" s="16">
        <f>AVERAGE(ReturnData!P159:P169)</f>
        <v>-7.4272727272727303E-3</v>
      </c>
      <c r="Q159" s="16">
        <f>AVERAGE(ReturnData!Q159:Q169)</f>
        <v>-1.6163636363636359E-2</v>
      </c>
    </row>
    <row r="160" spans="1:17" x14ac:dyDescent="0.25">
      <c r="A160">
        <f>ReturnData!A172</f>
        <v>198803</v>
      </c>
      <c r="B160" s="16">
        <f>AVERAGE(ReturnData!B160:B170)</f>
        <v>-4.7363636363636384E-3</v>
      </c>
      <c r="C160" s="16">
        <f>AVERAGE(ReturnData!C160:C170)</f>
        <v>3.3636363636363655E-3</v>
      </c>
      <c r="D160" s="16">
        <f>AVERAGE(ReturnData!D160:D170)</f>
        <v>7.6818181818181846E-3</v>
      </c>
      <c r="E160" s="16">
        <f>AVERAGE(ReturnData!E160:E170)</f>
        <v>-1.8190909090909087E-2</v>
      </c>
      <c r="F160" s="16">
        <f>AVERAGE(ReturnData!F160:F170)</f>
        <v>-1.0318181818181822E-2</v>
      </c>
      <c r="G160" s="16">
        <f>AVERAGE(ReturnData!G160:G170)</f>
        <v>-7.0909090909091203E-4</v>
      </c>
      <c r="H160" s="16">
        <f>AVERAGE(ReturnData!H160:H170)</f>
        <v>-3.7636363636363635E-3</v>
      </c>
      <c r="I160" s="16">
        <f>AVERAGE(ReturnData!I160:I170)</f>
        <v>-9.5545454545454562E-3</v>
      </c>
      <c r="J160" s="16">
        <f>AVERAGE(ReturnData!J160:J170)</f>
        <v>1.6290909090909092E-2</v>
      </c>
      <c r="K160" s="16">
        <f>AVERAGE(ReturnData!K160:K170)</f>
        <v>-1.1354545454545456E-2</v>
      </c>
      <c r="L160" s="16">
        <f>AVERAGE(ReturnData!L160:L170)</f>
        <v>-9.6727272727272738E-3</v>
      </c>
      <c r="M160" s="16">
        <f>AVERAGE(ReturnData!M160:M170)</f>
        <v>-6.3636363636363944E-4</v>
      </c>
      <c r="N160" s="16">
        <f>AVERAGE(ReturnData!N160:N170)</f>
        <v>-1.3354545454545452E-2</v>
      </c>
      <c r="O160" s="16">
        <f>AVERAGE(ReturnData!O160:O170)</f>
        <v>-3.4818181818181805E-3</v>
      </c>
      <c r="P160" s="16">
        <f>AVERAGE(ReturnData!P160:P170)</f>
        <v>-1.186363636363637E-2</v>
      </c>
      <c r="Q160" s="16">
        <f>AVERAGE(ReturnData!Q160:Q170)</f>
        <v>-1.1581818181818183E-2</v>
      </c>
    </row>
    <row r="161" spans="1:17" x14ac:dyDescent="0.25">
      <c r="A161">
        <f>ReturnData!A173</f>
        <v>198804</v>
      </c>
      <c r="B161" s="16">
        <f>AVERAGE(ReturnData!B161:B171)</f>
        <v>-2.5727272727272721E-3</v>
      </c>
      <c r="C161" s="16">
        <f>AVERAGE(ReturnData!C161:C171)</f>
        <v>-3.7272727272727253E-3</v>
      </c>
      <c r="D161" s="16">
        <f>AVERAGE(ReturnData!D161:D171)</f>
        <v>-5.6363636363636468E-4</v>
      </c>
      <c r="E161" s="16">
        <f>AVERAGE(ReturnData!E161:E171)</f>
        <v>-6.4363636363636342E-3</v>
      </c>
      <c r="F161" s="16">
        <f>AVERAGE(ReturnData!F161:F171)</f>
        <v>-7.7818181818181849E-3</v>
      </c>
      <c r="G161" s="16">
        <f>AVERAGE(ReturnData!G161:G171)</f>
        <v>1.9272727272727269E-3</v>
      </c>
      <c r="H161" s="16">
        <f>AVERAGE(ReturnData!H161:H171)</f>
        <v>-6.7272727272727178E-4</v>
      </c>
      <c r="I161" s="16">
        <f>AVERAGE(ReturnData!I161:I171)</f>
        <v>-3.5181818181818166E-3</v>
      </c>
      <c r="J161" s="16">
        <f>AVERAGE(ReturnData!J161:J171)</f>
        <v>1.7327272727272722E-2</v>
      </c>
      <c r="K161" s="16">
        <f>AVERAGE(ReturnData!K161:K171)</f>
        <v>-2.8818181818181837E-3</v>
      </c>
      <c r="L161" s="16">
        <f>AVERAGE(ReturnData!L161:L171)</f>
        <v>-4.9636363636363636E-3</v>
      </c>
      <c r="M161" s="16">
        <f>AVERAGE(ReturnData!M161:M171)</f>
        <v>7.5454545454545089E-4</v>
      </c>
      <c r="N161" s="16">
        <f>AVERAGE(ReturnData!N161:N171)</f>
        <v>-5.618181818181819E-3</v>
      </c>
      <c r="O161" s="16">
        <f>AVERAGE(ReturnData!O161:O171)</f>
        <v>-3.2545454545454527E-3</v>
      </c>
      <c r="P161" s="16">
        <f>AVERAGE(ReturnData!P161:P171)</f>
        <v>-4.1363636363636403E-3</v>
      </c>
      <c r="Q161" s="16">
        <f>AVERAGE(ReturnData!Q161:Q171)</f>
        <v>-7.4636363636363633E-3</v>
      </c>
    </row>
    <row r="162" spans="1:17" x14ac:dyDescent="0.25">
      <c r="A162">
        <f>ReturnData!A174</f>
        <v>198805</v>
      </c>
      <c r="B162" s="16">
        <f>AVERAGE(ReturnData!B162:B172)</f>
        <v>1.2727272727272728E-3</v>
      </c>
      <c r="C162" s="16">
        <f>AVERAGE(ReturnData!C162:C172)</f>
        <v>1.4818181818181864E-3</v>
      </c>
      <c r="D162" s="16">
        <f>AVERAGE(ReturnData!D162:D172)</f>
        <v>7.8181818181818213E-4</v>
      </c>
      <c r="E162" s="16">
        <f>AVERAGE(ReturnData!E162:E172)</f>
        <v>-2.8272727272727247E-3</v>
      </c>
      <c r="F162" s="16">
        <f>AVERAGE(ReturnData!F162:F172)</f>
        <v>-1.1954545454545457E-2</v>
      </c>
      <c r="G162" s="16">
        <f>AVERAGE(ReturnData!G162:G172)</f>
        <v>-8.9090909090909054E-4</v>
      </c>
      <c r="H162" s="16">
        <f>AVERAGE(ReturnData!H162:H172)</f>
        <v>-1.836363636363634E-3</v>
      </c>
      <c r="I162" s="16">
        <f>AVERAGE(ReturnData!I162:I172)</f>
        <v>1.1545454545454554E-3</v>
      </c>
      <c r="J162" s="16">
        <f>AVERAGE(ReturnData!J162:J172)</f>
        <v>1.1209090909090908E-2</v>
      </c>
      <c r="K162" s="16">
        <f>AVERAGE(ReturnData!K162:K172)</f>
        <v>-1.3454545454545518E-3</v>
      </c>
      <c r="L162" s="16">
        <f>AVERAGE(ReturnData!L162:L172)</f>
        <v>-1.1945454545454547E-2</v>
      </c>
      <c r="M162" s="16">
        <f>AVERAGE(ReturnData!M162:M172)</f>
        <v>-7.127272727272726E-3</v>
      </c>
      <c r="N162" s="16">
        <f>AVERAGE(ReturnData!N162:N172)</f>
        <v>1.0000000000000037E-3</v>
      </c>
      <c r="O162" s="16">
        <f>AVERAGE(ReturnData!O162:O172)</f>
        <v>-2.2090909090909079E-3</v>
      </c>
      <c r="P162" s="16">
        <f>AVERAGE(ReturnData!P162:P172)</f>
        <v>-3.7909090909090974E-3</v>
      </c>
      <c r="Q162" s="16">
        <f>AVERAGE(ReturnData!Q162:Q172)</f>
        <v>-5.4454545454545459E-3</v>
      </c>
    </row>
    <row r="163" spans="1:17" x14ac:dyDescent="0.25">
      <c r="A163">
        <f>ReturnData!A175</f>
        <v>198806</v>
      </c>
      <c r="B163" s="16">
        <f>AVERAGE(ReturnData!B163:B173)</f>
        <v>-5.9090909090909029E-4</v>
      </c>
      <c r="C163" s="16">
        <f>AVERAGE(ReturnData!C163:C173)</f>
        <v>5.6909090909090928E-3</v>
      </c>
      <c r="D163" s="16">
        <f>AVERAGE(ReturnData!D163:D173)</f>
        <v>2.4181818181818176E-3</v>
      </c>
      <c r="E163" s="16">
        <f>AVERAGE(ReturnData!E163:E173)</f>
        <v>-4.3636363636363595E-3</v>
      </c>
      <c r="F163" s="16">
        <f>AVERAGE(ReturnData!F163:F173)</f>
        <v>-1.172727272727273E-2</v>
      </c>
      <c r="G163" s="16">
        <f>AVERAGE(ReturnData!G163:G173)</f>
        <v>2.1818181818181748E-4</v>
      </c>
      <c r="H163" s="16">
        <f>AVERAGE(ReturnData!H163:H173)</f>
        <v>-4.5090909090909062E-3</v>
      </c>
      <c r="I163" s="16">
        <f>AVERAGE(ReturnData!I163:I173)</f>
        <v>4.9545454545454571E-3</v>
      </c>
      <c r="J163" s="16">
        <f>AVERAGE(ReturnData!J163:J173)</f>
        <v>1.24E-2</v>
      </c>
      <c r="K163" s="16">
        <f>AVERAGE(ReturnData!K163:K173)</f>
        <v>-1.7090909090909114E-3</v>
      </c>
      <c r="L163" s="16">
        <f>AVERAGE(ReturnData!L163:L173)</f>
        <v>-9.5636363636363662E-3</v>
      </c>
      <c r="M163" s="16">
        <f>AVERAGE(ReturnData!M163:M173)</f>
        <v>-9.5454545454545477E-4</v>
      </c>
      <c r="N163" s="16">
        <f>AVERAGE(ReturnData!N163:N173)</f>
        <v>-3.0181818181818174E-3</v>
      </c>
      <c r="O163" s="16">
        <f>AVERAGE(ReturnData!O163:O173)</f>
        <v>-7.999999999999996E-4</v>
      </c>
      <c r="P163" s="16">
        <f>AVERAGE(ReturnData!P163:P173)</f>
        <v>-2.2636363636363683E-3</v>
      </c>
      <c r="Q163" s="16">
        <f>AVERAGE(ReturnData!Q163:Q173)</f>
        <v>-5.2818181818181818E-3</v>
      </c>
    </row>
    <row r="164" spans="1:17" x14ac:dyDescent="0.25">
      <c r="A164">
        <f>ReturnData!A176</f>
        <v>198807</v>
      </c>
      <c r="B164" s="16">
        <f>AVERAGE(ReturnData!B164:B174)</f>
        <v>-6.2545454545454571E-3</v>
      </c>
      <c r="C164" s="16">
        <f>AVERAGE(ReturnData!C164:C174)</f>
        <v>7.409090909090912E-3</v>
      </c>
      <c r="D164" s="16">
        <f>AVERAGE(ReturnData!D164:D174)</f>
        <v>-3.4363636363636397E-3</v>
      </c>
      <c r="E164" s="16">
        <f>AVERAGE(ReturnData!E164:E174)</f>
        <v>-1.14E-2</v>
      </c>
      <c r="F164" s="16">
        <f>AVERAGE(ReturnData!F164:F174)</f>
        <v>-1.3781818181818185E-2</v>
      </c>
      <c r="G164" s="16">
        <f>AVERAGE(ReturnData!G164:G174)</f>
        <v>-6.1727272727272742E-3</v>
      </c>
      <c r="H164" s="16">
        <f>AVERAGE(ReturnData!H164:H174)</f>
        <v>-9.5999999999999992E-3</v>
      </c>
      <c r="I164" s="16">
        <f>AVERAGE(ReturnData!I164:I174)</f>
        <v>-1.9363636363636341E-3</v>
      </c>
      <c r="J164" s="16">
        <f>AVERAGE(ReturnData!J164:J174)</f>
        <v>8.5818181818181783E-3</v>
      </c>
      <c r="K164" s="16">
        <f>AVERAGE(ReturnData!K164:K174)</f>
        <v>-5.1909090909090941E-3</v>
      </c>
      <c r="L164" s="16">
        <f>AVERAGE(ReturnData!L164:L174)</f>
        <v>-1.1409090909090909E-2</v>
      </c>
      <c r="M164" s="16">
        <f>AVERAGE(ReturnData!M164:M174)</f>
        <v>-2.0363636363636343E-3</v>
      </c>
      <c r="N164" s="16">
        <f>AVERAGE(ReturnData!N164:N174)</f>
        <v>-7.9000000000000025E-3</v>
      </c>
      <c r="O164" s="16">
        <f>AVERAGE(ReturnData!O164:O174)</f>
        <v>-6.3636363636363565E-4</v>
      </c>
      <c r="P164" s="16">
        <f>AVERAGE(ReturnData!P164:P174)</f>
        <v>-9.436363636363642E-3</v>
      </c>
      <c r="Q164" s="16">
        <f>AVERAGE(ReturnData!Q164:Q174)</f>
        <v>-7.9909090909090902E-3</v>
      </c>
    </row>
    <row r="165" spans="1:17" x14ac:dyDescent="0.25">
      <c r="A165">
        <f>ReturnData!A177</f>
        <v>198808</v>
      </c>
      <c r="B165" s="16">
        <f>AVERAGE(ReturnData!B165:B175)</f>
        <v>-7.5181818181818188E-3</v>
      </c>
      <c r="C165" s="16">
        <f>AVERAGE(ReturnData!C165:C175)</f>
        <v>-6.063636363636357E-3</v>
      </c>
      <c r="D165" s="16">
        <f>AVERAGE(ReturnData!D165:D175)</f>
        <v>-7.5272727272727236E-3</v>
      </c>
      <c r="E165" s="16">
        <f>AVERAGE(ReturnData!E165:E175)</f>
        <v>-9.6636363636363604E-3</v>
      </c>
      <c r="F165" s="16">
        <f>AVERAGE(ReturnData!F165:F175)</f>
        <v>-1.3327272727272733E-2</v>
      </c>
      <c r="G165" s="16">
        <f>AVERAGE(ReturnData!G165:G175)</f>
        <v>-2.7454545454545457E-3</v>
      </c>
      <c r="H165" s="16">
        <f>AVERAGE(ReturnData!H165:H175)</f>
        <v>-1.3227272727272725E-2</v>
      </c>
      <c r="I165" s="16">
        <f>AVERAGE(ReturnData!I165:I175)</f>
        <v>1.1272727272727294E-3</v>
      </c>
      <c r="J165" s="16">
        <f>AVERAGE(ReturnData!J165:J175)</f>
        <v>-3.1909090909090889E-3</v>
      </c>
      <c r="K165" s="16">
        <f>AVERAGE(ReturnData!K165:K175)</f>
        <v>-5.4545454545454558E-3</v>
      </c>
      <c r="L165" s="16">
        <f>AVERAGE(ReturnData!L165:L175)</f>
        <v>-6.1363636363636351E-3</v>
      </c>
      <c r="M165" s="16">
        <f>AVERAGE(ReturnData!M165:M175)</f>
        <v>2.0909090909090877E-4</v>
      </c>
      <c r="N165" s="16">
        <f>AVERAGE(ReturnData!N165:N175)</f>
        <v>-6.3727272727272669E-3</v>
      </c>
      <c r="O165" s="16">
        <f>AVERAGE(ReturnData!O165:O175)</f>
        <v>3.8090909090909104E-3</v>
      </c>
      <c r="P165" s="16">
        <f>AVERAGE(ReturnData!P165:P175)</f>
        <v>-9.2727272727272797E-3</v>
      </c>
      <c r="Q165" s="16">
        <f>AVERAGE(ReturnData!Q165:Q175)</f>
        <v>-4.6090909090909056E-3</v>
      </c>
    </row>
    <row r="166" spans="1:17" x14ac:dyDescent="0.25">
      <c r="A166">
        <f>ReturnData!A178</f>
        <v>198809</v>
      </c>
      <c r="B166" s="16">
        <f>AVERAGE(ReturnData!B166:B176)</f>
        <v>-9.099999999999997E-3</v>
      </c>
      <c r="C166" s="16">
        <f>AVERAGE(ReturnData!C166:C176)</f>
        <v>-4.7181818181818141E-3</v>
      </c>
      <c r="D166" s="16">
        <f>AVERAGE(ReturnData!D166:D176)</f>
        <v>-6.4090909090909094E-3</v>
      </c>
      <c r="E166" s="16">
        <f>AVERAGE(ReturnData!E166:E176)</f>
        <v>-9.3363636363636322E-3</v>
      </c>
      <c r="F166" s="16">
        <f>AVERAGE(ReturnData!F166:F176)</f>
        <v>-1.8800000000000008E-2</v>
      </c>
      <c r="G166" s="16">
        <f>AVERAGE(ReturnData!G166:G176)</f>
        <v>-8.8636363636363635E-3</v>
      </c>
      <c r="H166" s="16">
        <f>AVERAGE(ReturnData!H166:H176)</f>
        <v>-1.6081818181818183E-2</v>
      </c>
      <c r="I166" s="16">
        <f>AVERAGE(ReturnData!I166:I176)</f>
        <v>-3.2999999999999969E-3</v>
      </c>
      <c r="J166" s="16">
        <f>AVERAGE(ReturnData!J166:J176)</f>
        <v>2.1363636363636359E-3</v>
      </c>
      <c r="K166" s="16">
        <f>AVERAGE(ReturnData!K166:K176)</f>
        <v>-8.2363636363636372E-3</v>
      </c>
      <c r="L166" s="16">
        <f>AVERAGE(ReturnData!L166:L176)</f>
        <v>-1.609090909090909E-2</v>
      </c>
      <c r="M166" s="16">
        <f>AVERAGE(ReturnData!M166:M176)</f>
        <v>-5.1545454545454525E-3</v>
      </c>
      <c r="N166" s="16">
        <f>AVERAGE(ReturnData!N166:N176)</f>
        <v>-8.190909090909089E-3</v>
      </c>
      <c r="O166" s="16">
        <f>AVERAGE(ReturnData!O166:O176)</f>
        <v>2.4545454545454621E-4</v>
      </c>
      <c r="P166" s="16">
        <f>AVERAGE(ReturnData!P166:P176)</f>
        <v>-1.2954545454545467E-2</v>
      </c>
      <c r="Q166" s="16">
        <f>AVERAGE(ReturnData!Q166:Q176)</f>
        <v>-9.7545454545454532E-3</v>
      </c>
    </row>
    <row r="167" spans="1:17" x14ac:dyDescent="0.25">
      <c r="A167">
        <f>ReturnData!A179</f>
        <v>198810</v>
      </c>
      <c r="B167" s="16">
        <f>AVERAGE(ReturnData!B167:B177)</f>
        <v>-5.8727272727272743E-3</v>
      </c>
      <c r="C167" s="16">
        <f>AVERAGE(ReturnData!C167:C177)</f>
        <v>-1.2445454545454539E-2</v>
      </c>
      <c r="D167" s="16">
        <f>AVERAGE(ReturnData!D167:D177)</f>
        <v>-4.3000000000000017E-3</v>
      </c>
      <c r="E167" s="16">
        <f>AVERAGE(ReturnData!E167:E177)</f>
        <v>-2.2363636363636349E-3</v>
      </c>
      <c r="F167" s="16">
        <f>AVERAGE(ReturnData!F167:F177)</f>
        <v>-2.1972727272727279E-2</v>
      </c>
      <c r="G167" s="16">
        <f>AVERAGE(ReturnData!G167:G177)</f>
        <v>-1.2227272727272727E-2</v>
      </c>
      <c r="H167" s="16">
        <f>AVERAGE(ReturnData!H167:H177)</f>
        <v>-1.5436363636363637E-2</v>
      </c>
      <c r="I167" s="16">
        <f>AVERAGE(ReturnData!I167:I177)</f>
        <v>-4.9181818181818181E-3</v>
      </c>
      <c r="J167" s="16">
        <f>AVERAGE(ReturnData!J167:J177)</f>
        <v>-6.1181818181818177E-3</v>
      </c>
      <c r="K167" s="16">
        <f>AVERAGE(ReturnData!K167:K177)</f>
        <v>-7.909090909090909E-3</v>
      </c>
      <c r="L167" s="16">
        <f>AVERAGE(ReturnData!L167:L177)</f>
        <v>-2.0999999999999998E-2</v>
      </c>
      <c r="M167" s="16">
        <f>AVERAGE(ReturnData!M167:M177)</f>
        <v>-4.3545454545454556E-3</v>
      </c>
      <c r="N167" s="16">
        <f>AVERAGE(ReturnData!N167:N177)</f>
        <v>-9.2727272727272676E-3</v>
      </c>
      <c r="O167" s="16">
        <f>AVERAGE(ReturnData!O167:O177)</f>
        <v>2.2363636363636366E-3</v>
      </c>
      <c r="P167" s="16">
        <f>AVERAGE(ReturnData!P167:P177)</f>
        <v>-8.990909090909098E-3</v>
      </c>
      <c r="Q167" s="16">
        <f>AVERAGE(ReturnData!Q167:Q177)</f>
        <v>-7.6454545454545438E-3</v>
      </c>
    </row>
    <row r="168" spans="1:17" x14ac:dyDescent="0.25">
      <c r="A168">
        <f>ReturnData!A180</f>
        <v>198811</v>
      </c>
      <c r="B168" s="16">
        <f>AVERAGE(ReturnData!B168:B178)</f>
        <v>1.6581818181818184E-2</v>
      </c>
      <c r="C168" s="16">
        <f>AVERAGE(ReturnData!C168:C178)</f>
        <v>1.4518181818181817E-2</v>
      </c>
      <c r="D168" s="16">
        <f>AVERAGE(ReturnData!D168:D178)</f>
        <v>1.0218181818181821E-2</v>
      </c>
      <c r="E168" s="16">
        <f>AVERAGE(ReturnData!E168:E178)</f>
        <v>2.7427272727272731E-2</v>
      </c>
      <c r="F168" s="16">
        <f>AVERAGE(ReturnData!F168:F178)</f>
        <v>4.7818181818181805E-3</v>
      </c>
      <c r="G168" s="16">
        <f>AVERAGE(ReturnData!G168:G178)</f>
        <v>1.5054545454545454E-2</v>
      </c>
      <c r="H168" s="16">
        <f>AVERAGE(ReturnData!H168:H178)</f>
        <v>6.3454545454545465E-3</v>
      </c>
      <c r="I168" s="16">
        <f>AVERAGE(ReturnData!I168:I178)</f>
        <v>2.2045454545454549E-2</v>
      </c>
      <c r="J168" s="16">
        <f>AVERAGE(ReturnData!J168:J178)</f>
        <v>2.2409090909090906E-2</v>
      </c>
      <c r="K168" s="16">
        <f>AVERAGE(ReturnData!K168:K178)</f>
        <v>2.1936363636363639E-2</v>
      </c>
      <c r="L168" s="16">
        <f>AVERAGE(ReturnData!L168:L178)</f>
        <v>6.5454545454545479E-3</v>
      </c>
      <c r="M168" s="16">
        <f>AVERAGE(ReturnData!M168:M178)</f>
        <v>2.400909090909091E-2</v>
      </c>
      <c r="N168" s="16">
        <f>AVERAGE(ReturnData!N168:N178)</f>
        <v>2.2990909090909093E-2</v>
      </c>
      <c r="O168" s="16">
        <f>AVERAGE(ReturnData!O168:O178)</f>
        <v>1.0954545454545455E-2</v>
      </c>
      <c r="P168" s="16">
        <f>AVERAGE(ReturnData!P168:P178)</f>
        <v>2.4918181818181815E-2</v>
      </c>
      <c r="Q168" s="16">
        <f>AVERAGE(ReturnData!Q168:Q178)</f>
        <v>1.5272727272727271E-2</v>
      </c>
    </row>
    <row r="169" spans="1:17" x14ac:dyDescent="0.25">
      <c r="A169">
        <f>ReturnData!A181</f>
        <v>198812</v>
      </c>
      <c r="B169" s="16">
        <f>AVERAGE(ReturnData!B169:B179)</f>
        <v>3.490909090909091E-2</v>
      </c>
      <c r="C169" s="16">
        <f>AVERAGE(ReturnData!C169:C179)</f>
        <v>9.0999999999999987E-3</v>
      </c>
      <c r="D169" s="16">
        <f>AVERAGE(ReturnData!D169:D179)</f>
        <v>2.1854545454545456E-2</v>
      </c>
      <c r="E169" s="16">
        <f>AVERAGE(ReturnData!E169:E179)</f>
        <v>3.8063636363636362E-2</v>
      </c>
      <c r="F169" s="16">
        <f>AVERAGE(ReturnData!F169:F179)</f>
        <v>1.6972727272727275E-2</v>
      </c>
      <c r="G169" s="16">
        <f>AVERAGE(ReturnData!G169:G179)</f>
        <v>2.1009090909090911E-2</v>
      </c>
      <c r="H169" s="16">
        <f>AVERAGE(ReturnData!H169:H179)</f>
        <v>1.6236363636363636E-2</v>
      </c>
      <c r="I169" s="16">
        <f>AVERAGE(ReturnData!I169:I179)</f>
        <v>2.642727272727273E-2</v>
      </c>
      <c r="J169" s="16">
        <f>AVERAGE(ReturnData!J169:J179)</f>
        <v>2.3990909090909094E-2</v>
      </c>
      <c r="K169" s="16">
        <f>AVERAGE(ReturnData!K169:K179)</f>
        <v>2.7781818181818182E-2</v>
      </c>
      <c r="L169" s="16">
        <f>AVERAGE(ReturnData!L169:L179)</f>
        <v>1.4163636363636363E-2</v>
      </c>
      <c r="M169" s="16">
        <f>AVERAGE(ReturnData!M169:M179)</f>
        <v>3.4609090909090916E-2</v>
      </c>
      <c r="N169" s="16">
        <f>AVERAGE(ReturnData!N169:N179)</f>
        <v>3.1745454545454549E-2</v>
      </c>
      <c r="O169" s="16">
        <f>AVERAGE(ReturnData!O169:O179)</f>
        <v>1.5527272727272725E-2</v>
      </c>
      <c r="P169" s="16">
        <f>AVERAGE(ReturnData!P169:P179)</f>
        <v>3.5136363636363632E-2</v>
      </c>
      <c r="Q169" s="16">
        <f>AVERAGE(ReturnData!Q169:Q179)</f>
        <v>2.1572727272727271E-2</v>
      </c>
    </row>
    <row r="170" spans="1:17" x14ac:dyDescent="0.25">
      <c r="A170">
        <f>ReturnData!A182</f>
        <v>198901</v>
      </c>
      <c r="B170" s="16">
        <f>AVERAGE(ReturnData!B170:B180)</f>
        <v>2.7327272727272731E-2</v>
      </c>
      <c r="C170" s="16">
        <f>AVERAGE(ReturnData!C170:C180)</f>
        <v>4.2636363636363618E-3</v>
      </c>
      <c r="D170" s="16">
        <f>AVERAGE(ReturnData!D170:D180)</f>
        <v>1.5963636363636364E-2</v>
      </c>
      <c r="E170" s="16">
        <f>AVERAGE(ReturnData!E170:E180)</f>
        <v>2.5027272727272728E-2</v>
      </c>
      <c r="F170" s="16">
        <f>AVERAGE(ReturnData!F170:F180)</f>
        <v>4.6272727272727255E-3</v>
      </c>
      <c r="G170" s="16">
        <f>AVERAGE(ReturnData!G170:G180)</f>
        <v>5.4545454545454584E-3</v>
      </c>
      <c r="H170" s="16">
        <f>AVERAGE(ReturnData!H170:H180)</f>
        <v>1.0063636363636365E-2</v>
      </c>
      <c r="I170" s="16">
        <f>AVERAGE(ReturnData!I170:I180)</f>
        <v>1.5918181818181817E-2</v>
      </c>
      <c r="J170" s="16">
        <f>AVERAGE(ReturnData!J170:J180)</f>
        <v>1.2772727272727271E-2</v>
      </c>
      <c r="K170" s="16">
        <f>AVERAGE(ReturnData!K170:K180)</f>
        <v>2.0690909090909097E-2</v>
      </c>
      <c r="L170" s="16">
        <f>AVERAGE(ReturnData!L170:L180)</f>
        <v>1.6181818181818174E-3</v>
      </c>
      <c r="M170" s="16">
        <f>AVERAGE(ReturnData!M170:M180)</f>
        <v>2.6727272727272731E-2</v>
      </c>
      <c r="N170" s="16">
        <f>AVERAGE(ReturnData!N170:N180)</f>
        <v>2.3954545454545454E-2</v>
      </c>
      <c r="O170" s="16">
        <f>AVERAGE(ReturnData!O170:O180)</f>
        <v>1.4590909090909088E-2</v>
      </c>
      <c r="P170" s="16">
        <f>AVERAGE(ReturnData!P170:P180)</f>
        <v>2.584545454545454E-2</v>
      </c>
      <c r="Q170" s="16">
        <f>AVERAGE(ReturnData!Q170:Q180)</f>
        <v>1.5909090909090907E-2</v>
      </c>
    </row>
    <row r="171" spans="1:17" x14ac:dyDescent="0.25">
      <c r="A171">
        <f>ReturnData!A183</f>
        <v>198902</v>
      </c>
      <c r="B171" s="16">
        <f>AVERAGE(ReturnData!B171:B181)</f>
        <v>2.6863636363636367E-2</v>
      </c>
      <c r="C171" s="16">
        <f>AVERAGE(ReturnData!C171:C181)</f>
        <v>9.8818181818181791E-3</v>
      </c>
      <c r="D171" s="16">
        <f>AVERAGE(ReturnData!D171:D181)</f>
        <v>9.4272727272727286E-3</v>
      </c>
      <c r="E171" s="16">
        <f>AVERAGE(ReturnData!E171:E181)</f>
        <v>2.5045454545454548E-2</v>
      </c>
      <c r="F171" s="16">
        <f>AVERAGE(ReturnData!F171:F181)</f>
        <v>7.8636363636363626E-3</v>
      </c>
      <c r="G171" s="16">
        <f>AVERAGE(ReturnData!G171:G181)</f>
        <v>1.2172727272727278E-2</v>
      </c>
      <c r="H171" s="16">
        <f>AVERAGE(ReturnData!H171:H181)</f>
        <v>7.7272727272727276E-3</v>
      </c>
      <c r="I171" s="16">
        <f>AVERAGE(ReturnData!I171:I181)</f>
        <v>1.5954545454545454E-2</v>
      </c>
      <c r="J171" s="16">
        <f>AVERAGE(ReturnData!J171:J181)</f>
        <v>1.9554545454545449E-2</v>
      </c>
      <c r="K171" s="16">
        <f>AVERAGE(ReturnData!K171:K181)</f>
        <v>1.7863636363636366E-2</v>
      </c>
      <c r="L171" s="16">
        <f>AVERAGE(ReturnData!L171:L181)</f>
        <v>6.9545454545454528E-3</v>
      </c>
      <c r="M171" s="16">
        <f>AVERAGE(ReturnData!M171:M181)</f>
        <v>1.9081818181818179E-2</v>
      </c>
      <c r="N171" s="16">
        <f>AVERAGE(ReturnData!N171:N181)</f>
        <v>1.7900000000000003E-2</v>
      </c>
      <c r="O171" s="16">
        <f>AVERAGE(ReturnData!O171:O181)</f>
        <v>6.6545454545454538E-3</v>
      </c>
      <c r="P171" s="16">
        <f>AVERAGE(ReturnData!P171:P181)</f>
        <v>2.0990909090909088E-2</v>
      </c>
      <c r="Q171" s="16">
        <f>AVERAGE(ReturnData!Q171:Q181)</f>
        <v>7.6636363636363647E-3</v>
      </c>
    </row>
    <row r="172" spans="1:17" x14ac:dyDescent="0.25">
      <c r="A172">
        <f>ReturnData!A184</f>
        <v>198903</v>
      </c>
      <c r="B172" s="16">
        <f>AVERAGE(ReturnData!B172:B182)</f>
        <v>2.7218181818181818E-2</v>
      </c>
      <c r="C172" s="16">
        <f>AVERAGE(ReturnData!C172:C182)</f>
        <v>5.1636363636363642E-3</v>
      </c>
      <c r="D172" s="16">
        <f>AVERAGE(ReturnData!D172:D182)</f>
        <v>1.2418181818181818E-2</v>
      </c>
      <c r="E172" s="16">
        <f>AVERAGE(ReturnData!E172:E182)</f>
        <v>1.6400000000000001E-2</v>
      </c>
      <c r="F172" s="16">
        <f>AVERAGE(ReturnData!F172:F182)</f>
        <v>9.6090909090909074E-3</v>
      </c>
      <c r="G172" s="16">
        <f>AVERAGE(ReturnData!G172:G182)</f>
        <v>1.4100000000000001E-2</v>
      </c>
      <c r="H172" s="16">
        <f>AVERAGE(ReturnData!H172:H182)</f>
        <v>1.010909090909091E-2</v>
      </c>
      <c r="I172" s="16">
        <f>AVERAGE(ReturnData!I172:I182)</f>
        <v>1.0909090909090912E-2</v>
      </c>
      <c r="J172" s="16">
        <f>AVERAGE(ReturnData!J172:J182)</f>
        <v>2.1672727272727274E-2</v>
      </c>
      <c r="K172" s="16">
        <f>AVERAGE(ReturnData!K172:K182)</f>
        <v>1.3554545454545456E-2</v>
      </c>
      <c r="L172" s="16">
        <f>AVERAGE(ReturnData!L172:L182)</f>
        <v>5.9545454545454546E-3</v>
      </c>
      <c r="M172" s="16">
        <f>AVERAGE(ReturnData!M172:M182)</f>
        <v>2.0390909090909091E-2</v>
      </c>
      <c r="N172" s="16">
        <f>AVERAGE(ReturnData!N172:N182)</f>
        <v>1.8772727272727274E-2</v>
      </c>
      <c r="O172" s="16">
        <f>AVERAGE(ReturnData!O172:O182)</f>
        <v>1.0436363636363638E-2</v>
      </c>
      <c r="P172" s="16">
        <f>AVERAGE(ReturnData!P172:P182)</f>
        <v>1.6918181818181818E-2</v>
      </c>
      <c r="Q172" s="16">
        <f>AVERAGE(ReturnData!Q172:Q182)</f>
        <v>1.1063636363636364E-2</v>
      </c>
    </row>
    <row r="173" spans="1:17" x14ac:dyDescent="0.25">
      <c r="A173">
        <f>ReturnData!A185</f>
        <v>198904</v>
      </c>
      <c r="B173" s="16">
        <f>AVERAGE(ReturnData!B173:B183)</f>
        <v>2.5981818181818186E-2</v>
      </c>
      <c r="C173" s="16">
        <f>AVERAGE(ReturnData!C173:C183)</f>
        <v>2.6636363636363641E-3</v>
      </c>
      <c r="D173" s="16">
        <f>AVERAGE(ReturnData!D173:D183)</f>
        <v>9.3363636363636357E-3</v>
      </c>
      <c r="E173" s="16">
        <f>AVERAGE(ReturnData!E173:E183)</f>
        <v>1.7118181818181817E-2</v>
      </c>
      <c r="F173" s="16">
        <f>AVERAGE(ReturnData!F173:F183)</f>
        <v>1.5090909090909092E-2</v>
      </c>
      <c r="G173" s="16">
        <f>AVERAGE(ReturnData!G173:G183)</f>
        <v>1.3900000000000003E-2</v>
      </c>
      <c r="H173" s="16">
        <f>AVERAGE(ReturnData!H173:H183)</f>
        <v>1.2245454545454547E-2</v>
      </c>
      <c r="I173" s="16">
        <f>AVERAGE(ReturnData!I173:I183)</f>
        <v>1.0563636363636364E-2</v>
      </c>
      <c r="J173" s="16">
        <f>AVERAGE(ReturnData!J173:J183)</f>
        <v>2.1627272727272724E-2</v>
      </c>
      <c r="K173" s="16">
        <f>AVERAGE(ReturnData!K173:K183)</f>
        <v>1.182727272727273E-2</v>
      </c>
      <c r="L173" s="16">
        <f>AVERAGE(ReturnData!L173:L183)</f>
        <v>5.9000000000000016E-3</v>
      </c>
      <c r="M173" s="16">
        <f>AVERAGE(ReturnData!M173:M183)</f>
        <v>1.7299999999999999E-2</v>
      </c>
      <c r="N173" s="16">
        <f>AVERAGE(ReturnData!N173:N183)</f>
        <v>1.6981818181818181E-2</v>
      </c>
      <c r="O173" s="16">
        <f>AVERAGE(ReturnData!O173:O183)</f>
        <v>1.1672727272727274E-2</v>
      </c>
      <c r="P173" s="16">
        <f>AVERAGE(ReturnData!P173:P183)</f>
        <v>1.6772727272727272E-2</v>
      </c>
      <c r="Q173" s="16">
        <f>AVERAGE(ReturnData!Q173:Q183)</f>
        <v>1.32E-2</v>
      </c>
    </row>
    <row r="174" spans="1:17" x14ac:dyDescent="0.25">
      <c r="A174">
        <f>ReturnData!A186</f>
        <v>198905</v>
      </c>
      <c r="B174" s="16">
        <f>AVERAGE(ReturnData!B174:B184)</f>
        <v>3.0572727272727276E-2</v>
      </c>
      <c r="C174" s="16">
        <f>AVERAGE(ReturnData!C174:C184)</f>
        <v>-9.2727272727272797E-4</v>
      </c>
      <c r="D174" s="16">
        <f>AVERAGE(ReturnData!D174:D184)</f>
        <v>8.6818181818181812E-3</v>
      </c>
      <c r="E174" s="16">
        <f>AVERAGE(ReturnData!E174:E184)</f>
        <v>2.1381818181818182E-2</v>
      </c>
      <c r="F174" s="16">
        <f>AVERAGE(ReturnData!F174:F184)</f>
        <v>1.4763636363636366E-2</v>
      </c>
      <c r="G174" s="16">
        <f>AVERAGE(ReturnData!G174:G184)</f>
        <v>1.4436363636363636E-2</v>
      </c>
      <c r="H174" s="16">
        <f>AVERAGE(ReturnData!H174:H184)</f>
        <v>1.8772727272727274E-2</v>
      </c>
      <c r="I174" s="16">
        <f>AVERAGE(ReturnData!I174:I184)</f>
        <v>9.7545454545454532E-3</v>
      </c>
      <c r="J174" s="16">
        <f>AVERAGE(ReturnData!J174:J184)</f>
        <v>1.4700000000000001E-2</v>
      </c>
      <c r="K174" s="16">
        <f>AVERAGE(ReturnData!K174:K184)</f>
        <v>1.5227272727272728E-2</v>
      </c>
      <c r="L174" s="16">
        <f>AVERAGE(ReturnData!L174:L184)</f>
        <v>-2.8181818181818044E-4</v>
      </c>
      <c r="M174" s="16">
        <f>AVERAGE(ReturnData!M174:M184)</f>
        <v>1.1518181818181816E-2</v>
      </c>
      <c r="N174" s="16">
        <f>AVERAGE(ReturnData!N174:N184)</f>
        <v>1.8199999999999997E-2</v>
      </c>
      <c r="O174" s="16">
        <f>AVERAGE(ReturnData!O174:O184)</f>
        <v>1.242727272727273E-2</v>
      </c>
      <c r="P174" s="16">
        <f>AVERAGE(ReturnData!P174:P184)</f>
        <v>1.7845454545454543E-2</v>
      </c>
      <c r="Q174" s="16">
        <f>AVERAGE(ReturnData!Q174:Q184)</f>
        <v>1.8081818181818182E-2</v>
      </c>
    </row>
    <row r="175" spans="1:17" x14ac:dyDescent="0.25">
      <c r="A175">
        <f>ReturnData!A187</f>
        <v>198906</v>
      </c>
      <c r="B175" s="16">
        <f>AVERAGE(ReturnData!B175:B185)</f>
        <v>3.5900000000000001E-2</v>
      </c>
      <c r="C175" s="16">
        <f>AVERAGE(ReturnData!C175:C185)</f>
        <v>-2.927272727272728E-3</v>
      </c>
      <c r="D175" s="16">
        <f>AVERAGE(ReturnData!D175:D185)</f>
        <v>1.12E-2</v>
      </c>
      <c r="E175" s="16">
        <f>AVERAGE(ReturnData!E175:E185)</f>
        <v>2.4545454545454547E-2</v>
      </c>
      <c r="F175" s="16">
        <f>AVERAGE(ReturnData!F175:F185)</f>
        <v>1.8709090909090911E-2</v>
      </c>
      <c r="G175" s="16">
        <f>AVERAGE(ReturnData!G175:G185)</f>
        <v>2.1054545454545454E-2</v>
      </c>
      <c r="H175" s="16">
        <f>AVERAGE(ReturnData!H175:H185)</f>
        <v>2.415454545454546E-2</v>
      </c>
      <c r="I175" s="16">
        <f>AVERAGE(ReturnData!I175:I185)</f>
        <v>1.6118181818181816E-2</v>
      </c>
      <c r="J175" s="16">
        <f>AVERAGE(ReturnData!J175:J185)</f>
        <v>1.8236363636363637E-2</v>
      </c>
      <c r="K175" s="16">
        <f>AVERAGE(ReturnData!K175:K185)</f>
        <v>1.9690909090909092E-2</v>
      </c>
      <c r="L175" s="16">
        <f>AVERAGE(ReturnData!L175:L185)</f>
        <v>5.6454545454545446E-3</v>
      </c>
      <c r="M175" s="16">
        <f>AVERAGE(ReturnData!M175:M185)</f>
        <v>1.0172727272727274E-2</v>
      </c>
      <c r="N175" s="16">
        <f>AVERAGE(ReturnData!N175:N185)</f>
        <v>2.2627272727272725E-2</v>
      </c>
      <c r="O175" s="16">
        <f>AVERAGE(ReturnData!O175:O185)</f>
        <v>1.2754545454545456E-2</v>
      </c>
      <c r="P175" s="16">
        <f>AVERAGE(ReturnData!P175:P185)</f>
        <v>2.4327272727272729E-2</v>
      </c>
      <c r="Q175" s="16">
        <f>AVERAGE(ReturnData!Q175:Q185)</f>
        <v>1.9745454545454545E-2</v>
      </c>
    </row>
    <row r="176" spans="1:17" x14ac:dyDescent="0.25">
      <c r="A176">
        <f>ReturnData!A188</f>
        <v>198907</v>
      </c>
      <c r="B176" s="16">
        <f>AVERAGE(ReturnData!B176:B186)</f>
        <v>3.9363636363636371E-2</v>
      </c>
      <c r="C176" s="16">
        <f>AVERAGE(ReturnData!C176:C186)</f>
        <v>-8.4818181818181824E-3</v>
      </c>
      <c r="D176" s="16">
        <f>AVERAGE(ReturnData!D176:D186)</f>
        <v>1.5363636363636362E-2</v>
      </c>
      <c r="E176" s="16">
        <f>AVERAGE(ReturnData!E176:E186)</f>
        <v>2.1318181818181819E-2</v>
      </c>
      <c r="F176" s="16">
        <f>AVERAGE(ReturnData!F176:F186)</f>
        <v>1.3554545454545453E-2</v>
      </c>
      <c r="G176" s="16">
        <f>AVERAGE(ReturnData!G176:G186)</f>
        <v>1.2790909090909092E-2</v>
      </c>
      <c r="H176" s="16">
        <f>AVERAGE(ReturnData!H176:H186)</f>
        <v>2.6463636363636366E-2</v>
      </c>
      <c r="I176" s="16">
        <f>AVERAGE(ReturnData!I176:I186)</f>
        <v>1.0827272727272727E-2</v>
      </c>
      <c r="J176" s="16">
        <f>AVERAGE(ReturnData!J176:J186)</f>
        <v>1.3399999999999997E-2</v>
      </c>
      <c r="K176" s="16">
        <f>AVERAGE(ReturnData!K176:K186)</f>
        <v>1.6427272727272731E-2</v>
      </c>
      <c r="L176" s="16">
        <f>AVERAGE(ReturnData!L176:L186)</f>
        <v>1.7272727272727257E-3</v>
      </c>
      <c r="M176" s="16">
        <f>AVERAGE(ReturnData!M176:M186)</f>
        <v>3.5181818181818174E-3</v>
      </c>
      <c r="N176" s="16">
        <f>AVERAGE(ReturnData!N176:N186)</f>
        <v>1.7554545454545455E-2</v>
      </c>
      <c r="O176" s="16">
        <f>AVERAGE(ReturnData!O176:O186)</f>
        <v>1.470909090909091E-2</v>
      </c>
      <c r="P176" s="16">
        <f>AVERAGE(ReturnData!P176:P186)</f>
        <v>2.3799999999999998E-2</v>
      </c>
      <c r="Q176" s="16">
        <f>AVERAGE(ReturnData!Q176:Q186)</f>
        <v>1.8390909090909093E-2</v>
      </c>
    </row>
    <row r="177" spans="1:17" x14ac:dyDescent="0.25">
      <c r="A177">
        <f>ReturnData!A189</f>
        <v>198908</v>
      </c>
      <c r="B177" s="16">
        <f>AVERAGE(ReturnData!B177:B187)</f>
        <v>3.9154545454545456E-2</v>
      </c>
      <c r="C177" s="16">
        <f>AVERAGE(ReturnData!C177:C187)</f>
        <v>-3.3818181818181829E-3</v>
      </c>
      <c r="D177" s="16">
        <f>AVERAGE(ReturnData!D177:D187)</f>
        <v>1.1154545454545453E-2</v>
      </c>
      <c r="E177" s="16">
        <f>AVERAGE(ReturnData!E177:E187)</f>
        <v>2.0081818181818183E-2</v>
      </c>
      <c r="F177" s="16">
        <f>AVERAGE(ReturnData!F177:F187)</f>
        <v>1.4736363636363636E-2</v>
      </c>
      <c r="G177" s="16">
        <f>AVERAGE(ReturnData!G177:G187)</f>
        <v>1.4063636363636363E-2</v>
      </c>
      <c r="H177" s="16">
        <f>AVERAGE(ReturnData!H177:H187)</f>
        <v>2.3563636363636366E-2</v>
      </c>
      <c r="I177" s="16">
        <f>AVERAGE(ReturnData!I177:I187)</f>
        <v>1.2509090909090912E-2</v>
      </c>
      <c r="J177" s="16">
        <f>AVERAGE(ReturnData!J177:J187)</f>
        <v>8.5636363636363618E-3</v>
      </c>
      <c r="K177" s="16">
        <f>AVERAGE(ReturnData!K177:K187)</f>
        <v>1.6418181818181818E-2</v>
      </c>
      <c r="L177" s="16">
        <f>AVERAGE(ReturnData!L177:L187)</f>
        <v>2.8636363636363642E-3</v>
      </c>
      <c r="M177" s="16">
        <f>AVERAGE(ReturnData!M177:M187)</f>
        <v>4.4000000000000003E-3</v>
      </c>
      <c r="N177" s="16">
        <f>AVERAGE(ReturnData!N177:N187)</f>
        <v>1.6527272727272727E-2</v>
      </c>
      <c r="O177" s="16">
        <f>AVERAGE(ReturnData!O177:O187)</f>
        <v>1.7981818181818182E-2</v>
      </c>
      <c r="P177" s="16">
        <f>AVERAGE(ReturnData!P177:P187)</f>
        <v>2.2181818181818181E-2</v>
      </c>
      <c r="Q177" s="16">
        <f>AVERAGE(ReturnData!Q177:Q187)</f>
        <v>1.9009090909090906E-2</v>
      </c>
    </row>
    <row r="178" spans="1:17" x14ac:dyDescent="0.25">
      <c r="A178">
        <f>ReturnData!A190</f>
        <v>198909</v>
      </c>
      <c r="B178" s="16">
        <f>AVERAGE(ReturnData!B178:B188)</f>
        <v>5.0690909090909092E-2</v>
      </c>
      <c r="C178" s="16">
        <f>AVERAGE(ReturnData!C178:C188)</f>
        <v>4.5454545454545811E-5</v>
      </c>
      <c r="D178" s="16">
        <f>AVERAGE(ReturnData!D178:D188)</f>
        <v>1.6027272727272727E-2</v>
      </c>
      <c r="E178" s="16">
        <f>AVERAGE(ReturnData!E178:E188)</f>
        <v>2.6654545454545455E-2</v>
      </c>
      <c r="F178" s="16">
        <f>AVERAGE(ReturnData!F178:F188)</f>
        <v>2.5109090909090911E-2</v>
      </c>
      <c r="G178" s="16">
        <f>AVERAGE(ReturnData!G178:G188)</f>
        <v>2.41E-2</v>
      </c>
      <c r="H178" s="16">
        <f>AVERAGE(ReturnData!H178:H188)</f>
        <v>3.7154545454545447E-2</v>
      </c>
      <c r="I178" s="16">
        <f>AVERAGE(ReturnData!I178:I188)</f>
        <v>2.3890909090909095E-2</v>
      </c>
      <c r="J178" s="16">
        <f>AVERAGE(ReturnData!J178:J188)</f>
        <v>1.9127272727272725E-2</v>
      </c>
      <c r="K178" s="16">
        <f>AVERAGE(ReturnData!K178:K188)</f>
        <v>2.3390909090909087E-2</v>
      </c>
      <c r="L178" s="16">
        <f>AVERAGE(ReturnData!L178:L188)</f>
        <v>1.4981818181818181E-2</v>
      </c>
      <c r="M178" s="16">
        <f>AVERAGE(ReturnData!M178:M188)</f>
        <v>1.4436363636363636E-2</v>
      </c>
      <c r="N178" s="16">
        <f>AVERAGE(ReturnData!N178:N188)</f>
        <v>2.6236363636363634E-2</v>
      </c>
      <c r="O178" s="16">
        <f>AVERAGE(ReturnData!O178:O188)</f>
        <v>2.3363636363636364E-2</v>
      </c>
      <c r="P178" s="16">
        <f>AVERAGE(ReturnData!P178:P188)</f>
        <v>3.3600000000000005E-2</v>
      </c>
      <c r="Q178" s="16">
        <f>AVERAGE(ReturnData!Q178:Q188)</f>
        <v>2.6418181818181816E-2</v>
      </c>
    </row>
    <row r="179" spans="1:17" x14ac:dyDescent="0.25">
      <c r="A179">
        <f>ReturnData!A191</f>
        <v>198910</v>
      </c>
      <c r="B179" s="16">
        <f>AVERAGE(ReturnData!B179:B189)</f>
        <v>4.1063636363636365E-2</v>
      </c>
      <c r="C179" s="16">
        <f>AVERAGE(ReturnData!C179:C189)</f>
        <v>8.5636363636363635E-3</v>
      </c>
      <c r="D179" s="16">
        <f>AVERAGE(ReturnData!D179:D189)</f>
        <v>2.1236363636363637E-2</v>
      </c>
      <c r="E179" s="16">
        <f>AVERAGE(ReturnData!E179:E189)</f>
        <v>2.9672727272727274E-2</v>
      </c>
      <c r="F179" s="16">
        <f>AVERAGE(ReturnData!F179:F189)</f>
        <v>2.1827272727272723E-2</v>
      </c>
      <c r="G179" s="16">
        <f>AVERAGE(ReturnData!G179:G189)</f>
        <v>2.9072727272727274E-2</v>
      </c>
      <c r="H179" s="16">
        <f>AVERAGE(ReturnData!H179:H189)</f>
        <v>3.387272727272727E-2</v>
      </c>
      <c r="I179" s="16">
        <f>AVERAGE(ReturnData!I179:I189)</f>
        <v>2.6136363636363635E-2</v>
      </c>
      <c r="J179" s="16">
        <f>AVERAGE(ReturnData!J179:J189)</f>
        <v>2.5654545454545454E-2</v>
      </c>
      <c r="K179" s="16">
        <f>AVERAGE(ReturnData!K179:K189)</f>
        <v>2.4154545454545453E-2</v>
      </c>
      <c r="L179" s="16">
        <f>AVERAGE(ReturnData!L179:L189)</f>
        <v>1.3927272727272727E-2</v>
      </c>
      <c r="M179" s="16">
        <f>AVERAGE(ReturnData!M179:M189)</f>
        <v>1.7763636363636363E-2</v>
      </c>
      <c r="N179" s="16">
        <f>AVERAGE(ReturnData!N179:N189)</f>
        <v>2.76E-2</v>
      </c>
      <c r="O179" s="16">
        <f>AVERAGE(ReturnData!O179:O189)</f>
        <v>2.0209090909090909E-2</v>
      </c>
      <c r="P179" s="16">
        <f>AVERAGE(ReturnData!P179:P189)</f>
        <v>2.7481818181818184E-2</v>
      </c>
      <c r="Q179" s="16">
        <f>AVERAGE(ReturnData!Q179:Q189)</f>
        <v>2.4645454545454547E-2</v>
      </c>
    </row>
    <row r="180" spans="1:17" x14ac:dyDescent="0.25">
      <c r="A180">
        <f>ReturnData!A192</f>
        <v>198911</v>
      </c>
      <c r="B180" s="16">
        <f>AVERAGE(ReturnData!B180:B190)</f>
        <v>2.9572727272727275E-2</v>
      </c>
      <c r="C180" s="16">
        <f>AVERAGE(ReturnData!C180:C190)</f>
        <v>1.1681818181818182E-2</v>
      </c>
      <c r="D180" s="16">
        <f>AVERAGE(ReturnData!D180:D190)</f>
        <v>2.0709090909090913E-2</v>
      </c>
      <c r="E180" s="16">
        <f>AVERAGE(ReturnData!E180:E190)</f>
        <v>2.9981818181818189E-2</v>
      </c>
      <c r="F180" s="16">
        <f>AVERAGE(ReturnData!F180:F190)</f>
        <v>1.7254545454545453E-2</v>
      </c>
      <c r="G180" s="16">
        <f>AVERAGE(ReturnData!G180:G190)</f>
        <v>2.4899999999999999E-2</v>
      </c>
      <c r="H180" s="16">
        <f>AVERAGE(ReturnData!H180:H190)</f>
        <v>3.3827272727272727E-2</v>
      </c>
      <c r="I180" s="16">
        <f>AVERAGE(ReturnData!I180:I190)</f>
        <v>2.4681818181818183E-2</v>
      </c>
      <c r="J180" s="16">
        <f>AVERAGE(ReturnData!J180:J190)</f>
        <v>1.9554545454545453E-2</v>
      </c>
      <c r="K180" s="16">
        <f>AVERAGE(ReturnData!K180:K190)</f>
        <v>2.0236363636363639E-2</v>
      </c>
      <c r="L180" s="16">
        <f>AVERAGE(ReturnData!L180:L190)</f>
        <v>1.0927272727272728E-2</v>
      </c>
      <c r="M180" s="16">
        <f>AVERAGE(ReturnData!M180:M190)</f>
        <v>7.9545454545454537E-3</v>
      </c>
      <c r="N180" s="16">
        <f>AVERAGE(ReturnData!N180:N190)</f>
        <v>2.3890909090909088E-2</v>
      </c>
      <c r="O180" s="16">
        <f>AVERAGE(ReturnData!O180:O190)</f>
        <v>1.8354545454545453E-2</v>
      </c>
      <c r="P180" s="16">
        <f>AVERAGE(ReturnData!P180:P190)</f>
        <v>2.35E-2</v>
      </c>
      <c r="Q180" s="16">
        <f>AVERAGE(ReturnData!Q180:Q190)</f>
        <v>2.6727272727272731E-2</v>
      </c>
    </row>
    <row r="181" spans="1:17" x14ac:dyDescent="0.25">
      <c r="A181">
        <f>ReturnData!A193</f>
        <v>198912</v>
      </c>
      <c r="B181" s="16">
        <f>AVERAGE(ReturnData!B181:B191)</f>
        <v>2.8745454545454543E-2</v>
      </c>
      <c r="C181" s="16">
        <f>AVERAGE(ReturnData!C181:C191)</f>
        <v>1.0654545454545455E-2</v>
      </c>
      <c r="D181" s="16">
        <f>AVERAGE(ReturnData!D181:D191)</f>
        <v>2.1609090909090911E-2</v>
      </c>
      <c r="E181" s="16">
        <f>AVERAGE(ReturnData!E181:E191)</f>
        <v>2.9700000000000004E-2</v>
      </c>
      <c r="F181" s="16">
        <f>AVERAGE(ReturnData!F181:F191)</f>
        <v>1.6854545454545455E-2</v>
      </c>
      <c r="G181" s="16">
        <f>AVERAGE(ReturnData!G181:G191)</f>
        <v>2.1609090909090908E-2</v>
      </c>
      <c r="H181" s="16">
        <f>AVERAGE(ReturnData!H181:H191)</f>
        <v>3.608181818181818E-2</v>
      </c>
      <c r="I181" s="16">
        <f>AVERAGE(ReturnData!I181:I191)</f>
        <v>2.0827272727272726E-2</v>
      </c>
      <c r="J181" s="16">
        <f>AVERAGE(ReturnData!J181:J191)</f>
        <v>1.2836363636363634E-2</v>
      </c>
      <c r="K181" s="16">
        <f>AVERAGE(ReturnData!K181:K191)</f>
        <v>1.5290909090909089E-2</v>
      </c>
      <c r="L181" s="16">
        <f>AVERAGE(ReturnData!L181:L191)</f>
        <v>8.5545454545454536E-3</v>
      </c>
      <c r="M181" s="16">
        <f>AVERAGE(ReturnData!M181:M191)</f>
        <v>2.372727272727272E-3</v>
      </c>
      <c r="N181" s="16">
        <f>AVERAGE(ReturnData!N181:N191)</f>
        <v>1.8609090909090908E-2</v>
      </c>
      <c r="O181" s="16">
        <f>AVERAGE(ReturnData!O181:O191)</f>
        <v>1.9699999999999999E-2</v>
      </c>
      <c r="P181" s="16">
        <f>AVERAGE(ReturnData!P181:P191)</f>
        <v>2.239090909090909E-2</v>
      </c>
      <c r="Q181" s="16">
        <f>AVERAGE(ReturnData!Q181:Q191)</f>
        <v>2.5381818181818186E-2</v>
      </c>
    </row>
    <row r="182" spans="1:17" x14ac:dyDescent="0.25">
      <c r="A182">
        <f>ReturnData!A194</f>
        <v>199001</v>
      </c>
      <c r="B182" s="16">
        <f>AVERAGE(ReturnData!B182:B192)</f>
        <v>2.9736363636363637E-2</v>
      </c>
      <c r="C182" s="16">
        <f>AVERAGE(ReturnData!C182:C192)</f>
        <v>2.1863636363636363E-2</v>
      </c>
      <c r="D182" s="16">
        <f>AVERAGE(ReturnData!D182:D192)</f>
        <v>2.3481818181818184E-2</v>
      </c>
      <c r="E182" s="16">
        <f>AVERAGE(ReturnData!E182:E192)</f>
        <v>2.3109090909090916E-2</v>
      </c>
      <c r="F182" s="16">
        <f>AVERAGE(ReturnData!F182:F192)</f>
        <v>1.4345454545454543E-2</v>
      </c>
      <c r="G182" s="16">
        <f>AVERAGE(ReturnData!G182:G192)</f>
        <v>1.9590909090909093E-2</v>
      </c>
      <c r="H182" s="16">
        <f>AVERAGE(ReturnData!H182:H192)</f>
        <v>3.6399999999999995E-2</v>
      </c>
      <c r="I182" s="16">
        <f>AVERAGE(ReturnData!I182:I192)</f>
        <v>1.9972727272727274E-2</v>
      </c>
      <c r="J182" s="16">
        <f>AVERAGE(ReturnData!J182:J192)</f>
        <v>1.1263636363636363E-2</v>
      </c>
      <c r="K182" s="16">
        <f>AVERAGE(ReturnData!K182:K192)</f>
        <v>1.3699999999999997E-2</v>
      </c>
      <c r="L182" s="16">
        <f>AVERAGE(ReturnData!L182:L192)</f>
        <v>6.8000000000000014E-3</v>
      </c>
      <c r="M182" s="16">
        <f>AVERAGE(ReturnData!M182:M192)</f>
        <v>8.8181818181817969E-4</v>
      </c>
      <c r="N182" s="16">
        <f>AVERAGE(ReturnData!N182:N192)</f>
        <v>1.5663636363636362E-2</v>
      </c>
      <c r="O182" s="16">
        <f>AVERAGE(ReturnData!O182:O192)</f>
        <v>2.1690909090909091E-2</v>
      </c>
      <c r="P182" s="16">
        <f>AVERAGE(ReturnData!P182:P192)</f>
        <v>2.2445454545454546E-2</v>
      </c>
      <c r="Q182" s="16">
        <f>AVERAGE(ReturnData!Q182:Q192)</f>
        <v>2.5027272727272731E-2</v>
      </c>
    </row>
    <row r="183" spans="1:17" x14ac:dyDescent="0.25">
      <c r="A183">
        <f>ReturnData!A195</f>
        <v>199002</v>
      </c>
      <c r="B183" s="16">
        <f>AVERAGE(ReturnData!B183:B193)</f>
        <v>2.7663636363636359E-2</v>
      </c>
      <c r="C183" s="16">
        <f>AVERAGE(ReturnData!C183:C193)</f>
        <v>2.121818181818182E-2</v>
      </c>
      <c r="D183" s="16">
        <f>AVERAGE(ReturnData!D183:D193)</f>
        <v>2.3200000000000002E-2</v>
      </c>
      <c r="E183" s="16">
        <f>AVERAGE(ReturnData!E183:E193)</f>
        <v>1.7318181818181816E-2</v>
      </c>
      <c r="F183" s="16">
        <f>AVERAGE(ReturnData!F183:F193)</f>
        <v>8.5454545454545488E-3</v>
      </c>
      <c r="G183" s="16">
        <f>AVERAGE(ReturnData!G183:G193)</f>
        <v>1.4072727272727277E-2</v>
      </c>
      <c r="H183" s="16">
        <f>AVERAGE(ReturnData!H183:H193)</f>
        <v>3.1572727272727266E-2</v>
      </c>
      <c r="I183" s="16">
        <f>AVERAGE(ReturnData!I183:I193)</f>
        <v>1.460909090909091E-2</v>
      </c>
      <c r="J183" s="16">
        <f>AVERAGE(ReturnData!J183:J193)</f>
        <v>9.4545454545454446E-4</v>
      </c>
      <c r="K183" s="16">
        <f>AVERAGE(ReturnData!K183:K193)</f>
        <v>1.2727272727272724E-2</v>
      </c>
      <c r="L183" s="16">
        <f>AVERAGE(ReturnData!L183:L193)</f>
        <v>1.2636363636363626E-3</v>
      </c>
      <c r="M183" s="16">
        <f>AVERAGE(ReturnData!M183:M193)</f>
        <v>-8.8545454545454552E-3</v>
      </c>
      <c r="N183" s="16">
        <f>AVERAGE(ReturnData!N183:N193)</f>
        <v>1.0809090909090907E-2</v>
      </c>
      <c r="O183" s="16">
        <f>AVERAGE(ReturnData!O183:O193)</f>
        <v>2.3554545454545453E-2</v>
      </c>
      <c r="P183" s="16">
        <f>AVERAGE(ReturnData!P183:P193)</f>
        <v>1.7363636363636362E-2</v>
      </c>
      <c r="Q183" s="16">
        <f>AVERAGE(ReturnData!Q183:Q193)</f>
        <v>1.6609090909090907E-2</v>
      </c>
    </row>
    <row r="184" spans="1:17" x14ac:dyDescent="0.25">
      <c r="A184">
        <f>ReturnData!A196</f>
        <v>199003</v>
      </c>
      <c r="B184" s="16">
        <f>AVERAGE(ReturnData!B184:B194)</f>
        <v>2.0381818181818178E-2</v>
      </c>
      <c r="C184" s="16">
        <f>AVERAGE(ReturnData!C184:C194)</f>
        <v>1.9645454545454546E-2</v>
      </c>
      <c r="D184" s="16">
        <f>AVERAGE(ReturnData!D184:D194)</f>
        <v>2.0463636363636364E-2</v>
      </c>
      <c r="E184" s="16">
        <f>AVERAGE(ReturnData!E184:E194)</f>
        <v>5.6454545454545499E-3</v>
      </c>
      <c r="F184" s="16">
        <f>AVERAGE(ReturnData!F184:F194)</f>
        <v>1.5545454545454562E-3</v>
      </c>
      <c r="G184" s="16">
        <f>AVERAGE(ReturnData!G184:G194)</f>
        <v>8.8818181818181852E-3</v>
      </c>
      <c r="H184" s="16">
        <f>AVERAGE(ReturnData!H184:H194)</f>
        <v>2.6572727272727272E-2</v>
      </c>
      <c r="I184" s="16">
        <f>AVERAGE(ReturnData!I184:I194)</f>
        <v>8.9909090909090928E-3</v>
      </c>
      <c r="J184" s="16">
        <f>AVERAGE(ReturnData!J184:J194)</f>
        <v>-3.7636363636363618E-3</v>
      </c>
      <c r="K184" s="16">
        <f>AVERAGE(ReturnData!K184:K194)</f>
        <v>9.4545454545454533E-3</v>
      </c>
      <c r="L184" s="16">
        <f>AVERAGE(ReturnData!L184:L194)</f>
        <v>2.8636363636363638E-3</v>
      </c>
      <c r="M184" s="16">
        <f>AVERAGE(ReturnData!M184:M194)</f>
        <v>-7.5181818181818206E-3</v>
      </c>
      <c r="N184" s="16">
        <f>AVERAGE(ReturnData!N184:N194)</f>
        <v>5.4909090909090906E-3</v>
      </c>
      <c r="O184" s="16">
        <f>AVERAGE(ReturnData!O184:O194)</f>
        <v>2.0354545454545455E-2</v>
      </c>
      <c r="P184" s="16">
        <f>AVERAGE(ReturnData!P184:P194)</f>
        <v>1.3518181818181818E-2</v>
      </c>
      <c r="Q184" s="16">
        <f>AVERAGE(ReturnData!Q184:Q194)</f>
        <v>8.0636363636363631E-3</v>
      </c>
    </row>
    <row r="185" spans="1:17" x14ac:dyDescent="0.25">
      <c r="A185">
        <f>ReturnData!A197</f>
        <v>199004</v>
      </c>
      <c r="B185" s="16">
        <f>AVERAGE(ReturnData!B185:B195)</f>
        <v>1.5418181818181815E-2</v>
      </c>
      <c r="C185" s="16">
        <f>AVERAGE(ReturnData!C185:C195)</f>
        <v>2.1918181818181819E-2</v>
      </c>
      <c r="D185" s="16">
        <f>AVERAGE(ReturnData!D185:D195)</f>
        <v>1.9863636363636365E-2</v>
      </c>
      <c r="E185" s="16">
        <f>AVERAGE(ReturnData!E185:E195)</f>
        <v>3.5090909090909127E-3</v>
      </c>
      <c r="F185" s="16">
        <f>AVERAGE(ReturnData!F185:F195)</f>
        <v>1.4090909090909102E-3</v>
      </c>
      <c r="G185" s="16">
        <f>AVERAGE(ReturnData!G185:G195)</f>
        <v>9.1636363636363686E-3</v>
      </c>
      <c r="H185" s="16">
        <f>AVERAGE(ReturnData!H185:H195)</f>
        <v>1.9327272727272724E-2</v>
      </c>
      <c r="I185" s="16">
        <f>AVERAGE(ReturnData!I185:I195)</f>
        <v>1.0836363636363639E-2</v>
      </c>
      <c r="J185" s="16">
        <f>AVERAGE(ReturnData!J185:J195)</f>
        <v>1.0090909090909083E-3</v>
      </c>
      <c r="K185" s="16">
        <f>AVERAGE(ReturnData!K185:K195)</f>
        <v>9.6909090909090903E-3</v>
      </c>
      <c r="L185" s="16">
        <f>AVERAGE(ReturnData!L185:L195)</f>
        <v>9.7454545454545467E-3</v>
      </c>
      <c r="M185" s="16">
        <f>AVERAGE(ReturnData!M185:M195)</f>
        <v>2.090909090909094E-4</v>
      </c>
      <c r="N185" s="16">
        <f>AVERAGE(ReturnData!N185:N195)</f>
        <v>8.3545454545454548E-3</v>
      </c>
      <c r="O185" s="16">
        <f>AVERAGE(ReturnData!O185:O195)</f>
        <v>2.005454545454545E-2</v>
      </c>
      <c r="P185" s="16">
        <f>AVERAGE(ReturnData!P185:P195)</f>
        <v>1.2254545454545455E-2</v>
      </c>
      <c r="Q185" s="16">
        <f>AVERAGE(ReturnData!Q185:Q195)</f>
        <v>5.8272727272727261E-3</v>
      </c>
    </row>
    <row r="186" spans="1:17" x14ac:dyDescent="0.25">
      <c r="A186">
        <f>ReturnData!A198</f>
        <v>199005</v>
      </c>
      <c r="B186" s="16">
        <f>AVERAGE(ReturnData!B186:B196)</f>
        <v>1.5236363636363636E-2</v>
      </c>
      <c r="C186" s="16">
        <f>AVERAGE(ReturnData!C186:C196)</f>
        <v>1.9009090909090906E-2</v>
      </c>
      <c r="D186" s="16">
        <f>AVERAGE(ReturnData!D186:D196)</f>
        <v>1.7163636363636367E-2</v>
      </c>
      <c r="E186" s="16">
        <f>AVERAGE(ReturnData!E186:E196)</f>
        <v>6.690909090909092E-3</v>
      </c>
      <c r="F186" s="16">
        <f>AVERAGE(ReturnData!F186:F196)</f>
        <v>-3.2727272727272781E-4</v>
      </c>
      <c r="G186" s="16">
        <f>AVERAGE(ReturnData!G186:G196)</f>
        <v>5.5181818181818188E-3</v>
      </c>
      <c r="H186" s="16">
        <f>AVERAGE(ReturnData!H186:H196)</f>
        <v>1.8600000000000002E-2</v>
      </c>
      <c r="I186" s="16">
        <f>AVERAGE(ReturnData!I186:I196)</f>
        <v>1.0154545454545456E-2</v>
      </c>
      <c r="J186" s="16">
        <f>AVERAGE(ReturnData!J186:J196)</f>
        <v>3.6909090909090915E-3</v>
      </c>
      <c r="K186" s="16">
        <f>AVERAGE(ReturnData!K186:K196)</f>
        <v>1.0190909090909091E-2</v>
      </c>
      <c r="L186" s="16">
        <f>AVERAGE(ReturnData!L186:L196)</f>
        <v>8.4727272727272724E-3</v>
      </c>
      <c r="M186" s="16">
        <f>AVERAGE(ReturnData!M186:M196)</f>
        <v>3.5454545454545456E-3</v>
      </c>
      <c r="N186" s="16">
        <f>AVERAGE(ReturnData!N186:N196)</f>
        <v>8.5454545454545453E-3</v>
      </c>
      <c r="O186" s="16">
        <f>AVERAGE(ReturnData!O186:O196)</f>
        <v>1.5790909090909088E-2</v>
      </c>
      <c r="P186" s="16">
        <f>AVERAGE(ReturnData!P186:P196)</f>
        <v>1.1681818181818182E-2</v>
      </c>
      <c r="Q186" s="16">
        <f>AVERAGE(ReturnData!Q186:Q196)</f>
        <v>8.9999999999999802E-4</v>
      </c>
    </row>
    <row r="187" spans="1:17" x14ac:dyDescent="0.25">
      <c r="A187">
        <f>ReturnData!A199</f>
        <v>199006</v>
      </c>
      <c r="B187" s="16">
        <f>AVERAGE(ReturnData!B187:B197)</f>
        <v>1.0254545454545454E-2</v>
      </c>
      <c r="C187" s="16">
        <f>AVERAGE(ReturnData!C187:C197)</f>
        <v>1.5054545454545454E-2</v>
      </c>
      <c r="D187" s="16">
        <f>AVERAGE(ReturnData!D187:D197)</f>
        <v>1.1472727272727273E-2</v>
      </c>
      <c r="E187" s="16">
        <f>AVERAGE(ReturnData!E187:E197)</f>
        <v>2.3272727272727269E-3</v>
      </c>
      <c r="F187" s="16">
        <f>AVERAGE(ReturnData!F187:F197)</f>
        <v>-6.6454545454545455E-3</v>
      </c>
      <c r="G187" s="16">
        <f>AVERAGE(ReturnData!G187:G197)</f>
        <v>1.4727272727272727E-3</v>
      </c>
      <c r="H187" s="16">
        <f>AVERAGE(ReturnData!H187:H197)</f>
        <v>1.6199999999999999E-2</v>
      </c>
      <c r="I187" s="16">
        <f>AVERAGE(ReturnData!I187:I197)</f>
        <v>5.227272727272728E-3</v>
      </c>
      <c r="J187" s="16">
        <f>AVERAGE(ReturnData!J187:J197)</f>
        <v>-3.7545454545454553E-3</v>
      </c>
      <c r="K187" s="16">
        <f>AVERAGE(ReturnData!K187:K197)</f>
        <v>7.381818181818183E-3</v>
      </c>
      <c r="L187" s="16">
        <f>AVERAGE(ReturnData!L187:L197)</f>
        <v>3.109090909090909E-3</v>
      </c>
      <c r="M187" s="16">
        <f>AVERAGE(ReturnData!M187:M197)</f>
        <v>-1.2727272727272739E-3</v>
      </c>
      <c r="N187" s="16">
        <f>AVERAGE(ReturnData!N187:N197)</f>
        <v>2.2454545454545466E-3</v>
      </c>
      <c r="O187" s="16">
        <f>AVERAGE(ReturnData!O187:O197)</f>
        <v>5.9090909090909064E-3</v>
      </c>
      <c r="P187" s="16">
        <f>AVERAGE(ReturnData!P187:P197)</f>
        <v>4.3818181818181838E-3</v>
      </c>
      <c r="Q187" s="16">
        <f>AVERAGE(ReturnData!Q187:Q197)</f>
        <v>-6.6000000000000026E-3</v>
      </c>
    </row>
    <row r="188" spans="1:17" x14ac:dyDescent="0.25">
      <c r="A188">
        <f>ReturnData!A200</f>
        <v>199007</v>
      </c>
      <c r="B188" s="16">
        <f>AVERAGE(ReturnData!B188:B198)</f>
        <v>2.0009090909090907E-2</v>
      </c>
      <c r="C188" s="16">
        <f>AVERAGE(ReturnData!C188:C198)</f>
        <v>1.8309090909090907E-2</v>
      </c>
      <c r="D188" s="16">
        <f>AVERAGE(ReturnData!D188:D198)</f>
        <v>1.8054545454545459E-2</v>
      </c>
      <c r="E188" s="16">
        <f>AVERAGE(ReturnData!E188:E198)</f>
        <v>9.0727272727272757E-3</v>
      </c>
      <c r="F188" s="16">
        <f>AVERAGE(ReturnData!F188:F198)</f>
        <v>-2.1272727272727289E-3</v>
      </c>
      <c r="G188" s="16">
        <f>AVERAGE(ReturnData!G188:G198)</f>
        <v>1.0409090909090911E-2</v>
      </c>
      <c r="H188" s="16">
        <f>AVERAGE(ReturnData!H188:H198)</f>
        <v>2.697272727272727E-2</v>
      </c>
      <c r="I188" s="16">
        <f>AVERAGE(ReturnData!I188:I198)</f>
        <v>1.6172727272727276E-2</v>
      </c>
      <c r="J188" s="16">
        <f>AVERAGE(ReturnData!J188:J198)</f>
        <v>6.4272727272727285E-3</v>
      </c>
      <c r="K188" s="16">
        <f>AVERAGE(ReturnData!K188:K198)</f>
        <v>1.5736363636363635E-2</v>
      </c>
      <c r="L188" s="16">
        <f>AVERAGE(ReturnData!L188:L198)</f>
        <v>1.5272727272727271E-2</v>
      </c>
      <c r="M188" s="16">
        <f>AVERAGE(ReturnData!M188:M198)</f>
        <v>5.972727272727271E-3</v>
      </c>
      <c r="N188" s="16">
        <f>AVERAGE(ReturnData!N188:N198)</f>
        <v>1.1454545454545455E-2</v>
      </c>
      <c r="O188" s="16">
        <f>AVERAGE(ReturnData!O188:O198)</f>
        <v>7.7727272727272723E-3</v>
      </c>
      <c r="P188" s="16">
        <f>AVERAGE(ReturnData!P188:P198)</f>
        <v>1.6963636363636361E-2</v>
      </c>
      <c r="Q188" s="16">
        <f>AVERAGE(ReturnData!Q188:Q198)</f>
        <v>1.0272727272727265E-3</v>
      </c>
    </row>
    <row r="189" spans="1:17" x14ac:dyDescent="0.25">
      <c r="A189">
        <f>ReturnData!A201</f>
        <v>199008</v>
      </c>
      <c r="B189" s="16">
        <f>AVERAGE(ReturnData!B189:B199)</f>
        <v>9.3090909090909075E-3</v>
      </c>
      <c r="C189" s="16">
        <f>AVERAGE(ReturnData!C189:C199)</f>
        <v>1.3863636363636363E-2</v>
      </c>
      <c r="D189" s="16">
        <f>AVERAGE(ReturnData!D189:D199)</f>
        <v>1.262727272727273E-2</v>
      </c>
      <c r="E189" s="16">
        <f>AVERAGE(ReturnData!E189:E199)</f>
        <v>-1.2272727272727255E-3</v>
      </c>
      <c r="F189" s="16">
        <f>AVERAGE(ReturnData!F189:F199)</f>
        <v>-8.9545454545454546E-3</v>
      </c>
      <c r="G189" s="16">
        <f>AVERAGE(ReturnData!G189:G199)</f>
        <v>2.0454545454545465E-3</v>
      </c>
      <c r="H189" s="16">
        <f>AVERAGE(ReturnData!H189:H199)</f>
        <v>1.8927272727272727E-2</v>
      </c>
      <c r="I189" s="16">
        <f>AVERAGE(ReturnData!I189:I199)</f>
        <v>5.6363636363636373E-3</v>
      </c>
      <c r="J189" s="16">
        <f>AVERAGE(ReturnData!J189:J199)</f>
        <v>-9.3636363636363784E-4</v>
      </c>
      <c r="K189" s="16">
        <f>AVERAGE(ReturnData!K189:K199)</f>
        <v>1.0645454545454546E-2</v>
      </c>
      <c r="L189" s="16">
        <f>AVERAGE(ReturnData!L189:L199)</f>
        <v>8.7727272727272741E-3</v>
      </c>
      <c r="M189" s="16">
        <f>AVERAGE(ReturnData!M189:M199)</f>
        <v>-1.1818181818182E-4</v>
      </c>
      <c r="N189" s="16">
        <f>AVERAGE(ReturnData!N189:N199)</f>
        <v>3.8272727272727282E-3</v>
      </c>
      <c r="O189" s="16">
        <f>AVERAGE(ReturnData!O189:O199)</f>
        <v>3.1818181818181811E-3</v>
      </c>
      <c r="P189" s="16">
        <f>AVERAGE(ReturnData!P189:P199)</f>
        <v>9.463636363636365E-3</v>
      </c>
      <c r="Q189" s="16">
        <f>AVERAGE(ReturnData!Q189:Q199)</f>
        <v>-8.0545454545454549E-3</v>
      </c>
    </row>
    <row r="190" spans="1:17" x14ac:dyDescent="0.25">
      <c r="A190">
        <f>ReturnData!A202</f>
        <v>199009</v>
      </c>
      <c r="B190" s="16">
        <f>AVERAGE(ReturnData!B190:B200)</f>
        <v>1.3318181818181818E-2</v>
      </c>
      <c r="C190" s="16">
        <f>AVERAGE(ReturnData!C190:C200)</f>
        <v>1.5963636363636367E-2</v>
      </c>
      <c r="D190" s="16">
        <f>AVERAGE(ReturnData!D190:D200)</f>
        <v>1.7000000000000001E-2</v>
      </c>
      <c r="E190" s="16">
        <f>AVERAGE(ReturnData!E190:E200)</f>
        <v>-8.7909090909090888E-3</v>
      </c>
      <c r="F190" s="16">
        <f>AVERAGE(ReturnData!F190:F200)</f>
        <v>-1.3763636363636367E-2</v>
      </c>
      <c r="G190" s="16">
        <f>AVERAGE(ReturnData!G190:G200)</f>
        <v>-4.5090909090909088E-3</v>
      </c>
      <c r="H190" s="16">
        <f>AVERAGE(ReturnData!H190:H200)</f>
        <v>2.0472727272727274E-2</v>
      </c>
      <c r="I190" s="16">
        <f>AVERAGE(ReturnData!I190:I200)</f>
        <v>3.4818181818181831E-3</v>
      </c>
      <c r="J190" s="16">
        <f>AVERAGE(ReturnData!J190:J200)</f>
        <v>-3.0272727272727287E-3</v>
      </c>
      <c r="K190" s="16">
        <f>AVERAGE(ReturnData!K190:K200)</f>
        <v>4.4818181818181814E-3</v>
      </c>
      <c r="L190" s="16">
        <f>AVERAGE(ReturnData!L190:L200)</f>
        <v>3.6272727272727277E-3</v>
      </c>
      <c r="M190" s="16">
        <f>AVERAGE(ReturnData!M190:M200)</f>
        <v>-9.6000000000000026E-3</v>
      </c>
      <c r="N190" s="16">
        <f>AVERAGE(ReturnData!N190:N200)</f>
        <v>-6.2363636363636345E-3</v>
      </c>
      <c r="O190" s="16">
        <f>AVERAGE(ReturnData!O190:O200)</f>
        <v>4.7181818181818175E-3</v>
      </c>
      <c r="P190" s="16">
        <f>AVERAGE(ReturnData!P190:P200)</f>
        <v>3.7727272727272735E-3</v>
      </c>
      <c r="Q190" s="16">
        <f>AVERAGE(ReturnData!Q190:Q200)</f>
        <v>-1.4136363636363634E-2</v>
      </c>
    </row>
    <row r="191" spans="1:17" x14ac:dyDescent="0.25">
      <c r="A191">
        <f>ReturnData!A203</f>
        <v>199010</v>
      </c>
      <c r="B191" s="16">
        <f>AVERAGE(ReturnData!B191:B201)</f>
        <v>7.4454545454545459E-3</v>
      </c>
      <c r="C191" s="16">
        <f>AVERAGE(ReturnData!C191:C201)</f>
        <v>6.6363636363636356E-3</v>
      </c>
      <c r="D191" s="16">
        <f>AVERAGE(ReturnData!D191:D201)</f>
        <v>1.4754545454545458E-2</v>
      </c>
      <c r="E191" s="16">
        <f>AVERAGE(ReturnData!E191:E201)</f>
        <v>-2.4490909090909087E-2</v>
      </c>
      <c r="F191" s="16">
        <f>AVERAGE(ReturnData!F191:F201)</f>
        <v>-1.8799999999999997E-2</v>
      </c>
      <c r="G191" s="16">
        <f>AVERAGE(ReturnData!G191:G201)</f>
        <v>-1.2981818181818183E-2</v>
      </c>
      <c r="H191" s="16">
        <f>AVERAGE(ReturnData!H191:H201)</f>
        <v>1.2681818181818181E-2</v>
      </c>
      <c r="I191" s="16">
        <f>AVERAGE(ReturnData!I191:I201)</f>
        <v>-5.9181818181818164E-3</v>
      </c>
      <c r="J191" s="16">
        <f>AVERAGE(ReturnData!J191:J201)</f>
        <v>-1.0136363636363638E-2</v>
      </c>
      <c r="K191" s="16">
        <f>AVERAGE(ReturnData!K191:K201)</f>
        <v>-2.9363636363636371E-3</v>
      </c>
      <c r="L191" s="16">
        <f>AVERAGE(ReturnData!L191:L201)</f>
        <v>-5.0818181818181795E-3</v>
      </c>
      <c r="M191" s="16">
        <f>AVERAGE(ReturnData!M191:M201)</f>
        <v>-1.6936363636363638E-2</v>
      </c>
      <c r="N191" s="16">
        <f>AVERAGE(ReturnData!N191:N201)</f>
        <v>-1.5272727272727271E-2</v>
      </c>
      <c r="O191" s="16">
        <f>AVERAGE(ReturnData!O191:O201)</f>
        <v>-1.7363636363636364E-3</v>
      </c>
      <c r="P191" s="16">
        <f>AVERAGE(ReturnData!P191:P201)</f>
        <v>-5.7090909090909085E-3</v>
      </c>
      <c r="Q191" s="16">
        <f>AVERAGE(ReturnData!Q191:Q201)</f>
        <v>-2.6036363636363635E-2</v>
      </c>
    </row>
    <row r="192" spans="1:17" x14ac:dyDescent="0.25">
      <c r="A192">
        <f>ReturnData!A204</f>
        <v>199011</v>
      </c>
      <c r="B192" s="16">
        <f>AVERAGE(ReturnData!B192:B202)</f>
        <v>5.9636363636363628E-3</v>
      </c>
      <c r="C192" s="16">
        <f>AVERAGE(ReturnData!C192:C202)</f>
        <v>5.6909090909090902E-3</v>
      </c>
      <c r="D192" s="16">
        <f>AVERAGE(ReturnData!D192:D202)</f>
        <v>1.2672727272727275E-2</v>
      </c>
      <c r="E192" s="16">
        <f>AVERAGE(ReturnData!E192:E202)</f>
        <v>-3.2445454545454548E-2</v>
      </c>
      <c r="F192" s="16">
        <f>AVERAGE(ReturnData!F192:F202)</f>
        <v>-2.0881818181818182E-2</v>
      </c>
      <c r="G192" s="16">
        <f>AVERAGE(ReturnData!G192:G202)</f>
        <v>-1.38E-2</v>
      </c>
      <c r="H192" s="16">
        <f>AVERAGE(ReturnData!H192:H202)</f>
        <v>7.263636363636361E-3</v>
      </c>
      <c r="I192" s="16">
        <f>AVERAGE(ReturnData!I192:I202)</f>
        <v>-7.2272727272727237E-3</v>
      </c>
      <c r="J192" s="16">
        <f>AVERAGE(ReturnData!J192:J202)</f>
        <v>-7.3272727272727274E-3</v>
      </c>
      <c r="K192" s="16">
        <f>AVERAGE(ReturnData!K192:K202)</f>
        <v>-6.554545454545457E-3</v>
      </c>
      <c r="L192" s="16">
        <f>AVERAGE(ReturnData!L192:L202)</f>
        <v>-7.6999999999999994E-3</v>
      </c>
      <c r="M192" s="16">
        <f>AVERAGE(ReturnData!M192:M202)</f>
        <v>-2.1045454545454548E-2</v>
      </c>
      <c r="N192" s="16">
        <f>AVERAGE(ReturnData!N192:N202)</f>
        <v>-1.5545454545454545E-2</v>
      </c>
      <c r="O192" s="16">
        <f>AVERAGE(ReturnData!O192:O202)</f>
        <v>-2.2090909090909101E-3</v>
      </c>
      <c r="P192" s="16">
        <f>AVERAGE(ReturnData!P192:P202)</f>
        <v>-1.0809090909090909E-2</v>
      </c>
      <c r="Q192" s="16">
        <f>AVERAGE(ReturnData!Q192:Q202)</f>
        <v>-3.2827272727272726E-2</v>
      </c>
    </row>
    <row r="193" spans="1:17" x14ac:dyDescent="0.25">
      <c r="A193">
        <f>ReturnData!A205</f>
        <v>199012</v>
      </c>
      <c r="B193" s="16">
        <f>AVERAGE(ReturnData!B193:B203)</f>
        <v>6.5818181818181809E-3</v>
      </c>
      <c r="C193" s="16">
        <f>AVERAGE(ReturnData!C193:C203)</f>
        <v>-1.8572727272727272E-2</v>
      </c>
      <c r="D193" s="16">
        <f>AVERAGE(ReturnData!D193:D203)</f>
        <v>5.5090909090909097E-3</v>
      </c>
      <c r="E193" s="16">
        <f>AVERAGE(ReturnData!E193:E203)</f>
        <v>-3.9372727272727268E-2</v>
      </c>
      <c r="F193" s="16">
        <f>AVERAGE(ReturnData!F193:F203)</f>
        <v>-2.527272727272727E-2</v>
      </c>
      <c r="G193" s="16">
        <f>AVERAGE(ReturnData!G193:G203)</f>
        <v>-1.5018181818181818E-2</v>
      </c>
      <c r="H193" s="16">
        <f>AVERAGE(ReturnData!H193:H203)</f>
        <v>6.8363636363636369E-3</v>
      </c>
      <c r="I193" s="16">
        <f>AVERAGE(ReturnData!I193:I203)</f>
        <v>-1.5527272727272728E-2</v>
      </c>
      <c r="J193" s="16">
        <f>AVERAGE(ReturnData!J193:J203)</f>
        <v>-1.9836363636363638E-2</v>
      </c>
      <c r="K193" s="16">
        <f>AVERAGE(ReturnData!K193:K203)</f>
        <v>-1.0109090909090908E-2</v>
      </c>
      <c r="L193" s="16">
        <f>AVERAGE(ReturnData!L193:L203)</f>
        <v>-1.3827272727272726E-2</v>
      </c>
      <c r="M193" s="16">
        <f>AVERAGE(ReturnData!M193:M203)</f>
        <v>-2.1409090909090909E-2</v>
      </c>
      <c r="N193" s="16">
        <f>AVERAGE(ReturnData!N193:N203)</f>
        <v>-1.397272727272727E-2</v>
      </c>
      <c r="O193" s="16">
        <f>AVERAGE(ReturnData!O193:O203)</f>
        <v>1.4272727272727271E-3</v>
      </c>
      <c r="P193" s="16">
        <f>AVERAGE(ReturnData!P193:P203)</f>
        <v>-1.4672727272727271E-2</v>
      </c>
      <c r="Q193" s="16">
        <f>AVERAGE(ReturnData!Q193:Q203)</f>
        <v>-3.8854545454545454E-2</v>
      </c>
    </row>
    <row r="194" spans="1:17" x14ac:dyDescent="0.25">
      <c r="A194">
        <f>ReturnData!A206</f>
        <v>199101</v>
      </c>
      <c r="B194" s="16">
        <f>AVERAGE(ReturnData!B194:B204)</f>
        <v>8.7454545454545441E-3</v>
      </c>
      <c r="C194" s="16">
        <f>AVERAGE(ReturnData!C194:C204)</f>
        <v>-2.2181818181818181E-2</v>
      </c>
      <c r="D194" s="16">
        <f>AVERAGE(ReturnData!D194:D204)</f>
        <v>1.6090909090909079E-3</v>
      </c>
      <c r="E194" s="16">
        <f>AVERAGE(ReturnData!E194:E204)</f>
        <v>-2.6245454545454541E-2</v>
      </c>
      <c r="F194" s="16">
        <f>AVERAGE(ReturnData!F194:F204)</f>
        <v>-1.5845454545454548E-2</v>
      </c>
      <c r="G194" s="16">
        <f>AVERAGE(ReturnData!G194:G204)</f>
        <v>-1.0127272727272726E-2</v>
      </c>
      <c r="H194" s="16">
        <f>AVERAGE(ReturnData!H194:H204)</f>
        <v>1.350909090909091E-2</v>
      </c>
      <c r="I194" s="16">
        <f>AVERAGE(ReturnData!I194:I204)</f>
        <v>-6.463636363636365E-3</v>
      </c>
      <c r="J194" s="16">
        <f>AVERAGE(ReturnData!J194:J204)</f>
        <v>-1.770909090909091E-2</v>
      </c>
      <c r="K194" s="16">
        <f>AVERAGE(ReturnData!K194:K204)</f>
        <v>-5.1545454545454533E-3</v>
      </c>
      <c r="L194" s="16">
        <f>AVERAGE(ReturnData!L194:L204)</f>
        <v>-5.5545454545454518E-3</v>
      </c>
      <c r="M194" s="16">
        <f>AVERAGE(ReturnData!M194:M204)</f>
        <v>-1.7345454545454549E-2</v>
      </c>
      <c r="N194" s="16">
        <f>AVERAGE(ReturnData!N194:N204)</f>
        <v>-1.177272727272727E-2</v>
      </c>
      <c r="O194" s="16">
        <f>AVERAGE(ReturnData!O194:O204)</f>
        <v>-8.4545454545454605E-4</v>
      </c>
      <c r="P194" s="16">
        <f>AVERAGE(ReturnData!P194:P204)</f>
        <v>-5.2363636363636336E-3</v>
      </c>
      <c r="Q194" s="16">
        <f>AVERAGE(ReturnData!Q194:Q204)</f>
        <v>-2.3609090909090909E-2</v>
      </c>
    </row>
    <row r="195" spans="1:17" x14ac:dyDescent="0.25">
      <c r="A195">
        <f>ReturnData!A207</f>
        <v>199102</v>
      </c>
      <c r="B195" s="16">
        <f>AVERAGE(ReturnData!B195:B205)</f>
        <v>2.1090909090909091E-2</v>
      </c>
      <c r="C195" s="16">
        <f>AVERAGE(ReturnData!C195:C205)</f>
        <v>-1.7372727272727272E-2</v>
      </c>
      <c r="D195" s="16">
        <f>AVERAGE(ReturnData!D195:D205)</f>
        <v>3.7363636363636349E-3</v>
      </c>
      <c r="E195" s="16">
        <f>AVERAGE(ReturnData!E195:E205)</f>
        <v>-1.008181818181818E-2</v>
      </c>
      <c r="F195" s="16">
        <f>AVERAGE(ReturnData!F195:F205)</f>
        <v>-7.32727272727273E-3</v>
      </c>
      <c r="G195" s="16">
        <f>AVERAGE(ReturnData!G195:G205)</f>
        <v>-2.3636363636363492E-4</v>
      </c>
      <c r="H195" s="16">
        <f>AVERAGE(ReturnData!H195:H205)</f>
        <v>2.2781818181818181E-2</v>
      </c>
      <c r="I195" s="16">
        <f>AVERAGE(ReturnData!I195:I205)</f>
        <v>3.063636363636366E-3</v>
      </c>
      <c r="J195" s="16">
        <f>AVERAGE(ReturnData!J195:J205)</f>
        <v>-2.4454545454545436E-3</v>
      </c>
      <c r="K195" s="16">
        <f>AVERAGE(ReturnData!K195:K205)</f>
        <v>-1.6363636363636233E-4</v>
      </c>
      <c r="L195" s="16">
        <f>AVERAGE(ReturnData!L195:L205)</f>
        <v>5.0909090909091227E-4</v>
      </c>
      <c r="M195" s="16">
        <f>AVERAGE(ReturnData!M195:M205)</f>
        <v>-1.5799999999999998E-2</v>
      </c>
      <c r="N195" s="16">
        <f>AVERAGE(ReturnData!N195:N205)</f>
        <v>-1.9454545454545475E-3</v>
      </c>
      <c r="O195" s="16">
        <f>AVERAGE(ReturnData!O195:O205)</f>
        <v>4.7181818181818184E-3</v>
      </c>
      <c r="P195" s="16">
        <f>AVERAGE(ReturnData!P195:P205)</f>
        <v>2.8363636363636377E-3</v>
      </c>
      <c r="Q195" s="16">
        <f>AVERAGE(ReturnData!Q195:Q205)</f>
        <v>-9.7000000000000038E-3</v>
      </c>
    </row>
    <row r="196" spans="1:17" x14ac:dyDescent="0.25">
      <c r="A196">
        <f>ReturnData!A208</f>
        <v>199103</v>
      </c>
      <c r="B196" s="16">
        <f>AVERAGE(ReturnData!B196:B206)</f>
        <v>2.460909090909091E-2</v>
      </c>
      <c r="C196" s="16">
        <f>AVERAGE(ReturnData!C196:C206)</f>
        <v>-2.5409090909090905E-2</v>
      </c>
      <c r="D196" s="16">
        <f>AVERAGE(ReturnData!D196:D206)</f>
        <v>-9.9090909090909156E-4</v>
      </c>
      <c r="E196" s="16">
        <f>AVERAGE(ReturnData!E196:E206)</f>
        <v>2.5999999999999986E-3</v>
      </c>
      <c r="F196" s="16">
        <f>AVERAGE(ReturnData!F196:F206)</f>
        <v>-1.0909090909091095E-4</v>
      </c>
      <c r="G196" s="16">
        <f>AVERAGE(ReturnData!G196:G206)</f>
        <v>2.6363636363636368E-3</v>
      </c>
      <c r="H196" s="16">
        <f>AVERAGE(ReturnData!H196:H206)</f>
        <v>2.6645454545454549E-2</v>
      </c>
      <c r="I196" s="16">
        <f>AVERAGE(ReturnData!I196:I206)</f>
        <v>7.3090909090909092E-3</v>
      </c>
      <c r="J196" s="16">
        <f>AVERAGE(ReturnData!J196:J206)</f>
        <v>1.9454545454545445E-3</v>
      </c>
      <c r="K196" s="16">
        <f>AVERAGE(ReturnData!K196:K206)</f>
        <v>6.9818181818181828E-3</v>
      </c>
      <c r="L196" s="16">
        <f>AVERAGE(ReturnData!L196:L206)</f>
        <v>8.6000000000000035E-3</v>
      </c>
      <c r="M196" s="16">
        <f>AVERAGE(ReturnData!M196:M206)</f>
        <v>-1.5281818181818179E-2</v>
      </c>
      <c r="N196" s="16">
        <f>AVERAGE(ReturnData!N196:N206)</f>
        <v>2.9272727272727293E-3</v>
      </c>
      <c r="O196" s="16">
        <f>AVERAGE(ReturnData!O196:O206)</f>
        <v>3.2818181818181813E-3</v>
      </c>
      <c r="P196" s="16">
        <f>AVERAGE(ReturnData!P196:P206)</f>
        <v>1.0981818181818185E-2</v>
      </c>
      <c r="Q196" s="16">
        <f>AVERAGE(ReturnData!Q196:Q206)</f>
        <v>-5.2181818181818171E-3</v>
      </c>
    </row>
    <row r="197" spans="1:17" x14ac:dyDescent="0.25">
      <c r="A197">
        <f>ReturnData!A209</f>
        <v>199104</v>
      </c>
      <c r="B197" s="16">
        <f>AVERAGE(ReturnData!B197:B207)</f>
        <v>2.9963636363636362E-2</v>
      </c>
      <c r="C197" s="16">
        <f>AVERAGE(ReturnData!C197:C207)</f>
        <v>-1.3218181818181822E-2</v>
      </c>
      <c r="D197" s="16">
        <f>AVERAGE(ReturnData!D197:D207)</f>
        <v>7.4363636363636351E-3</v>
      </c>
      <c r="E197" s="16">
        <f>AVERAGE(ReturnData!E197:E207)</f>
        <v>1.0663636363636365E-2</v>
      </c>
      <c r="F197" s="16">
        <f>AVERAGE(ReturnData!F197:F207)</f>
        <v>3.2909090909090891E-3</v>
      </c>
      <c r="G197" s="16">
        <f>AVERAGE(ReturnData!G197:G207)</f>
        <v>6.9909090909090902E-3</v>
      </c>
      <c r="H197" s="16">
        <f>AVERAGE(ReturnData!H197:H207)</f>
        <v>3.0727272727272725E-2</v>
      </c>
      <c r="I197" s="16">
        <f>AVERAGE(ReturnData!I197:I207)</f>
        <v>1.340909090909091E-2</v>
      </c>
      <c r="J197" s="16">
        <f>AVERAGE(ReturnData!J197:J207)</f>
        <v>2.2818181818181804E-3</v>
      </c>
      <c r="K197" s="16">
        <f>AVERAGE(ReturnData!K197:K207)</f>
        <v>7.9363636363636372E-3</v>
      </c>
      <c r="L197" s="16">
        <f>AVERAGE(ReturnData!L197:L207)</f>
        <v>1.0863636363636365E-2</v>
      </c>
      <c r="M197" s="16">
        <f>AVERAGE(ReturnData!M197:M207)</f>
        <v>-8.4545454545454542E-3</v>
      </c>
      <c r="N197" s="16">
        <f>AVERAGE(ReturnData!N197:N207)</f>
        <v>1.1272727272727281E-3</v>
      </c>
      <c r="O197" s="16">
        <f>AVERAGE(ReturnData!O197:O207)</f>
        <v>8.363636363636363E-3</v>
      </c>
      <c r="P197" s="16">
        <f>AVERAGE(ReturnData!P197:P207)</f>
        <v>1.3763636363636367E-2</v>
      </c>
      <c r="Q197" s="16">
        <f>AVERAGE(ReturnData!Q197:Q207)</f>
        <v>6.0818181818181796E-3</v>
      </c>
    </row>
    <row r="198" spans="1:17" x14ac:dyDescent="0.25">
      <c r="A198">
        <f>ReturnData!A210</f>
        <v>199105</v>
      </c>
      <c r="B198" s="16">
        <f>AVERAGE(ReturnData!B198:B208)</f>
        <v>3.4772727272727275E-2</v>
      </c>
      <c r="C198" s="16">
        <f>AVERAGE(ReturnData!C198:C208)</f>
        <v>-6.7272727272727258E-3</v>
      </c>
      <c r="D198" s="16">
        <f>AVERAGE(ReturnData!D198:D208)</f>
        <v>1.1872727272727273E-2</v>
      </c>
      <c r="E198" s="16">
        <f>AVERAGE(ReturnData!E198:E208)</f>
        <v>1.5972727272727274E-2</v>
      </c>
      <c r="F198" s="16">
        <f>AVERAGE(ReturnData!F198:F208)</f>
        <v>1.2699999999999996E-2</v>
      </c>
      <c r="G198" s="16">
        <f>AVERAGE(ReturnData!G198:G208)</f>
        <v>1.0481818181818182E-2</v>
      </c>
      <c r="H198" s="16">
        <f>AVERAGE(ReturnData!H198:H208)</f>
        <v>3.2963636363636362E-2</v>
      </c>
      <c r="I198" s="16">
        <f>AVERAGE(ReturnData!I198:I208)</f>
        <v>1.5572727272727271E-2</v>
      </c>
      <c r="J198" s="16">
        <f>AVERAGE(ReturnData!J198:J208)</f>
        <v>9.1272727272727235E-3</v>
      </c>
      <c r="K198" s="16">
        <f>AVERAGE(ReturnData!K198:K208)</f>
        <v>1.1409090909090909E-2</v>
      </c>
      <c r="L198" s="16">
        <f>AVERAGE(ReturnData!L198:L208)</f>
        <v>1.172727272727273E-2</v>
      </c>
      <c r="M198" s="16">
        <f>AVERAGE(ReturnData!M198:M208)</f>
        <v>-5.9636363636363593E-3</v>
      </c>
      <c r="N198" s="16">
        <f>AVERAGE(ReturnData!N198:N208)</f>
        <v>4.8636363636363651E-3</v>
      </c>
      <c r="O198" s="16">
        <f>AVERAGE(ReturnData!O198:O208)</f>
        <v>1.491818181818182E-2</v>
      </c>
      <c r="P198" s="16">
        <f>AVERAGE(ReturnData!P198:P208)</f>
        <v>2.4581818181818184E-2</v>
      </c>
      <c r="Q198" s="16">
        <f>AVERAGE(ReturnData!Q198:Q208)</f>
        <v>1.515454545454545E-2</v>
      </c>
    </row>
    <row r="199" spans="1:17" x14ac:dyDescent="0.25">
      <c r="A199">
        <f>ReturnData!A211</f>
        <v>199106</v>
      </c>
      <c r="B199" s="16">
        <f>AVERAGE(ReturnData!B199:B209)</f>
        <v>2.2745454545454544E-2</v>
      </c>
      <c r="C199" s="16">
        <f>AVERAGE(ReturnData!C199:C209)</f>
        <v>-1.323636363636364E-2</v>
      </c>
      <c r="D199" s="16">
        <f>AVERAGE(ReturnData!D199:D209)</f>
        <v>8.6454545454545447E-3</v>
      </c>
      <c r="E199" s="16">
        <f>AVERAGE(ReturnData!E199:E209)</f>
        <v>1.1609090909090913E-2</v>
      </c>
      <c r="F199" s="16">
        <f>AVERAGE(ReturnData!F199:F209)</f>
        <v>5.5909090909090917E-3</v>
      </c>
      <c r="G199" s="16">
        <f>AVERAGE(ReturnData!G199:G209)</f>
        <v>7.1454545454545442E-3</v>
      </c>
      <c r="H199" s="16">
        <f>AVERAGE(ReturnData!H199:H209)</f>
        <v>2.2836363636363641E-2</v>
      </c>
      <c r="I199" s="16">
        <f>AVERAGE(ReturnData!I199:I209)</f>
        <v>5.8545454545454508E-3</v>
      </c>
      <c r="J199" s="16">
        <f>AVERAGE(ReturnData!J199:J209)</f>
        <v>2.2999999999999995E-3</v>
      </c>
      <c r="K199" s="16">
        <f>AVERAGE(ReturnData!K199:K209)</f>
        <v>4.6272727272727264E-3</v>
      </c>
      <c r="L199" s="16">
        <f>AVERAGE(ReturnData!L199:L209)</f>
        <v>4.3636363636363279E-4</v>
      </c>
      <c r="M199" s="16">
        <f>AVERAGE(ReturnData!M199:M209)</f>
        <v>-1.5409090909090912E-2</v>
      </c>
      <c r="N199" s="16">
        <f>AVERAGE(ReturnData!N199:N209)</f>
        <v>-7.6363636363636217E-4</v>
      </c>
      <c r="O199" s="16">
        <f>AVERAGE(ReturnData!O199:O209)</f>
        <v>9.9454545454545473E-3</v>
      </c>
      <c r="P199" s="16">
        <f>AVERAGE(ReturnData!P199:P209)</f>
        <v>1.5818181818181818E-2</v>
      </c>
      <c r="Q199" s="16">
        <f>AVERAGE(ReturnData!Q199:Q209)</f>
        <v>8.3272727272727248E-3</v>
      </c>
    </row>
    <row r="200" spans="1:17" x14ac:dyDescent="0.25">
      <c r="A200">
        <f>ReturnData!A212</f>
        <v>199107</v>
      </c>
      <c r="B200" s="16">
        <f>AVERAGE(ReturnData!B200:B210)</f>
        <v>2.4063636363636363E-2</v>
      </c>
      <c r="C200" s="16">
        <f>AVERAGE(ReturnData!C200:C210)</f>
        <v>-6.7454545454545458E-3</v>
      </c>
      <c r="D200" s="16">
        <f>AVERAGE(ReturnData!D200:D210)</f>
        <v>9.3818181818181804E-3</v>
      </c>
      <c r="E200" s="16">
        <f>AVERAGE(ReturnData!E200:E210)</f>
        <v>1.7009090909090915E-2</v>
      </c>
      <c r="F200" s="16">
        <f>AVERAGE(ReturnData!F200:F210)</f>
        <v>1.111818181818182E-2</v>
      </c>
      <c r="G200" s="16">
        <f>AVERAGE(ReturnData!G200:G210)</f>
        <v>1.8290909090909094E-2</v>
      </c>
      <c r="H200" s="16">
        <f>AVERAGE(ReturnData!H200:H210)</f>
        <v>2.1872727272727269E-2</v>
      </c>
      <c r="I200" s="16">
        <f>AVERAGE(ReturnData!I200:I210)</f>
        <v>1.607272727272727E-2</v>
      </c>
      <c r="J200" s="16">
        <f>AVERAGE(ReturnData!J200:J210)</f>
        <v>7.4727272727272724E-3</v>
      </c>
      <c r="K200" s="16">
        <f>AVERAGE(ReturnData!K200:K210)</f>
        <v>9.4545454545454533E-3</v>
      </c>
      <c r="L200" s="16">
        <f>AVERAGE(ReturnData!L200:L210)</f>
        <v>7.0636363636363613E-3</v>
      </c>
      <c r="M200" s="16">
        <f>AVERAGE(ReturnData!M200:M210)</f>
        <v>9.4545454545454479E-4</v>
      </c>
      <c r="N200" s="16">
        <f>AVERAGE(ReturnData!N200:N210)</f>
        <v>6.1272727272727286E-3</v>
      </c>
      <c r="O200" s="16">
        <f>AVERAGE(ReturnData!O200:O210)</f>
        <v>9.4000000000000004E-3</v>
      </c>
      <c r="P200" s="16">
        <f>AVERAGE(ReturnData!P200:P210)</f>
        <v>2.1254545454545453E-2</v>
      </c>
      <c r="Q200" s="16">
        <f>AVERAGE(ReturnData!Q200:Q210)</f>
        <v>1.4272727272727275E-2</v>
      </c>
    </row>
    <row r="201" spans="1:17" x14ac:dyDescent="0.25">
      <c r="A201">
        <f>ReturnData!A213</f>
        <v>199108</v>
      </c>
      <c r="B201" s="16">
        <f>AVERAGE(ReturnData!B201:B211)</f>
        <v>1.9609090909090909E-2</v>
      </c>
      <c r="C201" s="16">
        <f>AVERAGE(ReturnData!C201:C211)</f>
        <v>-8.4909090909090854E-3</v>
      </c>
      <c r="D201" s="16">
        <f>AVERAGE(ReturnData!D201:D211)</f>
        <v>-1.563636363636363E-3</v>
      </c>
      <c r="E201" s="16">
        <f>AVERAGE(ReturnData!E201:E211)</f>
        <v>1.9045454545454549E-2</v>
      </c>
      <c r="F201" s="16">
        <f>AVERAGE(ReturnData!F201:F211)</f>
        <v>1.0154545454545453E-2</v>
      </c>
      <c r="G201" s="16">
        <f>AVERAGE(ReturnData!G201:G211)</f>
        <v>1.4572727272727275E-2</v>
      </c>
      <c r="H201" s="16">
        <f>AVERAGE(ReturnData!H201:H211)</f>
        <v>1.5127272727272729E-2</v>
      </c>
      <c r="I201" s="16">
        <f>AVERAGE(ReturnData!I201:I211)</f>
        <v>1.1381818181818182E-2</v>
      </c>
      <c r="J201" s="16">
        <f>AVERAGE(ReturnData!J201:J211)</f>
        <v>-1.9636363636363618E-3</v>
      </c>
      <c r="K201" s="16">
        <f>AVERAGE(ReturnData!K201:K211)</f>
        <v>1.0827272727272725E-2</v>
      </c>
      <c r="L201" s="16">
        <f>AVERAGE(ReturnData!L201:L211)</f>
        <v>3.3454545454545443E-3</v>
      </c>
      <c r="M201" s="16">
        <f>AVERAGE(ReturnData!M201:M211)</f>
        <v>2.1818181818181561E-4</v>
      </c>
      <c r="N201" s="16">
        <f>AVERAGE(ReturnData!N201:N211)</f>
        <v>5.32727272727273E-3</v>
      </c>
      <c r="O201" s="16">
        <f>AVERAGE(ReturnData!O201:O211)</f>
        <v>6.4363636363636376E-3</v>
      </c>
      <c r="P201" s="16">
        <f>AVERAGE(ReturnData!P201:P211)</f>
        <v>2.0100000000000003E-2</v>
      </c>
      <c r="Q201" s="16">
        <f>AVERAGE(ReturnData!Q201:Q211)</f>
        <v>1.3709090909090905E-2</v>
      </c>
    </row>
    <row r="202" spans="1:17" x14ac:dyDescent="0.25">
      <c r="A202">
        <f>ReturnData!A214</f>
        <v>199109</v>
      </c>
      <c r="B202" s="16">
        <f>AVERAGE(ReturnData!B202:B212)</f>
        <v>3.1627272727272733E-2</v>
      </c>
      <c r="C202" s="16">
        <f>AVERAGE(ReturnData!C202:C212)</f>
        <v>-4.109090909090906E-3</v>
      </c>
      <c r="D202" s="16">
        <f>AVERAGE(ReturnData!D202:D212)</f>
        <v>4.1909090909090915E-3</v>
      </c>
      <c r="E202" s="16">
        <f>AVERAGE(ReturnData!E202:E212)</f>
        <v>3.8645454545454545E-2</v>
      </c>
      <c r="F202" s="16">
        <f>AVERAGE(ReturnData!F202:F212)</f>
        <v>2.0809090909090912E-2</v>
      </c>
      <c r="G202" s="16">
        <f>AVERAGE(ReturnData!G202:G212)</f>
        <v>3.101818181818182E-2</v>
      </c>
      <c r="H202" s="16">
        <f>AVERAGE(ReturnData!H202:H212)</f>
        <v>2.869090909090909E-2</v>
      </c>
      <c r="I202" s="16">
        <f>AVERAGE(ReturnData!I202:I212)</f>
        <v>2.7063636363636366E-2</v>
      </c>
      <c r="J202" s="16">
        <f>AVERAGE(ReturnData!J202:J212)</f>
        <v>1.1381818181818186E-2</v>
      </c>
      <c r="K202" s="16">
        <f>AVERAGE(ReturnData!K202:K212)</f>
        <v>2.6018181818181819E-2</v>
      </c>
      <c r="L202" s="16">
        <f>AVERAGE(ReturnData!L202:L212)</f>
        <v>1.7654545454545454E-2</v>
      </c>
      <c r="M202" s="16">
        <f>AVERAGE(ReturnData!M202:M212)</f>
        <v>1.1754545454545457E-2</v>
      </c>
      <c r="N202" s="16">
        <f>AVERAGE(ReturnData!N202:N212)</f>
        <v>2.1518181818181818E-2</v>
      </c>
      <c r="O202" s="16">
        <f>AVERAGE(ReturnData!O202:O212)</f>
        <v>1.6081818181818183E-2</v>
      </c>
      <c r="P202" s="16">
        <f>AVERAGE(ReturnData!P202:P212)</f>
        <v>3.6418181818181822E-2</v>
      </c>
      <c r="Q202" s="16">
        <f>AVERAGE(ReturnData!Q202:Q212)</f>
        <v>2.8927272727272722E-2</v>
      </c>
    </row>
    <row r="203" spans="1:17" x14ac:dyDescent="0.25">
      <c r="A203">
        <f>ReturnData!A215</f>
        <v>199110</v>
      </c>
      <c r="B203" s="16">
        <f>AVERAGE(ReturnData!B203:B213)</f>
        <v>3.9809090909090912E-2</v>
      </c>
      <c r="C203" s="16">
        <f>AVERAGE(ReturnData!C203:C213)</f>
        <v>-8.4363636363636377E-3</v>
      </c>
      <c r="D203" s="16">
        <f>AVERAGE(ReturnData!D203:D213)</f>
        <v>6.7454545454545458E-3</v>
      </c>
      <c r="E203" s="16">
        <f>AVERAGE(ReturnData!E203:E213)</f>
        <v>5.7145454545454548E-2</v>
      </c>
      <c r="F203" s="16">
        <f>AVERAGE(ReturnData!F203:F213)</f>
        <v>3.2454545454545458E-2</v>
      </c>
      <c r="G203" s="16">
        <f>AVERAGE(ReturnData!G203:G213)</f>
        <v>3.7909090909090906E-2</v>
      </c>
      <c r="H203" s="16">
        <f>AVERAGE(ReturnData!H203:H213)</f>
        <v>3.5799999999999992E-2</v>
      </c>
      <c r="I203" s="16">
        <f>AVERAGE(ReturnData!I203:I213)</f>
        <v>3.8427272727272727E-2</v>
      </c>
      <c r="J203" s="16">
        <f>AVERAGE(ReturnData!J203:J213)</f>
        <v>1.7663636363636364E-2</v>
      </c>
      <c r="K203" s="16">
        <f>AVERAGE(ReturnData!K203:K213)</f>
        <v>3.7390909090909086E-2</v>
      </c>
      <c r="L203" s="16">
        <f>AVERAGE(ReturnData!L203:L213)</f>
        <v>2.5581818181818181E-2</v>
      </c>
      <c r="M203" s="16">
        <f>AVERAGE(ReturnData!M203:M213)</f>
        <v>1.8636363636363642E-2</v>
      </c>
      <c r="N203" s="16">
        <f>AVERAGE(ReturnData!N203:N213)</f>
        <v>2.9518181818181818E-2</v>
      </c>
      <c r="O203" s="16">
        <f>AVERAGE(ReturnData!O203:O213)</f>
        <v>1.8836363636363634E-2</v>
      </c>
      <c r="P203" s="16">
        <f>AVERAGE(ReturnData!P203:P213)</f>
        <v>4.8745454545454557E-2</v>
      </c>
      <c r="Q203" s="16">
        <f>AVERAGE(ReturnData!Q203:Q213)</f>
        <v>4.3481818181818177E-2</v>
      </c>
    </row>
    <row r="204" spans="1:17" x14ac:dyDescent="0.25">
      <c r="A204">
        <f>ReturnData!A216</f>
        <v>199111</v>
      </c>
      <c r="B204" s="16">
        <f>AVERAGE(ReturnData!B204:B214)</f>
        <v>3.2372727272727268E-2</v>
      </c>
      <c r="C204" s="16">
        <f>AVERAGE(ReturnData!C204:C214)</f>
        <v>9.5272727272727297E-3</v>
      </c>
      <c r="D204" s="16">
        <f>AVERAGE(ReturnData!D204:D214)</f>
        <v>9.7545454545454532E-3</v>
      </c>
      <c r="E204" s="16">
        <f>AVERAGE(ReturnData!E204:E214)</f>
        <v>6.7772727272727276E-2</v>
      </c>
      <c r="F204" s="16">
        <f>AVERAGE(ReturnData!F204:F214)</f>
        <v>3.7654545454545468E-2</v>
      </c>
      <c r="G204" s="16">
        <f>AVERAGE(ReturnData!G204:G214)</f>
        <v>3.3854545454545457E-2</v>
      </c>
      <c r="H204" s="16">
        <f>AVERAGE(ReturnData!H204:H214)</f>
        <v>3.2636363636363637E-2</v>
      </c>
      <c r="I204" s="16">
        <f>AVERAGE(ReturnData!I204:I214)</f>
        <v>4.1454545454545459E-2</v>
      </c>
      <c r="J204" s="16">
        <f>AVERAGE(ReturnData!J204:J214)</f>
        <v>2.5036363636363634E-2</v>
      </c>
      <c r="K204" s="16">
        <f>AVERAGE(ReturnData!K204:K214)</f>
        <v>3.9399999999999998E-2</v>
      </c>
      <c r="L204" s="16">
        <f>AVERAGE(ReturnData!L204:L214)</f>
        <v>2.7009090909090913E-2</v>
      </c>
      <c r="M204" s="16">
        <f>AVERAGE(ReturnData!M204:M214)</f>
        <v>1.9018181818181819E-2</v>
      </c>
      <c r="N204" s="16">
        <f>AVERAGE(ReturnData!N204:N214)</f>
        <v>2.9354545454545453E-2</v>
      </c>
      <c r="O204" s="16">
        <f>AVERAGE(ReturnData!O204:O214)</f>
        <v>1.5636363636363639E-2</v>
      </c>
      <c r="P204" s="16">
        <f>AVERAGE(ReturnData!P204:P214)</f>
        <v>4.7936363636363645E-2</v>
      </c>
      <c r="Q204" s="16">
        <f>AVERAGE(ReturnData!Q204:Q214)</f>
        <v>4.9754545454545454E-2</v>
      </c>
    </row>
    <row r="205" spans="1:17" x14ac:dyDescent="0.25">
      <c r="A205">
        <f>ReturnData!A217</f>
        <v>199112</v>
      </c>
      <c r="B205" s="16">
        <f>AVERAGE(ReturnData!B205:B215)</f>
        <v>2.7563636363636367E-2</v>
      </c>
      <c r="C205" s="16">
        <f>AVERAGE(ReturnData!C205:C215)</f>
        <v>1.3254545454545456E-2</v>
      </c>
      <c r="D205" s="16">
        <f>AVERAGE(ReturnData!D205:D215)</f>
        <v>1.0218181818181819E-2</v>
      </c>
      <c r="E205" s="16">
        <f>AVERAGE(ReturnData!E205:E215)</f>
        <v>5.2563636363636368E-2</v>
      </c>
      <c r="F205" s="16">
        <f>AVERAGE(ReturnData!F205:F215)</f>
        <v>3.2190909090909096E-2</v>
      </c>
      <c r="G205" s="16">
        <f>AVERAGE(ReturnData!G205:G215)</f>
        <v>2.7127272727272726E-2</v>
      </c>
      <c r="H205" s="16">
        <f>AVERAGE(ReturnData!H205:H215)</f>
        <v>2.9090909090909087E-2</v>
      </c>
      <c r="I205" s="16">
        <f>AVERAGE(ReturnData!I205:I215)</f>
        <v>2.980909090909091E-2</v>
      </c>
      <c r="J205" s="16">
        <f>AVERAGE(ReturnData!J205:J215)</f>
        <v>2.1509090909090908E-2</v>
      </c>
      <c r="K205" s="16">
        <f>AVERAGE(ReturnData!K205:K215)</f>
        <v>3.1027272727272733E-2</v>
      </c>
      <c r="L205" s="16">
        <f>AVERAGE(ReturnData!L205:L215)</f>
        <v>1.7918181818181819E-2</v>
      </c>
      <c r="M205" s="16">
        <f>AVERAGE(ReturnData!M205:M215)</f>
        <v>1.3027272727272731E-2</v>
      </c>
      <c r="N205" s="16">
        <f>AVERAGE(ReturnData!N205:N215)</f>
        <v>2.9799999999999997E-2</v>
      </c>
      <c r="O205" s="16">
        <f>AVERAGE(ReturnData!O205:O215)</f>
        <v>1.4690909090909093E-2</v>
      </c>
      <c r="P205" s="16">
        <f>AVERAGE(ReturnData!P205:P215)</f>
        <v>3.5181818181818175E-2</v>
      </c>
      <c r="Q205" s="16">
        <f>AVERAGE(ReturnData!Q205:Q215)</f>
        <v>3.8654545454545448E-2</v>
      </c>
    </row>
    <row r="206" spans="1:17" x14ac:dyDescent="0.25">
      <c r="A206">
        <f>ReturnData!A218</f>
        <v>199201</v>
      </c>
      <c r="B206" s="16">
        <f>AVERAGE(ReturnData!B206:B216)</f>
        <v>2.4654545454545453E-2</v>
      </c>
      <c r="C206" s="16">
        <f>AVERAGE(ReturnData!C206:C216)</f>
        <v>4.4000000000000003E-3</v>
      </c>
      <c r="D206" s="16">
        <f>AVERAGE(ReturnData!D206:D216)</f>
        <v>5.118181818181816E-3</v>
      </c>
      <c r="E206" s="16">
        <f>AVERAGE(ReturnData!E206:E216)</f>
        <v>4.1763636363636371E-2</v>
      </c>
      <c r="F206" s="16">
        <f>AVERAGE(ReturnData!F206:F216)</f>
        <v>2.8545454545454551E-2</v>
      </c>
      <c r="G206" s="16">
        <f>AVERAGE(ReturnData!G206:G216)</f>
        <v>1.9181818181818185E-2</v>
      </c>
      <c r="H206" s="16">
        <f>AVERAGE(ReturnData!H206:H216)</f>
        <v>2.4381818181818182E-2</v>
      </c>
      <c r="I206" s="16">
        <f>AVERAGE(ReturnData!I206:I216)</f>
        <v>2.3054545454545449E-2</v>
      </c>
      <c r="J206" s="16">
        <f>AVERAGE(ReturnData!J206:J216)</f>
        <v>7.2727272727272719E-3</v>
      </c>
      <c r="K206" s="16">
        <f>AVERAGE(ReturnData!K206:K216)</f>
        <v>2.5236363636363637E-2</v>
      </c>
      <c r="L206" s="16">
        <f>AVERAGE(ReturnData!L206:L216)</f>
        <v>8.4636363636363659E-3</v>
      </c>
      <c r="M206" s="16">
        <f>AVERAGE(ReturnData!M206:M216)</f>
        <v>6.8000000000000057E-3</v>
      </c>
      <c r="N206" s="16">
        <f>AVERAGE(ReturnData!N206:N216)</f>
        <v>1.9172727272727275E-2</v>
      </c>
      <c r="O206" s="16">
        <f>AVERAGE(ReturnData!O206:O216)</f>
        <v>1.5700000000000002E-2</v>
      </c>
      <c r="P206" s="16">
        <f>AVERAGE(ReturnData!P206:P216)</f>
        <v>3.1627272727272726E-2</v>
      </c>
      <c r="Q206" s="16">
        <f>AVERAGE(ReturnData!Q206:Q216)</f>
        <v>2.8900000000000006E-2</v>
      </c>
    </row>
    <row r="207" spans="1:17" x14ac:dyDescent="0.25">
      <c r="A207">
        <f>ReturnData!A219</f>
        <v>199202</v>
      </c>
      <c r="B207" s="16">
        <f>AVERAGE(ReturnData!B207:B217)</f>
        <v>3.5209090909090905E-2</v>
      </c>
      <c r="C207" s="16">
        <f>AVERAGE(ReturnData!C207:C217)</f>
        <v>1.2390909090909091E-2</v>
      </c>
      <c r="D207" s="16">
        <f>AVERAGE(ReturnData!D207:D217)</f>
        <v>9.0090909090909058E-3</v>
      </c>
      <c r="E207" s="16">
        <f>AVERAGE(ReturnData!E207:E217)</f>
        <v>4.0372727272727275E-2</v>
      </c>
      <c r="F207" s="16">
        <f>AVERAGE(ReturnData!F207:F217)</f>
        <v>3.0263636363636361E-2</v>
      </c>
      <c r="G207" s="16">
        <f>AVERAGE(ReturnData!G207:G217)</f>
        <v>2.3227272727272732E-2</v>
      </c>
      <c r="H207" s="16">
        <f>AVERAGE(ReturnData!H207:H217)</f>
        <v>3.6900000000000002E-2</v>
      </c>
      <c r="I207" s="16">
        <f>AVERAGE(ReturnData!I207:I217)</f>
        <v>2.9709090909090907E-2</v>
      </c>
      <c r="J207" s="16">
        <f>AVERAGE(ReturnData!J207:J217)</f>
        <v>6.2363636363636397E-3</v>
      </c>
      <c r="K207" s="16">
        <f>AVERAGE(ReturnData!K207:K217)</f>
        <v>2.4399999999999998E-2</v>
      </c>
      <c r="L207" s="16">
        <f>AVERAGE(ReturnData!L207:L217)</f>
        <v>5.854545454545456E-3</v>
      </c>
      <c r="M207" s="16">
        <f>AVERAGE(ReturnData!M207:M217)</f>
        <v>6.6818181818181829E-3</v>
      </c>
      <c r="N207" s="16">
        <f>AVERAGE(ReturnData!N207:N217)</f>
        <v>2.1354545454545456E-2</v>
      </c>
      <c r="O207" s="16">
        <f>AVERAGE(ReturnData!O207:O217)</f>
        <v>2.1481818181818182E-2</v>
      </c>
      <c r="P207" s="16">
        <f>AVERAGE(ReturnData!P207:P217)</f>
        <v>3.4018181818181822E-2</v>
      </c>
      <c r="Q207" s="16">
        <f>AVERAGE(ReturnData!Q207:Q217)</f>
        <v>3.4463636363636363E-2</v>
      </c>
    </row>
    <row r="208" spans="1:17" x14ac:dyDescent="0.25">
      <c r="A208">
        <f>ReturnData!A220</f>
        <v>199203</v>
      </c>
      <c r="B208" s="16">
        <f>AVERAGE(ReturnData!B208:B218)</f>
        <v>2.0518181818181821E-2</v>
      </c>
      <c r="C208" s="16">
        <f>AVERAGE(ReturnData!C208:C218)</f>
        <v>1.0136363636363636E-2</v>
      </c>
      <c r="D208" s="16">
        <f>AVERAGE(ReturnData!D208:D218)</f>
        <v>-2.5545454545454547E-3</v>
      </c>
      <c r="E208" s="16">
        <f>AVERAGE(ReturnData!E208:E218)</f>
        <v>3.2372727272727268E-2</v>
      </c>
      <c r="F208" s="16">
        <f>AVERAGE(ReturnData!F208:F218)</f>
        <v>2.7490909090909087E-2</v>
      </c>
      <c r="G208" s="16">
        <f>AVERAGE(ReturnData!G208:G218)</f>
        <v>1.8145454545454548E-2</v>
      </c>
      <c r="H208" s="16">
        <f>AVERAGE(ReturnData!H208:H218)</f>
        <v>2.458181818181818E-2</v>
      </c>
      <c r="I208" s="16">
        <f>AVERAGE(ReturnData!I208:I218)</f>
        <v>2.1445454545454549E-2</v>
      </c>
      <c r="J208" s="16">
        <f>AVERAGE(ReturnData!J208:J218)</f>
        <v>3.1363636363636381E-3</v>
      </c>
      <c r="K208" s="16">
        <f>AVERAGE(ReturnData!K208:K218)</f>
        <v>2.2400000000000003E-2</v>
      </c>
      <c r="L208" s="16">
        <f>AVERAGE(ReturnData!L208:L218)</f>
        <v>4.1545454545454559E-3</v>
      </c>
      <c r="M208" s="16">
        <f>AVERAGE(ReturnData!M208:M218)</f>
        <v>5.6181818181818199E-3</v>
      </c>
      <c r="N208" s="16">
        <f>AVERAGE(ReturnData!N208:N218)</f>
        <v>1.9100000000000002E-2</v>
      </c>
      <c r="O208" s="16">
        <f>AVERAGE(ReturnData!O208:O218)</f>
        <v>1.2927272727272726E-2</v>
      </c>
      <c r="P208" s="16">
        <f>AVERAGE(ReturnData!P208:P218)</f>
        <v>2.7390909090909091E-2</v>
      </c>
      <c r="Q208" s="16">
        <f>AVERAGE(ReturnData!Q208:Q218)</f>
        <v>2.5354545454545453E-2</v>
      </c>
    </row>
    <row r="209" spans="1:17" x14ac:dyDescent="0.25">
      <c r="A209">
        <f>ReturnData!A221</f>
        <v>199204</v>
      </c>
      <c r="B209" s="16">
        <f>AVERAGE(ReturnData!B209:B219)</f>
        <v>1.5254545454545458E-2</v>
      </c>
      <c r="C209" s="16">
        <f>AVERAGE(ReturnData!C209:C219)</f>
        <v>1.1236363636363636E-2</v>
      </c>
      <c r="D209" s="16">
        <f>AVERAGE(ReturnData!D209:D219)</f>
        <v>-4.218181818181818E-3</v>
      </c>
      <c r="E209" s="16">
        <f>AVERAGE(ReturnData!E209:E219)</f>
        <v>3.2227272727272722E-2</v>
      </c>
      <c r="F209" s="16">
        <f>AVERAGE(ReturnData!F209:F219)</f>
        <v>2.3599999999999999E-2</v>
      </c>
      <c r="G209" s="16">
        <f>AVERAGE(ReturnData!G209:G219)</f>
        <v>2.0454545454545461E-2</v>
      </c>
      <c r="H209" s="16">
        <f>AVERAGE(ReturnData!H209:H219)</f>
        <v>1.95E-2</v>
      </c>
      <c r="I209" s="16">
        <f>AVERAGE(ReturnData!I209:I219)</f>
        <v>2.2945454545454543E-2</v>
      </c>
      <c r="J209" s="16">
        <f>AVERAGE(ReturnData!J209:J219)</f>
        <v>9.072727272727274E-3</v>
      </c>
      <c r="K209" s="16">
        <f>AVERAGE(ReturnData!K209:K219)</f>
        <v>2.1745454545454547E-2</v>
      </c>
      <c r="L209" s="16">
        <f>AVERAGE(ReturnData!L209:L219)</f>
        <v>8.61818181818182E-3</v>
      </c>
      <c r="M209" s="16">
        <f>AVERAGE(ReturnData!M209:M219)</f>
        <v>2.0509090909090911E-2</v>
      </c>
      <c r="N209" s="16">
        <f>AVERAGE(ReturnData!N209:N219)</f>
        <v>2.0581818181818184E-2</v>
      </c>
      <c r="O209" s="16">
        <f>AVERAGE(ReturnData!O209:O219)</f>
        <v>1.0245454545454545E-2</v>
      </c>
      <c r="P209" s="16">
        <f>AVERAGE(ReturnData!P209:P219)</f>
        <v>2.0799999999999999E-2</v>
      </c>
      <c r="Q209" s="16">
        <f>AVERAGE(ReturnData!Q209:Q219)</f>
        <v>2.2754545454545451E-2</v>
      </c>
    </row>
    <row r="210" spans="1:17" x14ac:dyDescent="0.25">
      <c r="A210">
        <f>ReturnData!A222</f>
        <v>199205</v>
      </c>
      <c r="B210" s="16">
        <f>AVERAGE(ReturnData!B210:B220)</f>
        <v>1.5400000000000002E-2</v>
      </c>
      <c r="C210" s="16">
        <f>AVERAGE(ReturnData!C210:C220)</f>
        <v>3.1727272727272728E-3</v>
      </c>
      <c r="D210" s="16">
        <f>AVERAGE(ReturnData!D210:D220)</f>
        <v>-9.1909090909090916E-3</v>
      </c>
      <c r="E210" s="16">
        <f>AVERAGE(ReturnData!E210:E220)</f>
        <v>2.9290909090909086E-2</v>
      </c>
      <c r="F210" s="16">
        <f>AVERAGE(ReturnData!F210:F220)</f>
        <v>2.1454545454545452E-2</v>
      </c>
      <c r="G210" s="16">
        <f>AVERAGE(ReturnData!G210:G220)</f>
        <v>1.7872727272727276E-2</v>
      </c>
      <c r="H210" s="16">
        <f>AVERAGE(ReturnData!H210:H220)</f>
        <v>1.617272727272728E-2</v>
      </c>
      <c r="I210" s="16">
        <f>AVERAGE(ReturnData!I210:I220)</f>
        <v>2.0927272727272725E-2</v>
      </c>
      <c r="J210" s="16">
        <f>AVERAGE(ReturnData!J210:J220)</f>
        <v>8.0272727272727284E-3</v>
      </c>
      <c r="K210" s="16">
        <f>AVERAGE(ReturnData!K210:K220)</f>
        <v>1.7436363636363635E-2</v>
      </c>
      <c r="L210" s="16">
        <f>AVERAGE(ReturnData!L210:L220)</f>
        <v>7.1272727272727269E-3</v>
      </c>
      <c r="M210" s="16">
        <f>AVERAGE(ReturnData!M210:M220)</f>
        <v>2.3618181818181819E-2</v>
      </c>
      <c r="N210" s="16">
        <f>AVERAGE(ReturnData!N210:N220)</f>
        <v>1.7418181818181819E-2</v>
      </c>
      <c r="O210" s="16">
        <f>AVERAGE(ReturnData!O210:O220)</f>
        <v>9.8000000000000014E-3</v>
      </c>
      <c r="P210" s="16">
        <f>AVERAGE(ReturnData!P210:P220)</f>
        <v>1.7600000000000001E-2</v>
      </c>
      <c r="Q210" s="16">
        <f>AVERAGE(ReturnData!Q210:Q220)</f>
        <v>2.0381818181818182E-2</v>
      </c>
    </row>
    <row r="211" spans="1:17" x14ac:dyDescent="0.25">
      <c r="A211">
        <f>ReturnData!A223</f>
        <v>199206</v>
      </c>
      <c r="B211" s="16">
        <f>AVERAGE(ReturnData!B211:B221)</f>
        <v>1.2236363636363639E-2</v>
      </c>
      <c r="C211" s="16">
        <f>AVERAGE(ReturnData!C211:C221)</f>
        <v>-3.6363636363636367E-4</v>
      </c>
      <c r="D211" s="16">
        <f>AVERAGE(ReturnData!D211:D221)</f>
        <v>5.6363636363636338E-4</v>
      </c>
      <c r="E211" s="16">
        <f>AVERAGE(ReturnData!E211:E221)</f>
        <v>2.3772727272727268E-2</v>
      </c>
      <c r="F211" s="16">
        <f>AVERAGE(ReturnData!F211:F221)</f>
        <v>1.669090909090909E-2</v>
      </c>
      <c r="G211" s="16">
        <f>AVERAGE(ReturnData!G211:G221)</f>
        <v>1.4354545454545453E-2</v>
      </c>
      <c r="H211" s="16">
        <f>AVERAGE(ReturnData!H211:H221)</f>
        <v>1.2563636363636362E-2</v>
      </c>
      <c r="I211" s="16">
        <f>AVERAGE(ReturnData!I211:I221)</f>
        <v>1.3145454545454545E-2</v>
      </c>
      <c r="J211" s="16">
        <f>AVERAGE(ReturnData!J211:J221)</f>
        <v>7.545454545454547E-3</v>
      </c>
      <c r="K211" s="16">
        <f>AVERAGE(ReturnData!K211:K221)</f>
        <v>1.3072727272727274E-2</v>
      </c>
      <c r="L211" s="16">
        <f>AVERAGE(ReturnData!L211:L221)</f>
        <v>2.336363636363639E-3</v>
      </c>
      <c r="M211" s="16">
        <f>AVERAGE(ReturnData!M211:M221)</f>
        <v>1.8700000000000001E-2</v>
      </c>
      <c r="N211" s="16">
        <f>AVERAGE(ReturnData!N211:N221)</f>
        <v>1.381818181818182E-2</v>
      </c>
      <c r="O211" s="16">
        <f>AVERAGE(ReturnData!O211:O221)</f>
        <v>1.210909090909091E-2</v>
      </c>
      <c r="P211" s="16">
        <f>AVERAGE(ReturnData!P211:P221)</f>
        <v>6.9727272727272745E-3</v>
      </c>
      <c r="Q211" s="16">
        <f>AVERAGE(ReturnData!Q211:Q221)</f>
        <v>1.6954545454545451E-2</v>
      </c>
    </row>
    <row r="212" spans="1:17" x14ac:dyDescent="0.25">
      <c r="A212">
        <f>ReturnData!A224</f>
        <v>199207</v>
      </c>
      <c r="B212" s="16">
        <f>AVERAGE(ReturnData!B212:B222)</f>
        <v>1.7990909090909092E-2</v>
      </c>
      <c r="C212" s="16">
        <f>AVERAGE(ReturnData!C212:C222)</f>
        <v>-1.3636363636363648E-4</v>
      </c>
      <c r="D212" s="16">
        <f>AVERAGE(ReturnData!D212:D222)</f>
        <v>6.9454545454545455E-3</v>
      </c>
      <c r="E212" s="16">
        <f>AVERAGE(ReturnData!E212:E222)</f>
        <v>2.3763636363636362E-2</v>
      </c>
      <c r="F212" s="16">
        <f>AVERAGE(ReturnData!F212:F222)</f>
        <v>2.1809090909090906E-2</v>
      </c>
      <c r="G212" s="16">
        <f>AVERAGE(ReturnData!G212:G222)</f>
        <v>1.6881818181818185E-2</v>
      </c>
      <c r="H212" s="16">
        <f>AVERAGE(ReturnData!H212:H222)</f>
        <v>1.7345454545454546E-2</v>
      </c>
      <c r="I212" s="16">
        <f>AVERAGE(ReturnData!I212:I222)</f>
        <v>2.0436363636363634E-2</v>
      </c>
      <c r="J212" s="16">
        <f>AVERAGE(ReturnData!J212:J222)</f>
        <v>1.2709090909090913E-2</v>
      </c>
      <c r="K212" s="16">
        <f>AVERAGE(ReturnData!K212:K222)</f>
        <v>1.212727272727273E-2</v>
      </c>
      <c r="L212" s="16">
        <f>AVERAGE(ReturnData!L212:L222)</f>
        <v>8.9181818181818199E-3</v>
      </c>
      <c r="M212" s="16">
        <f>AVERAGE(ReturnData!M212:M222)</f>
        <v>2.0236363636363632E-2</v>
      </c>
      <c r="N212" s="16">
        <f>AVERAGE(ReturnData!N212:N222)</f>
        <v>1.6227272727272729E-2</v>
      </c>
      <c r="O212" s="16">
        <f>AVERAGE(ReturnData!O212:O222)</f>
        <v>1.6572727272727274E-2</v>
      </c>
      <c r="P212" s="16">
        <f>AVERAGE(ReturnData!P212:P222)</f>
        <v>1.0818181818181819E-2</v>
      </c>
      <c r="Q212" s="16">
        <f>AVERAGE(ReturnData!Q212:Q222)</f>
        <v>2.408181818181818E-2</v>
      </c>
    </row>
    <row r="213" spans="1:17" x14ac:dyDescent="0.25">
      <c r="A213">
        <f>ReturnData!A225</f>
        <v>199208</v>
      </c>
      <c r="B213" s="16">
        <f>AVERAGE(ReturnData!B213:B223)</f>
        <v>1.0281818181818182E-2</v>
      </c>
      <c r="C213" s="16">
        <f>AVERAGE(ReturnData!C213:C223)</f>
        <v>8.127272727272726E-3</v>
      </c>
      <c r="D213" s="16">
        <f>AVERAGE(ReturnData!D213:D223)</f>
        <v>-7.5454545454545533E-4</v>
      </c>
      <c r="E213" s="16">
        <f>AVERAGE(ReturnData!E213:E223)</f>
        <v>1.3136363636363634E-2</v>
      </c>
      <c r="F213" s="16">
        <f>AVERAGE(ReturnData!F213:F223)</f>
        <v>1.4481818181818181E-2</v>
      </c>
      <c r="G213" s="16">
        <f>AVERAGE(ReturnData!G213:G223)</f>
        <v>7.7909090909090905E-3</v>
      </c>
      <c r="H213" s="16">
        <f>AVERAGE(ReturnData!H213:H223)</f>
        <v>5.2909090909090944E-3</v>
      </c>
      <c r="I213" s="16">
        <f>AVERAGE(ReturnData!I213:I223)</f>
        <v>1.1145454545454543E-2</v>
      </c>
      <c r="J213" s="16">
        <f>AVERAGE(ReturnData!J213:J223)</f>
        <v>1.0427272727272728E-2</v>
      </c>
      <c r="K213" s="16">
        <f>AVERAGE(ReturnData!K213:K223)</f>
        <v>2.4636363636363649E-3</v>
      </c>
      <c r="L213" s="16">
        <f>AVERAGE(ReturnData!L213:L223)</f>
        <v>4.1727272727272733E-3</v>
      </c>
      <c r="M213" s="16">
        <f>AVERAGE(ReturnData!M213:M223)</f>
        <v>2.4909090909090905E-2</v>
      </c>
      <c r="N213" s="16">
        <f>AVERAGE(ReturnData!N213:N223)</f>
        <v>7.8090909090909096E-3</v>
      </c>
      <c r="O213" s="16">
        <f>AVERAGE(ReturnData!O213:O223)</f>
        <v>1.3436363636363635E-2</v>
      </c>
      <c r="P213" s="16">
        <f>AVERAGE(ReturnData!P213:P223)</f>
        <v>4.9818181818181836E-3</v>
      </c>
      <c r="Q213" s="16">
        <f>AVERAGE(ReturnData!Q213:Q223)</f>
        <v>1.996363636363636E-2</v>
      </c>
    </row>
    <row r="214" spans="1:17" x14ac:dyDescent="0.25">
      <c r="A214">
        <f>ReturnData!A226</f>
        <v>199209</v>
      </c>
      <c r="B214" s="16">
        <f>AVERAGE(ReturnData!B214:B224)</f>
        <v>9.5272727272727297E-3</v>
      </c>
      <c r="C214" s="16">
        <f>AVERAGE(ReturnData!C214:C224)</f>
        <v>1.4245454545454546E-2</v>
      </c>
      <c r="D214" s="16">
        <f>AVERAGE(ReturnData!D214:D224)</f>
        <v>3.0454545454545452E-3</v>
      </c>
      <c r="E214" s="16">
        <f>AVERAGE(ReturnData!E214:E224)</f>
        <v>1.3327272727272722E-2</v>
      </c>
      <c r="F214" s="16">
        <f>AVERAGE(ReturnData!F214:F224)</f>
        <v>1.4509090909090906E-2</v>
      </c>
      <c r="G214" s="16">
        <f>AVERAGE(ReturnData!G214:G224)</f>
        <v>1.0799999999999999E-2</v>
      </c>
      <c r="H214" s="16">
        <f>AVERAGE(ReturnData!H214:H224)</f>
        <v>7.9000000000000025E-3</v>
      </c>
      <c r="I214" s="16">
        <f>AVERAGE(ReturnData!I214:I224)</f>
        <v>1.3736363636363637E-2</v>
      </c>
      <c r="J214" s="16">
        <f>AVERAGE(ReturnData!J214:J224)</f>
        <v>9.5818181818181844E-3</v>
      </c>
      <c r="K214" s="16">
        <f>AVERAGE(ReturnData!K214:K224)</f>
        <v>4.8818181818181825E-3</v>
      </c>
      <c r="L214" s="16">
        <f>AVERAGE(ReturnData!L214:L224)</f>
        <v>4.5636363636363643E-3</v>
      </c>
      <c r="M214" s="16">
        <f>AVERAGE(ReturnData!M214:M224)</f>
        <v>2.6981818181818176E-2</v>
      </c>
      <c r="N214" s="16">
        <f>AVERAGE(ReturnData!N214:N224)</f>
        <v>8.4636363636363624E-3</v>
      </c>
      <c r="O214" s="16">
        <f>AVERAGE(ReturnData!O214:O224)</f>
        <v>1.6354545454545455E-2</v>
      </c>
      <c r="P214" s="16">
        <f>AVERAGE(ReturnData!P214:P224)</f>
        <v>4.072727272727273E-3</v>
      </c>
      <c r="Q214" s="16">
        <f>AVERAGE(ReturnData!Q214:Q224)</f>
        <v>1.9054545454545449E-2</v>
      </c>
    </row>
    <row r="215" spans="1:17" x14ac:dyDescent="0.25">
      <c r="A215">
        <f>ReturnData!A227</f>
        <v>199210</v>
      </c>
      <c r="B215" s="16">
        <f>AVERAGE(ReturnData!B215:B225)</f>
        <v>1.4490909090909089E-2</v>
      </c>
      <c r="C215" s="16">
        <f>AVERAGE(ReturnData!C215:C225)</f>
        <v>6.6454545454545429E-3</v>
      </c>
      <c r="D215" s="16">
        <f>AVERAGE(ReturnData!D215:D225)</f>
        <v>5.9818181818181802E-3</v>
      </c>
      <c r="E215" s="16">
        <f>AVERAGE(ReturnData!E215:E225)</f>
        <v>9.2818181818181758E-3</v>
      </c>
      <c r="F215" s="16">
        <f>AVERAGE(ReturnData!F215:F225)</f>
        <v>1.1727272727272727E-2</v>
      </c>
      <c r="G215" s="16">
        <f>AVERAGE(ReturnData!G215:G225)</f>
        <v>9.6818181818181803E-3</v>
      </c>
      <c r="H215" s="16">
        <f>AVERAGE(ReturnData!H215:H225)</f>
        <v>5.636363636363639E-3</v>
      </c>
      <c r="I215" s="16">
        <f>AVERAGE(ReturnData!I215:I225)</f>
        <v>1.6163636363636366E-2</v>
      </c>
      <c r="J215" s="16">
        <f>AVERAGE(ReturnData!J215:J225)</f>
        <v>4.29090909090909E-3</v>
      </c>
      <c r="K215" s="16">
        <f>AVERAGE(ReturnData!K215:K225)</f>
        <v>5.5363636363636387E-3</v>
      </c>
      <c r="L215" s="16">
        <f>AVERAGE(ReturnData!L215:L225)</f>
        <v>3.2545454545454557E-3</v>
      </c>
      <c r="M215" s="16">
        <f>AVERAGE(ReturnData!M215:M225)</f>
        <v>1.9127272727272725E-2</v>
      </c>
      <c r="N215" s="16">
        <f>AVERAGE(ReturnData!N215:N225)</f>
        <v>4.3727272727272703E-3</v>
      </c>
      <c r="O215" s="16">
        <f>AVERAGE(ReturnData!O215:O225)</f>
        <v>1.2554545454545452E-2</v>
      </c>
      <c r="P215" s="16">
        <f>AVERAGE(ReturnData!P215:P225)</f>
        <v>7.2727272727272745E-3</v>
      </c>
      <c r="Q215" s="16">
        <f>AVERAGE(ReturnData!Q215:Q225)</f>
        <v>1.6281818181818179E-2</v>
      </c>
    </row>
    <row r="216" spans="1:17" x14ac:dyDescent="0.25">
      <c r="A216">
        <f>ReturnData!A228</f>
        <v>199211</v>
      </c>
      <c r="B216" s="16">
        <f>AVERAGE(ReturnData!B216:B226)</f>
        <v>1.5572727272727273E-2</v>
      </c>
      <c r="C216" s="16">
        <f>AVERAGE(ReturnData!C216:C226)</f>
        <v>5.2545454545454527E-3</v>
      </c>
      <c r="D216" s="16">
        <f>AVERAGE(ReturnData!D216:D226)</f>
        <v>4.1454545454545451E-3</v>
      </c>
      <c r="E216" s="16">
        <f>AVERAGE(ReturnData!E216:E226)</f>
        <v>1.6209090909090906E-2</v>
      </c>
      <c r="F216" s="16">
        <f>AVERAGE(ReturnData!F216:F226)</f>
        <v>1.089090909090909E-2</v>
      </c>
      <c r="G216" s="16">
        <f>AVERAGE(ReturnData!G216:G226)</f>
        <v>7.6999999999999994E-3</v>
      </c>
      <c r="H216" s="16">
        <f>AVERAGE(ReturnData!H216:H226)</f>
        <v>-1.681818181818181E-3</v>
      </c>
      <c r="I216" s="16">
        <f>AVERAGE(ReturnData!I216:I226)</f>
        <v>2.0954545454545455E-2</v>
      </c>
      <c r="J216" s="16">
        <f>AVERAGE(ReturnData!J216:J226)</f>
        <v>4.7090909090909093E-3</v>
      </c>
      <c r="K216" s="16">
        <f>AVERAGE(ReturnData!K216:K226)</f>
        <v>6.1454545454545477E-3</v>
      </c>
      <c r="L216" s="16">
        <f>AVERAGE(ReturnData!L216:L226)</f>
        <v>6.3636363636363638E-3</v>
      </c>
      <c r="M216" s="16">
        <f>AVERAGE(ReturnData!M216:M226)</f>
        <v>2.178181818181818E-2</v>
      </c>
      <c r="N216" s="16">
        <f>AVERAGE(ReturnData!N216:N226)</f>
        <v>1.063636363636364E-3</v>
      </c>
      <c r="O216" s="16">
        <f>AVERAGE(ReturnData!O216:O226)</f>
        <v>1.2172727272727269E-2</v>
      </c>
      <c r="P216" s="16">
        <f>AVERAGE(ReturnData!P216:P226)</f>
        <v>1.3972727272727269E-2</v>
      </c>
      <c r="Q216" s="16">
        <f>AVERAGE(ReturnData!Q216:Q226)</f>
        <v>1.7418181818181815E-2</v>
      </c>
    </row>
    <row r="217" spans="1:17" x14ac:dyDescent="0.25">
      <c r="A217">
        <f>ReturnData!A229</f>
        <v>199212</v>
      </c>
      <c r="B217" s="16">
        <f>AVERAGE(ReturnData!B217:B227)</f>
        <v>1.3927272727272727E-2</v>
      </c>
      <c r="C217" s="16">
        <f>AVERAGE(ReturnData!C217:C227)</f>
        <v>9.9999999999999894E-4</v>
      </c>
      <c r="D217" s="16">
        <f>AVERAGE(ReturnData!D217:D227)</f>
        <v>7.8454545454545443E-3</v>
      </c>
      <c r="E217" s="16">
        <f>AVERAGE(ReturnData!E217:E227)</f>
        <v>2.0345454545454545E-2</v>
      </c>
      <c r="F217" s="16">
        <f>AVERAGE(ReturnData!F217:F227)</f>
        <v>1.0972727272727273E-2</v>
      </c>
      <c r="G217" s="16">
        <f>AVERAGE(ReturnData!G217:G227)</f>
        <v>1.3400000000000002E-2</v>
      </c>
      <c r="H217" s="16">
        <f>AVERAGE(ReturnData!H217:H227)</f>
        <v>2.8090909090909087E-3</v>
      </c>
      <c r="I217" s="16">
        <f>AVERAGE(ReturnData!I217:I227)</f>
        <v>2.5290909090909097E-2</v>
      </c>
      <c r="J217" s="16">
        <f>AVERAGE(ReturnData!J217:J227)</f>
        <v>1.3072727272727271E-2</v>
      </c>
      <c r="K217" s="16">
        <f>AVERAGE(ReturnData!K217:K227)</f>
        <v>1.2509090909090909E-2</v>
      </c>
      <c r="L217" s="16">
        <f>AVERAGE(ReturnData!L217:L227)</f>
        <v>1.0681818181818181E-2</v>
      </c>
      <c r="M217" s="16">
        <f>AVERAGE(ReturnData!M217:M227)</f>
        <v>2.9154545454545447E-2</v>
      </c>
      <c r="N217" s="16">
        <f>AVERAGE(ReturnData!N217:N227)</f>
        <v>1.152727272727273E-2</v>
      </c>
      <c r="O217" s="16">
        <f>AVERAGE(ReturnData!O217:O227)</f>
        <v>1.0063636363636365E-2</v>
      </c>
      <c r="P217" s="16">
        <f>AVERAGE(ReturnData!P217:P227)</f>
        <v>1.9063636363636362E-2</v>
      </c>
      <c r="Q217" s="16">
        <f>AVERAGE(ReturnData!Q217:Q227)</f>
        <v>2.4709090909090903E-2</v>
      </c>
    </row>
    <row r="218" spans="1:17" x14ac:dyDescent="0.25">
      <c r="A218">
        <f>ReturnData!A230</f>
        <v>199301</v>
      </c>
      <c r="B218" s="16">
        <f>AVERAGE(ReturnData!B218:B228)</f>
        <v>2.6727272727272728E-3</v>
      </c>
      <c r="C218" s="16">
        <f>AVERAGE(ReturnData!C218:C228)</f>
        <v>-5.0636363636363639E-3</v>
      </c>
      <c r="D218" s="16">
        <f>AVERAGE(ReturnData!D218:D228)</f>
        <v>3.5545454545454556E-3</v>
      </c>
      <c r="E218" s="16">
        <f>AVERAGE(ReturnData!E218:E228)</f>
        <v>1.5054545454545452E-2</v>
      </c>
      <c r="F218" s="16">
        <f>AVERAGE(ReturnData!F218:F228)</f>
        <v>7.2363636363636371E-3</v>
      </c>
      <c r="G218" s="16">
        <f>AVERAGE(ReturnData!G218:G228)</f>
        <v>5.8363636363636343E-3</v>
      </c>
      <c r="H218" s="16">
        <f>AVERAGE(ReturnData!H218:H228)</f>
        <v>-8.5727272727272701E-3</v>
      </c>
      <c r="I218" s="16">
        <f>AVERAGE(ReturnData!I218:I228)</f>
        <v>1.4172727272727271E-2</v>
      </c>
      <c r="J218" s="16">
        <f>AVERAGE(ReturnData!J218:J228)</f>
        <v>1.3136363636363634E-2</v>
      </c>
      <c r="K218" s="16">
        <f>AVERAGE(ReturnData!K218:K228)</f>
        <v>6.6818181818181811E-3</v>
      </c>
      <c r="L218" s="16">
        <f>AVERAGE(ReturnData!L218:L228)</f>
        <v>7.372727272727273E-3</v>
      </c>
      <c r="M218" s="16">
        <f>AVERAGE(ReturnData!M218:M228)</f>
        <v>3.084545454545454E-2</v>
      </c>
      <c r="N218" s="16">
        <f>AVERAGE(ReturnData!N218:N228)</f>
        <v>4.5181818181818179E-3</v>
      </c>
      <c r="O218" s="16">
        <f>AVERAGE(ReturnData!O218:O228)</f>
        <v>5.3181818181818183E-3</v>
      </c>
      <c r="P218" s="16">
        <f>AVERAGE(ReturnData!P218:P228)</f>
        <v>1.3618181818181817E-2</v>
      </c>
      <c r="Q218" s="16">
        <f>AVERAGE(ReturnData!Q218:Q228)</f>
        <v>1.8527272727272729E-2</v>
      </c>
    </row>
    <row r="219" spans="1:17" x14ac:dyDescent="0.25">
      <c r="A219">
        <f>ReturnData!A231</f>
        <v>199302</v>
      </c>
      <c r="B219" s="16">
        <f>AVERAGE(ReturnData!B219:B229)</f>
        <v>7.2818181818181818E-3</v>
      </c>
      <c r="C219" s="16">
        <f>AVERAGE(ReturnData!C219:C229)</f>
        <v>-7.2000000000000007E-3</v>
      </c>
      <c r="D219" s="16">
        <f>AVERAGE(ReturnData!D219:D229)</f>
        <v>9.063636363636364E-3</v>
      </c>
      <c r="E219" s="16">
        <f>AVERAGE(ReturnData!E219:E229)</f>
        <v>1.1009090909090911E-2</v>
      </c>
      <c r="F219" s="16">
        <f>AVERAGE(ReturnData!F219:F229)</f>
        <v>2.3090909090909082E-3</v>
      </c>
      <c r="G219" s="16">
        <f>AVERAGE(ReturnData!G219:G229)</f>
        <v>6.3999999999999977E-3</v>
      </c>
      <c r="H219" s="16">
        <f>AVERAGE(ReturnData!H219:H229)</f>
        <v>-6.0909090909090887E-3</v>
      </c>
      <c r="I219" s="16">
        <f>AVERAGE(ReturnData!I219:I229)</f>
        <v>1.3645454545454544E-2</v>
      </c>
      <c r="J219" s="16">
        <f>AVERAGE(ReturnData!J219:J229)</f>
        <v>1.3854545454545453E-2</v>
      </c>
      <c r="K219" s="16">
        <f>AVERAGE(ReturnData!K219:K229)</f>
        <v>5.4272727272727276E-3</v>
      </c>
      <c r="L219" s="16">
        <f>AVERAGE(ReturnData!L219:L229)</f>
        <v>4.1363636363636385E-3</v>
      </c>
      <c r="M219" s="16">
        <f>AVERAGE(ReturnData!M219:M229)</f>
        <v>2.5536363636363631E-2</v>
      </c>
      <c r="N219" s="16">
        <f>AVERAGE(ReturnData!N219:N229)</f>
        <v>8.2181818181818189E-3</v>
      </c>
      <c r="O219" s="16">
        <f>AVERAGE(ReturnData!O219:O229)</f>
        <v>1.1927272727272729E-2</v>
      </c>
      <c r="P219" s="16">
        <f>AVERAGE(ReturnData!P219:P229)</f>
        <v>1.23E-2</v>
      </c>
      <c r="Q219" s="16">
        <f>AVERAGE(ReturnData!Q219:Q229)</f>
        <v>2.1981818181818182E-2</v>
      </c>
    </row>
    <row r="220" spans="1:17" x14ac:dyDescent="0.25">
      <c r="A220">
        <f>ReturnData!A232</f>
        <v>199303</v>
      </c>
      <c r="B220" s="16">
        <f>AVERAGE(ReturnData!B220:B230)</f>
        <v>5.7272727272727275E-3</v>
      </c>
      <c r="C220" s="16">
        <f>AVERAGE(ReturnData!C220:C230)</f>
        <v>-9.3636363636363656E-3</v>
      </c>
      <c r="D220" s="16">
        <f>AVERAGE(ReturnData!D220:D230)</f>
        <v>1.1900000000000001E-2</v>
      </c>
      <c r="E220" s="16">
        <f>AVERAGE(ReturnData!E220:E230)</f>
        <v>7.4272727272727277E-3</v>
      </c>
      <c r="F220" s="16">
        <f>AVERAGE(ReturnData!F220:F230)</f>
        <v>9.5454545454545445E-3</v>
      </c>
      <c r="G220" s="16">
        <f>AVERAGE(ReturnData!G220:G230)</f>
        <v>1.9999999999999987E-3</v>
      </c>
      <c r="H220" s="16">
        <f>AVERAGE(ReturnData!H220:H230)</f>
        <v>-1.1245454545454543E-2</v>
      </c>
      <c r="I220" s="16">
        <f>AVERAGE(ReturnData!I220:I230)</f>
        <v>1.1572727272727269E-2</v>
      </c>
      <c r="J220" s="16">
        <f>AVERAGE(ReturnData!J220:J230)</f>
        <v>1.339090909090909E-2</v>
      </c>
      <c r="K220" s="16">
        <f>AVERAGE(ReturnData!K220:K230)</f>
        <v>3.8909090909090924E-3</v>
      </c>
      <c r="L220" s="16">
        <f>AVERAGE(ReturnData!L220:L230)</f>
        <v>3.8272727272727282E-3</v>
      </c>
      <c r="M220" s="16">
        <f>AVERAGE(ReturnData!M220:M230)</f>
        <v>2.0663636363636363E-2</v>
      </c>
      <c r="N220" s="16">
        <f>AVERAGE(ReturnData!N220:N230)</f>
        <v>7.0272727272727284E-3</v>
      </c>
      <c r="O220" s="16">
        <f>AVERAGE(ReturnData!O220:O230)</f>
        <v>1.5281818181818181E-2</v>
      </c>
      <c r="P220" s="16">
        <f>AVERAGE(ReturnData!P220:P230)</f>
        <v>1.01E-2</v>
      </c>
      <c r="Q220" s="16">
        <f>AVERAGE(ReturnData!Q220:Q230)</f>
        <v>2.2718181818181818E-2</v>
      </c>
    </row>
    <row r="221" spans="1:17" x14ac:dyDescent="0.25">
      <c r="A221">
        <f>ReturnData!A233</f>
        <v>199304</v>
      </c>
      <c r="B221" s="16">
        <f>AVERAGE(ReturnData!B221:B231)</f>
        <v>4.9818181818181827E-3</v>
      </c>
      <c r="C221" s="16">
        <f>AVERAGE(ReturnData!C221:C231)</f>
        <v>1.3999999999999987E-3</v>
      </c>
      <c r="D221" s="16">
        <f>AVERAGE(ReturnData!D221:D231)</f>
        <v>1.999090909090909E-2</v>
      </c>
      <c r="E221" s="16">
        <f>AVERAGE(ReturnData!E221:E231)</f>
        <v>6.145454545454546E-3</v>
      </c>
      <c r="F221" s="16">
        <f>AVERAGE(ReturnData!F221:F231)</f>
        <v>1.398181818181818E-2</v>
      </c>
      <c r="G221" s="16">
        <f>AVERAGE(ReturnData!G221:G231)</f>
        <v>1.7818181818181809E-3</v>
      </c>
      <c r="H221" s="16">
        <f>AVERAGE(ReturnData!H221:H231)</f>
        <v>-1.0954545454545455E-2</v>
      </c>
      <c r="I221" s="16">
        <f>AVERAGE(ReturnData!I221:I231)</f>
        <v>1.6972727272727271E-2</v>
      </c>
      <c r="J221" s="16">
        <f>AVERAGE(ReturnData!J221:J231)</f>
        <v>1.4090909090909088E-2</v>
      </c>
      <c r="K221" s="16">
        <f>AVERAGE(ReturnData!K221:K231)</f>
        <v>6.4545454545454567E-3</v>
      </c>
      <c r="L221" s="16">
        <f>AVERAGE(ReturnData!L221:L231)</f>
        <v>7.6272727272727291E-3</v>
      </c>
      <c r="M221" s="16">
        <f>AVERAGE(ReturnData!M221:M231)</f>
        <v>1.9481818181818183E-2</v>
      </c>
      <c r="N221" s="16">
        <f>AVERAGE(ReturnData!N221:N231)</f>
        <v>1.0127272727272726E-2</v>
      </c>
      <c r="O221" s="16">
        <f>AVERAGE(ReturnData!O221:O231)</f>
        <v>2.1418181818181819E-2</v>
      </c>
      <c r="P221" s="16">
        <f>AVERAGE(ReturnData!P221:P231)</f>
        <v>1.0109090909090908E-2</v>
      </c>
      <c r="Q221" s="16">
        <f>AVERAGE(ReturnData!Q221:Q231)</f>
        <v>2.4327272727272732E-2</v>
      </c>
    </row>
    <row r="222" spans="1:17" x14ac:dyDescent="0.25">
      <c r="A222">
        <f>ReturnData!A234</f>
        <v>199305</v>
      </c>
      <c r="B222" s="16">
        <f>AVERAGE(ReturnData!B222:B232)</f>
        <v>4.6909090909090911E-3</v>
      </c>
      <c r="C222" s="16">
        <f>AVERAGE(ReturnData!C222:C232)</f>
        <v>1.29E-2</v>
      </c>
      <c r="D222" s="16">
        <f>AVERAGE(ReturnData!D222:D232)</f>
        <v>1.5045454545454544E-2</v>
      </c>
      <c r="E222" s="16">
        <f>AVERAGE(ReturnData!E222:E232)</f>
        <v>1.2454545454545456E-2</v>
      </c>
      <c r="F222" s="16">
        <f>AVERAGE(ReturnData!F222:F232)</f>
        <v>1.6736363636363636E-2</v>
      </c>
      <c r="G222" s="16">
        <f>AVERAGE(ReturnData!G222:G232)</f>
        <v>-1.8909090909090926E-3</v>
      </c>
      <c r="H222" s="16">
        <f>AVERAGE(ReturnData!H222:H232)</f>
        <v>-1.0854545454545455E-2</v>
      </c>
      <c r="I222" s="16">
        <f>AVERAGE(ReturnData!I222:I232)</f>
        <v>1.8245454545454544E-2</v>
      </c>
      <c r="J222" s="16">
        <f>AVERAGE(ReturnData!J222:J232)</f>
        <v>1.0018181818181817E-2</v>
      </c>
      <c r="K222" s="16">
        <f>AVERAGE(ReturnData!K222:K232)</f>
        <v>8.5363636363636371E-3</v>
      </c>
      <c r="L222" s="16">
        <f>AVERAGE(ReturnData!L222:L232)</f>
        <v>9.1636363636363651E-3</v>
      </c>
      <c r="M222" s="16">
        <f>AVERAGE(ReturnData!M222:M232)</f>
        <v>1.5263636363636366E-2</v>
      </c>
      <c r="N222" s="16">
        <f>AVERAGE(ReturnData!N222:N232)</f>
        <v>1.1336363636363636E-2</v>
      </c>
      <c r="O222" s="16">
        <f>AVERAGE(ReturnData!O222:O232)</f>
        <v>2.0572727272727274E-2</v>
      </c>
      <c r="P222" s="16">
        <f>AVERAGE(ReturnData!P222:P232)</f>
        <v>1.6481818181818184E-2</v>
      </c>
      <c r="Q222" s="16">
        <f>AVERAGE(ReturnData!Q222:Q232)</f>
        <v>2.7418181818181821E-2</v>
      </c>
    </row>
    <row r="223" spans="1:17" x14ac:dyDescent="0.25">
      <c r="A223">
        <f>ReturnData!A235</f>
        <v>199306</v>
      </c>
      <c r="B223" s="16">
        <f>AVERAGE(ReturnData!B223:B233)</f>
        <v>-6.7727272727272714E-3</v>
      </c>
      <c r="C223" s="16">
        <f>AVERAGE(ReturnData!C223:C233)</f>
        <v>8.5181818181818171E-3</v>
      </c>
      <c r="D223" s="16">
        <f>AVERAGE(ReturnData!D223:D233)</f>
        <v>1.3081818181818182E-2</v>
      </c>
      <c r="E223" s="16">
        <f>AVERAGE(ReturnData!E223:E233)</f>
        <v>8.9818181818181811E-3</v>
      </c>
      <c r="F223" s="16">
        <f>AVERAGE(ReturnData!F223:F233)</f>
        <v>1.1536363636363635E-2</v>
      </c>
      <c r="G223" s="16">
        <f>AVERAGE(ReturnData!G223:G233)</f>
        <v>1.6545454545454537E-3</v>
      </c>
      <c r="H223" s="16">
        <f>AVERAGE(ReturnData!H223:H233)</f>
        <v>-1.0972727272727273E-2</v>
      </c>
      <c r="I223" s="16">
        <f>AVERAGE(ReturnData!I223:I233)</f>
        <v>1.2354545454545453E-2</v>
      </c>
      <c r="J223" s="16">
        <f>AVERAGE(ReturnData!J223:J233)</f>
        <v>7.1363636363636351E-3</v>
      </c>
      <c r="K223" s="16">
        <f>AVERAGE(ReturnData!K223:K233)</f>
        <v>8.9454545454545464E-3</v>
      </c>
      <c r="L223" s="16">
        <f>AVERAGE(ReturnData!L223:L233)</f>
        <v>7.8181818181818196E-3</v>
      </c>
      <c r="M223" s="16">
        <f>AVERAGE(ReturnData!M223:M233)</f>
        <v>2.0318181818181815E-2</v>
      </c>
      <c r="N223" s="16">
        <f>AVERAGE(ReturnData!N223:N233)</f>
        <v>1.3554545454545456E-2</v>
      </c>
      <c r="O223" s="16">
        <f>AVERAGE(ReturnData!O223:O233)</f>
        <v>1.8127272727272728E-2</v>
      </c>
      <c r="P223" s="16">
        <f>AVERAGE(ReturnData!P223:P233)</f>
        <v>9.0818181818181805E-3</v>
      </c>
      <c r="Q223" s="16">
        <f>AVERAGE(ReturnData!Q223:Q233)</f>
        <v>2.1681818181818188E-2</v>
      </c>
    </row>
    <row r="224" spans="1:17" x14ac:dyDescent="0.25">
      <c r="A224">
        <f>ReturnData!A236</f>
        <v>199307</v>
      </c>
      <c r="B224" s="16">
        <f>AVERAGE(ReturnData!B224:B234)</f>
        <v>-2.4090909090909067E-3</v>
      </c>
      <c r="C224" s="16">
        <f>AVERAGE(ReturnData!C224:C234)</f>
        <v>7.6909090909090894E-3</v>
      </c>
      <c r="D224" s="16">
        <f>AVERAGE(ReturnData!D224:D234)</f>
        <v>1.7727272727272727E-2</v>
      </c>
      <c r="E224" s="16">
        <f>AVERAGE(ReturnData!E224:E234)</f>
        <v>1.5900000000000001E-2</v>
      </c>
      <c r="F224" s="16">
        <f>AVERAGE(ReturnData!F224:F234)</f>
        <v>1.8545454545454546E-2</v>
      </c>
      <c r="G224" s="16">
        <f>AVERAGE(ReturnData!G224:G234)</f>
        <v>7.6909090909090903E-3</v>
      </c>
      <c r="H224" s="16">
        <f>AVERAGE(ReturnData!H224:H234)</f>
        <v>-3.9454545454545463E-3</v>
      </c>
      <c r="I224" s="16">
        <f>AVERAGE(ReturnData!I224:I234)</f>
        <v>1.949090909090909E-2</v>
      </c>
      <c r="J224" s="16">
        <f>AVERAGE(ReturnData!J224:J234)</f>
        <v>9.1363636363636369E-3</v>
      </c>
      <c r="K224" s="16">
        <f>AVERAGE(ReturnData!K224:K234)</f>
        <v>1.6500000000000001E-2</v>
      </c>
      <c r="L224" s="16">
        <f>AVERAGE(ReturnData!L224:L234)</f>
        <v>1.5863636363636361E-2</v>
      </c>
      <c r="M224" s="16">
        <f>AVERAGE(ReturnData!M224:M234)</f>
        <v>1.7745454545454547E-2</v>
      </c>
      <c r="N224" s="16">
        <f>AVERAGE(ReturnData!N224:N234)</f>
        <v>1.9727272727272729E-2</v>
      </c>
      <c r="O224" s="16">
        <f>AVERAGE(ReturnData!O224:O234)</f>
        <v>1.7600000000000001E-2</v>
      </c>
      <c r="P224" s="16">
        <f>AVERAGE(ReturnData!P224:P234)</f>
        <v>1.5318181818181816E-2</v>
      </c>
      <c r="Q224" s="16">
        <f>AVERAGE(ReturnData!Q224:Q234)</f>
        <v>2.0936363636363642E-2</v>
      </c>
    </row>
    <row r="225" spans="1:17" x14ac:dyDescent="0.25">
      <c r="A225">
        <f>ReturnData!A237</f>
        <v>199308</v>
      </c>
      <c r="B225" s="16">
        <f>AVERAGE(ReturnData!B225:B235)</f>
        <v>-7.4363636363636351E-3</v>
      </c>
      <c r="C225" s="16">
        <f>AVERAGE(ReturnData!C225:C235)</f>
        <v>1.0327272727272728E-2</v>
      </c>
      <c r="D225" s="16">
        <f>AVERAGE(ReturnData!D225:D235)</f>
        <v>1.1900000000000001E-2</v>
      </c>
      <c r="E225" s="16">
        <f>AVERAGE(ReturnData!E225:E235)</f>
        <v>2.6272727272727255E-3</v>
      </c>
      <c r="F225" s="16">
        <f>AVERAGE(ReturnData!F225:F235)</f>
        <v>1.3600000000000001E-2</v>
      </c>
      <c r="G225" s="16">
        <f>AVERAGE(ReturnData!G225:G235)</f>
        <v>3.2727272727272721E-4</v>
      </c>
      <c r="H225" s="16">
        <f>AVERAGE(ReturnData!H225:H235)</f>
        <v>-1.1754545454545452E-2</v>
      </c>
      <c r="I225" s="16">
        <f>AVERAGE(ReturnData!I225:I235)</f>
        <v>1.1699999999999999E-2</v>
      </c>
      <c r="J225" s="16">
        <f>AVERAGE(ReturnData!J225:J235)</f>
        <v>1.0445454545454544E-2</v>
      </c>
      <c r="K225" s="16">
        <f>AVERAGE(ReturnData!K225:K235)</f>
        <v>9.3272727272727292E-3</v>
      </c>
      <c r="L225" s="16">
        <f>AVERAGE(ReturnData!L225:L235)</f>
        <v>1.4500000000000002E-2</v>
      </c>
      <c r="M225" s="16">
        <f>AVERAGE(ReturnData!M225:M235)</f>
        <v>2.2472727272727273E-2</v>
      </c>
      <c r="N225" s="16">
        <f>AVERAGE(ReturnData!N225:N235)</f>
        <v>1.830909090909091E-2</v>
      </c>
      <c r="O225" s="16">
        <f>AVERAGE(ReturnData!O225:O235)</f>
        <v>1.438181818181818E-2</v>
      </c>
      <c r="P225" s="16">
        <f>AVERAGE(ReturnData!P225:P235)</f>
        <v>9.2363636363636363E-3</v>
      </c>
      <c r="Q225" s="16">
        <f>AVERAGE(ReturnData!Q225:Q235)</f>
        <v>2.1345454545454542E-2</v>
      </c>
    </row>
    <row r="226" spans="1:17" x14ac:dyDescent="0.25">
      <c r="A226">
        <f>ReturnData!A238</f>
        <v>199309</v>
      </c>
      <c r="B226" s="16">
        <f>AVERAGE(ReturnData!B226:B236)</f>
        <v>-1.1145454545454543E-2</v>
      </c>
      <c r="C226" s="16">
        <f>AVERAGE(ReturnData!C226:C236)</f>
        <v>2.0663636363636363E-2</v>
      </c>
      <c r="D226" s="16">
        <f>AVERAGE(ReturnData!D226:D236)</f>
        <v>1.0072727272727273E-2</v>
      </c>
      <c r="E226" s="16">
        <f>AVERAGE(ReturnData!E226:E236)</f>
        <v>4.5454545454542972E-5</v>
      </c>
      <c r="F226" s="16">
        <f>AVERAGE(ReturnData!F226:F236)</f>
        <v>1.7109090909090911E-2</v>
      </c>
      <c r="G226" s="16">
        <f>AVERAGE(ReturnData!G226:G236)</f>
        <v>5.2090909090909097E-3</v>
      </c>
      <c r="H226" s="16">
        <f>AVERAGE(ReturnData!H226:H236)</f>
        <v>-1.5081818181818181E-2</v>
      </c>
      <c r="I226" s="16">
        <f>AVERAGE(ReturnData!I226:I236)</f>
        <v>1.2272727272727275E-2</v>
      </c>
      <c r="J226" s="16">
        <f>AVERAGE(ReturnData!J226:J236)</f>
        <v>1.6836363636363635E-2</v>
      </c>
      <c r="K226" s="16">
        <f>AVERAGE(ReturnData!K226:K236)</f>
        <v>6.9909090909090928E-3</v>
      </c>
      <c r="L226" s="16">
        <f>AVERAGE(ReturnData!L226:L236)</f>
        <v>1.7063636363636368E-2</v>
      </c>
      <c r="M226" s="16">
        <f>AVERAGE(ReturnData!M226:M236)</f>
        <v>3.4618181818181819E-2</v>
      </c>
      <c r="N226" s="16">
        <f>AVERAGE(ReturnData!N226:N236)</f>
        <v>2.5763636363636367E-2</v>
      </c>
      <c r="O226" s="16">
        <f>AVERAGE(ReturnData!O226:O236)</f>
        <v>1.657272727272727E-2</v>
      </c>
      <c r="P226" s="16">
        <f>AVERAGE(ReturnData!P226:P236)</f>
        <v>9.9999999999999967E-3</v>
      </c>
      <c r="Q226" s="16">
        <f>AVERAGE(ReturnData!Q226:Q236)</f>
        <v>2.6536363636363639E-2</v>
      </c>
    </row>
    <row r="227" spans="1:17" x14ac:dyDescent="0.25">
      <c r="A227">
        <f>ReturnData!A239</f>
        <v>199310</v>
      </c>
      <c r="B227" s="16">
        <f>AVERAGE(ReturnData!B227:B237)</f>
        <v>-8.2181818181818172E-3</v>
      </c>
      <c r="C227" s="16">
        <f>AVERAGE(ReturnData!C227:C237)</f>
        <v>1.410909090909091E-2</v>
      </c>
      <c r="D227" s="16">
        <f>AVERAGE(ReturnData!D227:D237)</f>
        <v>1.3754545454545457E-2</v>
      </c>
      <c r="E227" s="16">
        <f>AVERAGE(ReturnData!E227:E237)</f>
        <v>1.0636363636363612E-3</v>
      </c>
      <c r="F227" s="16">
        <f>AVERAGE(ReturnData!F227:F237)</f>
        <v>2.1018181818181818E-2</v>
      </c>
      <c r="G227" s="16">
        <f>AVERAGE(ReturnData!G227:G237)</f>
        <v>8.1727272727272742E-3</v>
      </c>
      <c r="H227" s="16">
        <f>AVERAGE(ReturnData!H227:H237)</f>
        <v>-8.6909090909090912E-3</v>
      </c>
      <c r="I227" s="16">
        <f>AVERAGE(ReturnData!I227:I237)</f>
        <v>1.2927272727272726E-2</v>
      </c>
      <c r="J227" s="16">
        <f>AVERAGE(ReturnData!J227:J237)</f>
        <v>1.9899999999999998E-2</v>
      </c>
      <c r="K227" s="16">
        <f>AVERAGE(ReturnData!K227:K237)</f>
        <v>1.21E-2</v>
      </c>
      <c r="L227" s="16">
        <f>AVERAGE(ReturnData!L227:L237)</f>
        <v>1.949090909090909E-2</v>
      </c>
      <c r="M227" s="16">
        <f>AVERAGE(ReturnData!M227:M237)</f>
        <v>3.5045454545454539E-2</v>
      </c>
      <c r="N227" s="16">
        <f>AVERAGE(ReturnData!N227:N237)</f>
        <v>2.7972727272727274E-2</v>
      </c>
      <c r="O227" s="16">
        <f>AVERAGE(ReturnData!O227:O237)</f>
        <v>1.9172727272727275E-2</v>
      </c>
      <c r="P227" s="16">
        <f>AVERAGE(ReturnData!P227:P237)</f>
        <v>9.5090909090909097E-3</v>
      </c>
      <c r="Q227" s="16">
        <f>AVERAGE(ReturnData!Q227:Q237)</f>
        <v>2.637272727272727E-2</v>
      </c>
    </row>
    <row r="228" spans="1:17" x14ac:dyDescent="0.25">
      <c r="A228">
        <f>ReturnData!A240</f>
        <v>199311</v>
      </c>
      <c r="B228" s="16">
        <f>AVERAGE(ReturnData!B228:B238)</f>
        <v>-9.2090909090909064E-3</v>
      </c>
      <c r="C228" s="16">
        <f>AVERAGE(ReturnData!C228:C238)</f>
        <v>1.1318181818181818E-2</v>
      </c>
      <c r="D228" s="16">
        <f>AVERAGE(ReturnData!D228:D238)</f>
        <v>1.8209090909090911E-2</v>
      </c>
      <c r="E228" s="16">
        <f>AVERAGE(ReturnData!E228:E238)</f>
        <v>-2.5636363636363656E-3</v>
      </c>
      <c r="F228" s="16">
        <f>AVERAGE(ReturnData!F228:F238)</f>
        <v>2.1972727272727269E-2</v>
      </c>
      <c r="G228" s="16">
        <f>AVERAGE(ReturnData!G228:G238)</f>
        <v>5.2909090909090926E-3</v>
      </c>
      <c r="H228" s="16">
        <f>AVERAGE(ReturnData!H228:H238)</f>
        <v>-1.1654545454545456E-2</v>
      </c>
      <c r="I228" s="16">
        <f>AVERAGE(ReturnData!I228:I238)</f>
        <v>8.8181818181818205E-3</v>
      </c>
      <c r="J228" s="16">
        <f>AVERAGE(ReturnData!J228:J238)</f>
        <v>1.4509090909090909E-2</v>
      </c>
      <c r="K228" s="16">
        <f>AVERAGE(ReturnData!K228:K238)</f>
        <v>1.1081818181818181E-2</v>
      </c>
      <c r="L228" s="16">
        <f>AVERAGE(ReturnData!L228:L238)</f>
        <v>1.9345454545454548E-2</v>
      </c>
      <c r="M228" s="16">
        <f>AVERAGE(ReturnData!M228:M238)</f>
        <v>3.607272727272727E-2</v>
      </c>
      <c r="N228" s="16">
        <f>AVERAGE(ReturnData!N228:N238)</f>
        <v>2.3190909090909095E-2</v>
      </c>
      <c r="O228" s="16">
        <f>AVERAGE(ReturnData!O228:O238)</f>
        <v>1.8981818181818183E-2</v>
      </c>
      <c r="P228" s="16">
        <f>AVERAGE(ReturnData!P228:P238)</f>
        <v>5.59090909090909E-3</v>
      </c>
      <c r="Q228" s="16">
        <f>AVERAGE(ReturnData!Q228:Q238)</f>
        <v>2.5990909090909089E-2</v>
      </c>
    </row>
    <row r="229" spans="1:17" x14ac:dyDescent="0.25">
      <c r="A229">
        <f>ReturnData!A241</f>
        <v>199312</v>
      </c>
      <c r="B229" s="16">
        <f>AVERAGE(ReturnData!B229:B239)</f>
        <v>-6.3636363636363621E-3</v>
      </c>
      <c r="C229" s="16">
        <f>AVERAGE(ReturnData!C229:C239)</f>
        <v>2.3390909090909087E-2</v>
      </c>
      <c r="D229" s="16">
        <f>AVERAGE(ReturnData!D229:D239)</f>
        <v>1.8727272727272728E-2</v>
      </c>
      <c r="E229" s="16">
        <f>AVERAGE(ReturnData!E229:E239)</f>
        <v>-6.3272727272727317E-3</v>
      </c>
      <c r="F229" s="16">
        <f>AVERAGE(ReturnData!F229:F239)</f>
        <v>2.0099999999999996E-2</v>
      </c>
      <c r="G229" s="16">
        <f>AVERAGE(ReturnData!G229:G239)</f>
        <v>5.6545454545454564E-3</v>
      </c>
      <c r="H229" s="16">
        <f>AVERAGE(ReturnData!H229:H239)</f>
        <v>-8.6363636363636365E-3</v>
      </c>
      <c r="I229" s="16">
        <f>AVERAGE(ReturnData!I229:I239)</f>
        <v>8.4636363636363642E-3</v>
      </c>
      <c r="J229" s="16">
        <f>AVERAGE(ReturnData!J229:J239)</f>
        <v>1.1927272727272731E-2</v>
      </c>
      <c r="K229" s="16">
        <f>AVERAGE(ReturnData!K229:K239)</f>
        <v>1.3663636363636362E-2</v>
      </c>
      <c r="L229" s="16">
        <f>AVERAGE(ReturnData!L229:L239)</f>
        <v>1.4727272727272728E-2</v>
      </c>
      <c r="M229" s="16">
        <f>AVERAGE(ReturnData!M229:M239)</f>
        <v>3.7390909090909086E-2</v>
      </c>
      <c r="N229" s="16">
        <f>AVERAGE(ReturnData!N229:N239)</f>
        <v>2.1454545454545452E-2</v>
      </c>
      <c r="O229" s="16">
        <f>AVERAGE(ReturnData!O229:O239)</f>
        <v>1.7409090909090905E-2</v>
      </c>
      <c r="P229" s="16">
        <f>AVERAGE(ReturnData!P229:P239)</f>
        <v>3.7090909090909075E-3</v>
      </c>
      <c r="Q229" s="16">
        <f>AVERAGE(ReturnData!Q229:Q239)</f>
        <v>1.6545454545454544E-2</v>
      </c>
    </row>
    <row r="230" spans="1:17" x14ac:dyDescent="0.25">
      <c r="A230">
        <f>ReturnData!A242</f>
        <v>199401</v>
      </c>
      <c r="B230" s="16">
        <f>AVERAGE(ReturnData!B230:B240)</f>
        <v>-6.4999999999999954E-3</v>
      </c>
      <c r="C230" s="16">
        <f>AVERAGE(ReturnData!C230:C240)</f>
        <v>1.7781818181818183E-2</v>
      </c>
      <c r="D230" s="16">
        <f>AVERAGE(ReturnData!D230:D240)</f>
        <v>1.1518181818181822E-2</v>
      </c>
      <c r="E230" s="16">
        <f>AVERAGE(ReturnData!E230:E240)</f>
        <v>-6.572727272727277E-3</v>
      </c>
      <c r="F230" s="16">
        <f>AVERAGE(ReturnData!F230:F240)</f>
        <v>2.0081818181818183E-2</v>
      </c>
      <c r="G230" s="16">
        <f>AVERAGE(ReturnData!G230:G240)</f>
        <v>6.0363636363636375E-3</v>
      </c>
      <c r="H230" s="16">
        <f>AVERAGE(ReturnData!H230:H240)</f>
        <v>-4.8363636363636386E-3</v>
      </c>
      <c r="I230" s="16">
        <f>AVERAGE(ReturnData!I230:I240)</f>
        <v>9.2363636363636363E-3</v>
      </c>
      <c r="J230" s="16">
        <f>AVERAGE(ReturnData!J230:J240)</f>
        <v>8.6272727272727282E-3</v>
      </c>
      <c r="K230" s="16">
        <f>AVERAGE(ReturnData!K230:K240)</f>
        <v>1.1427272727272725E-2</v>
      </c>
      <c r="L230" s="16">
        <f>AVERAGE(ReturnData!L230:L240)</f>
        <v>1.4545454545454544E-2</v>
      </c>
      <c r="M230" s="16">
        <f>AVERAGE(ReturnData!M230:M240)</f>
        <v>3.5345454545454541E-2</v>
      </c>
      <c r="N230" s="16">
        <f>AVERAGE(ReturnData!N230:N240)</f>
        <v>1.8372727272727273E-2</v>
      </c>
      <c r="O230" s="16">
        <f>AVERAGE(ReturnData!O230:O240)</f>
        <v>9.9363636363636373E-3</v>
      </c>
      <c r="P230" s="16">
        <f>AVERAGE(ReturnData!P230:P240)</f>
        <v>4.9636363636363619E-3</v>
      </c>
      <c r="Q230" s="16">
        <f>AVERAGE(ReturnData!Q230:Q240)</f>
        <v>8.8545454545454552E-3</v>
      </c>
    </row>
    <row r="231" spans="1:17" x14ac:dyDescent="0.25">
      <c r="A231">
        <f>ReturnData!A243</f>
        <v>199402</v>
      </c>
      <c r="B231" s="16">
        <f>AVERAGE(ReturnData!B231:B241)</f>
        <v>-3.5454545454545435E-3</v>
      </c>
      <c r="C231" s="16">
        <f>AVERAGE(ReturnData!C231:C241)</f>
        <v>3.0036363636363635E-2</v>
      </c>
      <c r="D231" s="16">
        <f>AVERAGE(ReturnData!D231:D241)</f>
        <v>9.6363636363636391E-3</v>
      </c>
      <c r="E231" s="16">
        <f>AVERAGE(ReturnData!E231:E241)</f>
        <v>-6.2545454545454571E-3</v>
      </c>
      <c r="F231" s="16">
        <f>AVERAGE(ReturnData!F231:F241)</f>
        <v>1.380909090909091E-2</v>
      </c>
      <c r="G231" s="16">
        <f>AVERAGE(ReturnData!G231:G241)</f>
        <v>1.0418181818181819E-2</v>
      </c>
      <c r="H231" s="16">
        <f>AVERAGE(ReturnData!H231:H241)</f>
        <v>2.5999999999999999E-3</v>
      </c>
      <c r="I231" s="16">
        <f>AVERAGE(ReturnData!I231:I241)</f>
        <v>1.0763636363636364E-2</v>
      </c>
      <c r="J231" s="16">
        <f>AVERAGE(ReturnData!J231:J241)</f>
        <v>8.8090909090909105E-3</v>
      </c>
      <c r="K231" s="16">
        <f>AVERAGE(ReturnData!K231:K241)</f>
        <v>1.3263636363636365E-2</v>
      </c>
      <c r="L231" s="16">
        <f>AVERAGE(ReturnData!L231:L241)</f>
        <v>1.549090909090909E-2</v>
      </c>
      <c r="M231" s="16">
        <f>AVERAGE(ReturnData!M231:M241)</f>
        <v>3.0272727272727274E-2</v>
      </c>
      <c r="N231" s="16">
        <f>AVERAGE(ReturnData!N231:N241)</f>
        <v>2.1481818181818182E-2</v>
      </c>
      <c r="O231" s="16">
        <f>AVERAGE(ReturnData!O231:O241)</f>
        <v>9.1727272727272716E-3</v>
      </c>
      <c r="P231" s="16">
        <f>AVERAGE(ReturnData!P231:P241)</f>
        <v>2.0727272727272708E-3</v>
      </c>
      <c r="Q231" s="16">
        <f>AVERAGE(ReturnData!Q231:Q241)</f>
        <v>7.5090909090909088E-3</v>
      </c>
    </row>
    <row r="232" spans="1:17" x14ac:dyDescent="0.25">
      <c r="A232">
        <f>ReturnData!A244</f>
        <v>199403</v>
      </c>
      <c r="B232" s="16">
        <f>AVERAGE(ReturnData!B232:B242)</f>
        <v>-2.1181818181818146E-3</v>
      </c>
      <c r="C232" s="16">
        <f>AVERAGE(ReturnData!C232:C242)</f>
        <v>2.7527272727272723E-2</v>
      </c>
      <c r="D232" s="16">
        <f>AVERAGE(ReturnData!D232:D242)</f>
        <v>8.5818181818181835E-3</v>
      </c>
      <c r="E232" s="16">
        <f>AVERAGE(ReturnData!E232:E242)</f>
        <v>-6.2090909090909132E-3</v>
      </c>
      <c r="F232" s="16">
        <f>AVERAGE(ReturnData!F232:F242)</f>
        <v>1.4636363636363635E-2</v>
      </c>
      <c r="G232" s="16">
        <f>AVERAGE(ReturnData!G232:G242)</f>
        <v>1.7727272727272727E-2</v>
      </c>
      <c r="H232" s="16">
        <f>AVERAGE(ReturnData!H232:H242)</f>
        <v>7.1090909090909087E-3</v>
      </c>
      <c r="I232" s="16">
        <f>AVERAGE(ReturnData!I232:I242)</f>
        <v>9.2454545454545446E-3</v>
      </c>
      <c r="J232" s="16">
        <f>AVERAGE(ReturnData!J232:J242)</f>
        <v>1.8727272727272728E-2</v>
      </c>
      <c r="K232" s="16">
        <f>AVERAGE(ReturnData!K232:K242)</f>
        <v>1.5145454545454545E-2</v>
      </c>
      <c r="L232" s="16">
        <f>AVERAGE(ReturnData!L232:L242)</f>
        <v>1.9263636363636365E-2</v>
      </c>
      <c r="M232" s="16">
        <f>AVERAGE(ReturnData!M232:M242)</f>
        <v>3.778181818181818E-2</v>
      </c>
      <c r="N232" s="16">
        <f>AVERAGE(ReturnData!N232:N242)</f>
        <v>2.3745454545454545E-2</v>
      </c>
      <c r="O232" s="16">
        <f>AVERAGE(ReturnData!O232:O242)</f>
        <v>2.4181818181818193E-3</v>
      </c>
      <c r="P232" s="16">
        <f>AVERAGE(ReturnData!P232:P242)</f>
        <v>4.3636363636363612E-3</v>
      </c>
      <c r="Q232" s="16">
        <f>AVERAGE(ReturnData!Q232:Q242)</f>
        <v>1.0427272727272728E-2</v>
      </c>
    </row>
    <row r="233" spans="1:17" x14ac:dyDescent="0.25">
      <c r="A233">
        <f>ReturnData!A245</f>
        <v>199404</v>
      </c>
      <c r="B233" s="16">
        <f>AVERAGE(ReturnData!B233:B243)</f>
        <v>-2.4727272727272692E-3</v>
      </c>
      <c r="C233" s="16">
        <f>AVERAGE(ReturnData!C233:C243)</f>
        <v>1.7345454545454549E-2</v>
      </c>
      <c r="D233" s="16">
        <f>AVERAGE(ReturnData!D233:D243)</f>
        <v>2.2636363636363639E-3</v>
      </c>
      <c r="E233" s="16">
        <f>AVERAGE(ReturnData!E233:E243)</f>
        <v>-8.1181818181818195E-3</v>
      </c>
      <c r="F233" s="16">
        <f>AVERAGE(ReturnData!F233:F243)</f>
        <v>1.0418181818181816E-2</v>
      </c>
      <c r="G233" s="16">
        <f>AVERAGE(ReturnData!G233:G243)</f>
        <v>1.5000000000000001E-2</v>
      </c>
      <c r="H233" s="16">
        <f>AVERAGE(ReturnData!H233:H243)</f>
        <v>2.4363636363636349E-3</v>
      </c>
      <c r="I233" s="16">
        <f>AVERAGE(ReturnData!I233:I243)</f>
        <v>8.0272727272727266E-3</v>
      </c>
      <c r="J233" s="16">
        <f>AVERAGE(ReturnData!J233:J243)</f>
        <v>1.664545454545455E-2</v>
      </c>
      <c r="K233" s="16">
        <f>AVERAGE(ReturnData!K233:K243)</f>
        <v>1.1054545454545454E-2</v>
      </c>
      <c r="L233" s="16">
        <f>AVERAGE(ReturnData!L233:L243)</f>
        <v>1.8100000000000002E-2</v>
      </c>
      <c r="M233" s="16">
        <f>AVERAGE(ReturnData!M233:M243)</f>
        <v>2.8381818181818178E-2</v>
      </c>
      <c r="N233" s="16">
        <f>AVERAGE(ReturnData!N233:N243)</f>
        <v>1.8554545454545456E-2</v>
      </c>
      <c r="O233" s="16">
        <f>AVERAGE(ReturnData!O233:O243)</f>
        <v>-3.7000000000000002E-3</v>
      </c>
      <c r="P233" s="16">
        <f>AVERAGE(ReturnData!P233:P243)</f>
        <v>3.5272727272727261E-3</v>
      </c>
      <c r="Q233" s="16">
        <f>AVERAGE(ReturnData!Q233:Q243)</f>
        <v>2.8545454545454551E-3</v>
      </c>
    </row>
    <row r="234" spans="1:17" x14ac:dyDescent="0.25">
      <c r="A234">
        <f>ReturnData!A246</f>
        <v>199405</v>
      </c>
      <c r="B234" s="16">
        <f>AVERAGE(ReturnData!B234:B244)</f>
        <v>3.8727272727272725E-3</v>
      </c>
      <c r="C234" s="16">
        <f>AVERAGE(ReturnData!C234:C244)</f>
        <v>1.6436363636363638E-2</v>
      </c>
      <c r="D234" s="16">
        <f>AVERAGE(ReturnData!D234:D244)</f>
        <v>-1.945454545454546E-3</v>
      </c>
      <c r="E234" s="16">
        <f>AVERAGE(ReturnData!E234:E244)</f>
        <v>-3.7000000000000032E-3</v>
      </c>
      <c r="F234" s="16">
        <f>AVERAGE(ReturnData!F234:F244)</f>
        <v>1.2581818181818182E-2</v>
      </c>
      <c r="G234" s="16">
        <f>AVERAGE(ReturnData!G234:G244)</f>
        <v>9.6272727272727274E-3</v>
      </c>
      <c r="H234" s="16">
        <f>AVERAGE(ReturnData!H234:H244)</f>
        <v>-4.6818181818181828E-3</v>
      </c>
      <c r="I234" s="16">
        <f>AVERAGE(ReturnData!I234:I244)</f>
        <v>6.5363636363636353E-3</v>
      </c>
      <c r="J234" s="16">
        <f>AVERAGE(ReturnData!J234:J244)</f>
        <v>1.3527272727272726E-2</v>
      </c>
      <c r="K234" s="16">
        <f>AVERAGE(ReturnData!K234:K244)</f>
        <v>7.7272727272727267E-3</v>
      </c>
      <c r="L234" s="16">
        <f>AVERAGE(ReturnData!L234:L244)</f>
        <v>1.6263636363636366E-2</v>
      </c>
      <c r="M234" s="16">
        <f>AVERAGE(ReturnData!M234:M244)</f>
        <v>1.8999999999999996E-2</v>
      </c>
      <c r="N234" s="16">
        <f>AVERAGE(ReturnData!N234:N244)</f>
        <v>1.2763636363636366E-2</v>
      </c>
      <c r="O234" s="16">
        <f>AVERAGE(ReturnData!O234:O244)</f>
        <v>-7.1272727272727269E-3</v>
      </c>
      <c r="P234" s="16">
        <f>AVERAGE(ReturnData!P234:P244)</f>
        <v>6.9818181818181802E-3</v>
      </c>
      <c r="Q234" s="16">
        <f>AVERAGE(ReturnData!Q234:Q244)</f>
        <v>3.3363636363636369E-3</v>
      </c>
    </row>
    <row r="235" spans="1:17" x14ac:dyDescent="0.25">
      <c r="A235">
        <f>ReturnData!A247</f>
        <v>199406</v>
      </c>
      <c r="B235" s="16">
        <f>AVERAGE(ReturnData!B235:B245)</f>
        <v>2.3454545454545451E-3</v>
      </c>
      <c r="C235" s="16">
        <f>AVERAGE(ReturnData!C235:C245)</f>
        <v>2.3090909090909095E-3</v>
      </c>
      <c r="D235" s="16">
        <f>AVERAGE(ReturnData!D235:D245)</f>
        <v>2.8181818181818234E-4</v>
      </c>
      <c r="E235" s="16">
        <f>AVERAGE(ReturnData!E235:E245)</f>
        <v>-5.0181818181818209E-3</v>
      </c>
      <c r="F235" s="16">
        <f>AVERAGE(ReturnData!F235:F245)</f>
        <v>8.1181818181818178E-3</v>
      </c>
      <c r="G235" s="16">
        <f>AVERAGE(ReturnData!G235:G245)</f>
        <v>1.011818181818182E-2</v>
      </c>
      <c r="H235" s="16">
        <f>AVERAGE(ReturnData!H235:H245)</f>
        <v>-2.4727272727272749E-3</v>
      </c>
      <c r="I235" s="16">
        <f>AVERAGE(ReturnData!I235:I245)</f>
        <v>4.3999999999999985E-3</v>
      </c>
      <c r="J235" s="16">
        <f>AVERAGE(ReturnData!J235:J245)</f>
        <v>8.9000000000000017E-3</v>
      </c>
      <c r="K235" s="16">
        <f>AVERAGE(ReturnData!K235:K245)</f>
        <v>6.2999999999999992E-3</v>
      </c>
      <c r="L235" s="16">
        <f>AVERAGE(ReturnData!L235:L245)</f>
        <v>8.1454545454545443E-3</v>
      </c>
      <c r="M235" s="16">
        <f>AVERAGE(ReturnData!M235:M245)</f>
        <v>1.8418181818181816E-2</v>
      </c>
      <c r="N235" s="16">
        <f>AVERAGE(ReturnData!N235:N245)</f>
        <v>9.8727272727272691E-3</v>
      </c>
      <c r="O235" s="16">
        <f>AVERAGE(ReturnData!O235:O245)</f>
        <v>-5.1545454545454533E-3</v>
      </c>
      <c r="P235" s="16">
        <f>AVERAGE(ReturnData!P235:P245)</f>
        <v>2.0181818181818187E-3</v>
      </c>
      <c r="Q235" s="16">
        <f>AVERAGE(ReturnData!Q235:Q245)</f>
        <v>5.2363636363636388E-3</v>
      </c>
    </row>
    <row r="236" spans="1:17" x14ac:dyDescent="0.25">
      <c r="A236">
        <f>ReturnData!A248</f>
        <v>199407</v>
      </c>
      <c r="B236" s="16">
        <f>AVERAGE(ReturnData!B236:B246)</f>
        <v>1.5727272727272729E-3</v>
      </c>
      <c r="C236" s="16">
        <f>AVERAGE(ReturnData!C236:C246)</f>
        <v>-9.0909090909068278E-6</v>
      </c>
      <c r="D236" s="16">
        <f>AVERAGE(ReturnData!D236:D246)</f>
        <v>2.0272727272727265E-3</v>
      </c>
      <c r="E236" s="16">
        <f>AVERAGE(ReturnData!E236:E246)</f>
        <v>-5.0000000000000044E-4</v>
      </c>
      <c r="F236" s="16">
        <f>AVERAGE(ReturnData!F236:F246)</f>
        <v>1.0190909090909089E-2</v>
      </c>
      <c r="G236" s="16">
        <f>AVERAGE(ReturnData!G236:G246)</f>
        <v>1.7090909090909094E-2</v>
      </c>
      <c r="H236" s="16">
        <f>AVERAGE(ReturnData!H236:H246)</f>
        <v>2.4999999999999992E-3</v>
      </c>
      <c r="I236" s="16">
        <f>AVERAGE(ReturnData!I236:I246)</f>
        <v>7.3909090909090903E-3</v>
      </c>
      <c r="J236" s="16">
        <f>AVERAGE(ReturnData!J236:J246)</f>
        <v>1.09E-2</v>
      </c>
      <c r="K236" s="16">
        <f>AVERAGE(ReturnData!K236:K246)</f>
        <v>1.1218181818181816E-2</v>
      </c>
      <c r="L236" s="16">
        <f>AVERAGE(ReturnData!L236:L246)</f>
        <v>8.3545454545454548E-3</v>
      </c>
      <c r="M236" s="16">
        <f>AVERAGE(ReturnData!M236:M246)</f>
        <v>1.2536363636363634E-2</v>
      </c>
      <c r="N236" s="16">
        <f>AVERAGE(ReturnData!N236:N246)</f>
        <v>9.072727272727274E-3</v>
      </c>
      <c r="O236" s="16">
        <f>AVERAGE(ReturnData!O236:O246)</f>
        <v>-1.2909090909090908E-2</v>
      </c>
      <c r="P236" s="16">
        <f>AVERAGE(ReturnData!P236:P246)</f>
        <v>2.7636363636363644E-3</v>
      </c>
      <c r="Q236" s="16">
        <f>AVERAGE(ReturnData!Q236:Q246)</f>
        <v>5.6272727272727282E-3</v>
      </c>
    </row>
    <row r="237" spans="1:17" x14ac:dyDescent="0.25">
      <c r="A237">
        <f>ReturnData!A249</f>
        <v>199408</v>
      </c>
      <c r="B237" s="16">
        <f>AVERAGE(ReturnData!B237:B247)</f>
        <v>2.6727272727272732E-3</v>
      </c>
      <c r="C237" s="16">
        <f>AVERAGE(ReturnData!C237:C247)</f>
        <v>-8.2363636363636337E-3</v>
      </c>
      <c r="D237" s="16">
        <f>AVERAGE(ReturnData!D237:D247)</f>
        <v>-8.7272727272727252E-4</v>
      </c>
      <c r="E237" s="16">
        <f>AVERAGE(ReturnData!E237:E247)</f>
        <v>-2.5454545454545554E-4</v>
      </c>
      <c r="F237" s="16">
        <f>AVERAGE(ReturnData!F237:F247)</f>
        <v>6.5090909090909079E-3</v>
      </c>
      <c r="G237" s="16">
        <f>AVERAGE(ReturnData!G237:G247)</f>
        <v>1.3727272727272727E-2</v>
      </c>
      <c r="H237" s="16">
        <f>AVERAGE(ReturnData!H237:H247)</f>
        <v>5.9545454545454572E-3</v>
      </c>
      <c r="I237" s="16">
        <f>AVERAGE(ReturnData!I237:I247)</f>
        <v>4.2545454545454536E-3</v>
      </c>
      <c r="J237" s="16">
        <f>AVERAGE(ReturnData!J237:J247)</f>
        <v>1.3600000000000001E-2</v>
      </c>
      <c r="K237" s="16">
        <f>AVERAGE(ReturnData!K237:K247)</f>
        <v>1.3209090909090908E-2</v>
      </c>
      <c r="L237" s="16">
        <f>AVERAGE(ReturnData!L237:L247)</f>
        <v>5.8363636363636343E-3</v>
      </c>
      <c r="M237" s="16">
        <f>AVERAGE(ReturnData!M237:M247)</f>
        <v>7.4545454545454533E-3</v>
      </c>
      <c r="N237" s="16">
        <f>AVERAGE(ReturnData!N237:N247)</f>
        <v>4.4727272727272723E-3</v>
      </c>
      <c r="O237" s="16">
        <f>AVERAGE(ReturnData!O237:O247)</f>
        <v>-1.7509090909090908E-2</v>
      </c>
      <c r="P237" s="16">
        <f>AVERAGE(ReturnData!P237:P247)</f>
        <v>4.2727272727272753E-4</v>
      </c>
      <c r="Q237" s="16">
        <f>AVERAGE(ReturnData!Q237:Q247)</f>
        <v>1.109090909090909E-3</v>
      </c>
    </row>
    <row r="238" spans="1:17" x14ac:dyDescent="0.25">
      <c r="A238">
        <f>ReturnData!A250</f>
        <v>199409</v>
      </c>
      <c r="B238" s="16">
        <f>AVERAGE(ReturnData!B238:B248)</f>
        <v>1.863636363636364E-3</v>
      </c>
      <c r="C238" s="16">
        <f>AVERAGE(ReturnData!C238:C248)</f>
        <v>-1.3363636363636342E-3</v>
      </c>
      <c r="D238" s="16">
        <f>AVERAGE(ReturnData!D238:D248)</f>
        <v>-1.8727272727272727E-3</v>
      </c>
      <c r="E238" s="16">
        <f>AVERAGE(ReturnData!E238:E248)</f>
        <v>-3.7727272727272722E-3</v>
      </c>
      <c r="F238" s="16">
        <f>AVERAGE(ReturnData!F238:F248)</f>
        <v>1.7090909090909092E-3</v>
      </c>
      <c r="G238" s="16">
        <f>AVERAGE(ReturnData!G238:G248)</f>
        <v>1.411818181818182E-2</v>
      </c>
      <c r="H238" s="16">
        <f>AVERAGE(ReturnData!H238:H248)</f>
        <v>3.9909090909090901E-3</v>
      </c>
      <c r="I238" s="16">
        <f>AVERAGE(ReturnData!I238:I248)</f>
        <v>3.7818181818181818E-3</v>
      </c>
      <c r="J238" s="16">
        <f>AVERAGE(ReturnData!J238:J248)</f>
        <v>1.6945454545454545E-2</v>
      </c>
      <c r="K238" s="16">
        <f>AVERAGE(ReturnData!K238:K248)</f>
        <v>7.9272727272727272E-3</v>
      </c>
      <c r="L238" s="16">
        <f>AVERAGE(ReturnData!L238:L248)</f>
        <v>4.8090909090909096E-3</v>
      </c>
      <c r="M238" s="16">
        <f>AVERAGE(ReturnData!M238:M248)</f>
        <v>1.121818181818182E-2</v>
      </c>
      <c r="N238" s="16">
        <f>AVERAGE(ReturnData!N238:N248)</f>
        <v>1.636363636363637E-3</v>
      </c>
      <c r="O238" s="16">
        <f>AVERAGE(ReturnData!O238:O248)</f>
        <v>-1.6172727272727269E-2</v>
      </c>
      <c r="P238" s="16">
        <f>AVERAGE(ReturnData!P238:P248)</f>
        <v>-2.3363636363636369E-3</v>
      </c>
      <c r="Q238" s="16">
        <f>AVERAGE(ReturnData!Q238:Q248)</f>
        <v>8.3636363636363758E-4</v>
      </c>
    </row>
    <row r="239" spans="1:17" x14ac:dyDescent="0.25">
      <c r="A239">
        <f>ReturnData!A251</f>
        <v>199410</v>
      </c>
      <c r="B239" s="16">
        <f>AVERAGE(ReturnData!B239:B249)</f>
        <v>9.7727272727272732E-3</v>
      </c>
      <c r="C239" s="16">
        <f>AVERAGE(ReturnData!C239:C249)</f>
        <v>9.8999999999999991E-3</v>
      </c>
      <c r="D239" s="16">
        <f>AVERAGE(ReturnData!D239:D249)</f>
        <v>-3.2909090909090904E-3</v>
      </c>
      <c r="E239" s="16">
        <f>AVERAGE(ReturnData!E239:E249)</f>
        <v>3.9727272727272727E-3</v>
      </c>
      <c r="F239" s="16">
        <f>AVERAGE(ReturnData!F239:F249)</f>
        <v>6.4363636363636368E-3</v>
      </c>
      <c r="G239" s="16">
        <f>AVERAGE(ReturnData!G239:G249)</f>
        <v>2.2172727272727268E-2</v>
      </c>
      <c r="H239" s="16">
        <f>AVERAGE(ReturnData!H239:H249)</f>
        <v>1.4072727272727271E-2</v>
      </c>
      <c r="I239" s="16">
        <f>AVERAGE(ReturnData!I239:I249)</f>
        <v>1.1109090909090909E-2</v>
      </c>
      <c r="J239" s="16">
        <f>AVERAGE(ReturnData!J239:J249)</f>
        <v>2.5745454545454547E-2</v>
      </c>
      <c r="K239" s="16">
        <f>AVERAGE(ReturnData!K239:K249)</f>
        <v>1.0463636363636362E-2</v>
      </c>
      <c r="L239" s="16">
        <f>AVERAGE(ReturnData!L239:L249)</f>
        <v>1.1909090909090909E-2</v>
      </c>
      <c r="M239" s="16">
        <f>AVERAGE(ReturnData!M239:M249)</f>
        <v>9.3272727272727275E-3</v>
      </c>
      <c r="N239" s="16">
        <f>AVERAGE(ReturnData!N239:N249)</f>
        <v>5.2454545454545453E-3</v>
      </c>
      <c r="O239" s="16">
        <f>AVERAGE(ReturnData!O239:O249)</f>
        <v>-1.4990909090909093E-2</v>
      </c>
      <c r="P239" s="16">
        <f>AVERAGE(ReturnData!P239:P249)</f>
        <v>1.2090909090909099E-3</v>
      </c>
      <c r="Q239" s="16">
        <f>AVERAGE(ReturnData!Q239:Q249)</f>
        <v>1.8727272727272744E-3</v>
      </c>
    </row>
    <row r="240" spans="1:17" x14ac:dyDescent="0.25">
      <c r="A240">
        <f>ReturnData!A252</f>
        <v>199411</v>
      </c>
      <c r="B240" s="16">
        <f>AVERAGE(ReturnData!B240:B250)</f>
        <v>5.1909090909090915E-3</v>
      </c>
      <c r="C240" s="16">
        <f>AVERAGE(ReturnData!C240:C250)</f>
        <v>8.9636363636363629E-3</v>
      </c>
      <c r="D240" s="16">
        <f>AVERAGE(ReturnData!D240:D250)</f>
        <v>-3.4000000000000002E-3</v>
      </c>
      <c r="E240" s="16">
        <f>AVERAGE(ReturnData!E240:E250)</f>
        <v>-3.3272727272727278E-3</v>
      </c>
      <c r="F240" s="16">
        <f>AVERAGE(ReturnData!F240:F250)</f>
        <v>1.127272727272727E-3</v>
      </c>
      <c r="G240" s="16">
        <f>AVERAGE(ReturnData!G240:G250)</f>
        <v>1.9300000000000001E-2</v>
      </c>
      <c r="H240" s="16">
        <f>AVERAGE(ReturnData!H240:H250)</f>
        <v>8.6818181818181812E-3</v>
      </c>
      <c r="I240" s="16">
        <f>AVERAGE(ReturnData!I240:I250)</f>
        <v>5.6272727272727273E-3</v>
      </c>
      <c r="J240" s="16">
        <f>AVERAGE(ReturnData!J240:J250)</f>
        <v>2.2472727272727273E-2</v>
      </c>
      <c r="K240" s="16">
        <f>AVERAGE(ReturnData!K240:K250)</f>
        <v>1.8454545454545457E-3</v>
      </c>
      <c r="L240" s="16">
        <f>AVERAGE(ReturnData!L240:L250)</f>
        <v>9.5545454545454562E-3</v>
      </c>
      <c r="M240" s="16">
        <f>AVERAGE(ReturnData!M240:M250)</f>
        <v>-4.4090909090909085E-3</v>
      </c>
      <c r="N240" s="16">
        <f>AVERAGE(ReturnData!N240:N250)</f>
        <v>-2.6090909090909081E-3</v>
      </c>
      <c r="O240" s="16">
        <f>AVERAGE(ReturnData!O240:O250)</f>
        <v>-1.5727272727272729E-2</v>
      </c>
      <c r="P240" s="16">
        <f>AVERAGE(ReturnData!P240:P250)</f>
        <v>-5.909090909090909E-3</v>
      </c>
      <c r="Q240" s="16">
        <f>AVERAGE(ReturnData!Q240:Q250)</f>
        <v>1.0090909090909102E-3</v>
      </c>
    </row>
    <row r="241" spans="1:17" x14ac:dyDescent="0.25">
      <c r="A241">
        <f>ReturnData!A253</f>
        <v>199412</v>
      </c>
      <c r="B241" s="16">
        <f>AVERAGE(ReturnData!B241:B251)</f>
        <v>7.3363636363636374E-3</v>
      </c>
      <c r="C241" s="16">
        <f>AVERAGE(ReturnData!C241:C251)</f>
        <v>3.5272727272727261E-3</v>
      </c>
      <c r="D241" s="16">
        <f>AVERAGE(ReturnData!D241:D251)</f>
        <v>8.7363636363636376E-3</v>
      </c>
      <c r="E241" s="16">
        <f>AVERAGE(ReturnData!E241:E251)</f>
        <v>-2.9636363636363632E-3</v>
      </c>
      <c r="F241" s="16">
        <f>AVERAGE(ReturnData!F241:F251)</f>
        <v>1.3454545454545453E-3</v>
      </c>
      <c r="G241" s="16">
        <f>AVERAGE(ReturnData!G241:G251)</f>
        <v>1.8072727272727278E-2</v>
      </c>
      <c r="H241" s="16">
        <f>AVERAGE(ReturnData!H241:H251)</f>
        <v>8.8090909090909088E-3</v>
      </c>
      <c r="I241" s="16">
        <f>AVERAGE(ReturnData!I241:I251)</f>
        <v>3.672727272727272E-3</v>
      </c>
      <c r="J241" s="16">
        <f>AVERAGE(ReturnData!J241:J251)</f>
        <v>1.8718181818181818E-2</v>
      </c>
      <c r="K241" s="16">
        <f>AVERAGE(ReturnData!K241:K251)</f>
        <v>3.3909090909090907E-3</v>
      </c>
      <c r="L241" s="16">
        <f>AVERAGE(ReturnData!L241:L251)</f>
        <v>1.2927272727272726E-2</v>
      </c>
      <c r="M241" s="16">
        <f>AVERAGE(ReturnData!M241:M251)</f>
        <v>-7.3181818181818183E-3</v>
      </c>
      <c r="N241" s="16">
        <f>AVERAGE(ReturnData!N241:N251)</f>
        <v>-1.7636363636363637E-3</v>
      </c>
      <c r="O241" s="16">
        <f>AVERAGE(ReturnData!O241:O251)</f>
        <v>-9.281818181818181E-3</v>
      </c>
      <c r="P241" s="16">
        <f>AVERAGE(ReturnData!P241:P251)</f>
        <v>-5.5454545454545444E-3</v>
      </c>
      <c r="Q241" s="16">
        <f>AVERAGE(ReturnData!Q241:Q251)</f>
        <v>4.8090909090909104E-3</v>
      </c>
    </row>
    <row r="242" spans="1:17" x14ac:dyDescent="0.25">
      <c r="A242">
        <f>ReturnData!A254</f>
        <v>199501</v>
      </c>
      <c r="B242" s="16">
        <f>AVERAGE(ReturnData!B242:B252)</f>
        <v>5.0272727272727283E-3</v>
      </c>
      <c r="C242" s="16">
        <f>AVERAGE(ReturnData!C242:C252)</f>
        <v>-1.4781818181818184E-2</v>
      </c>
      <c r="D242" s="16">
        <f>AVERAGE(ReturnData!D242:D252)</f>
        <v>3.5545454545454561E-3</v>
      </c>
      <c r="E242" s="16">
        <f>AVERAGE(ReturnData!E242:E252)</f>
        <v>-6.7636363636363632E-3</v>
      </c>
      <c r="F242" s="16">
        <f>AVERAGE(ReturnData!F242:F252)</f>
        <v>-4.1181818181818186E-3</v>
      </c>
      <c r="G242" s="16">
        <f>AVERAGE(ReturnData!G242:G252)</f>
        <v>8.6818181818181829E-3</v>
      </c>
      <c r="H242" s="16">
        <f>AVERAGE(ReturnData!H242:H252)</f>
        <v>8.6909090909090912E-3</v>
      </c>
      <c r="I242" s="16">
        <f>AVERAGE(ReturnData!I242:I252)</f>
        <v>-1.0545454545454558E-3</v>
      </c>
      <c r="J242" s="16">
        <f>AVERAGE(ReturnData!J242:J252)</f>
        <v>4.899999999999999E-3</v>
      </c>
      <c r="K242" s="16">
        <f>AVERAGE(ReturnData!K242:K252)</f>
        <v>-3.1545454545454554E-3</v>
      </c>
      <c r="L242" s="16">
        <f>AVERAGE(ReturnData!L242:L252)</f>
        <v>4.9363636363636363E-3</v>
      </c>
      <c r="M242" s="16">
        <f>AVERAGE(ReturnData!M242:M252)</f>
        <v>-1.5463636363636363E-2</v>
      </c>
      <c r="N242" s="16">
        <f>AVERAGE(ReturnData!N242:N252)</f>
        <v>-8.6545454545454547E-3</v>
      </c>
      <c r="O242" s="16">
        <f>AVERAGE(ReturnData!O242:O252)</f>
        <v>-1.0499999999999999E-2</v>
      </c>
      <c r="P242" s="16">
        <f>AVERAGE(ReturnData!P242:P252)</f>
        <v>-5.6636363636363629E-3</v>
      </c>
      <c r="Q242" s="16">
        <f>AVERAGE(ReturnData!Q242:Q252)</f>
        <v>-2.1272727272727246E-3</v>
      </c>
    </row>
    <row r="243" spans="1:17" x14ac:dyDescent="0.25">
      <c r="A243">
        <f>ReturnData!A255</f>
        <v>199502</v>
      </c>
      <c r="B243" s="16">
        <f>AVERAGE(ReturnData!B243:B253)</f>
        <v>6.9727272727272745E-3</v>
      </c>
      <c r="C243" s="16">
        <f>AVERAGE(ReturnData!C243:C253)</f>
        <v>-1.3354545454545454E-2</v>
      </c>
      <c r="D243" s="16">
        <f>AVERAGE(ReturnData!D243:D253)</f>
        <v>-1.5272727272727263E-3</v>
      </c>
      <c r="E243" s="16">
        <f>AVERAGE(ReturnData!E243:E253)</f>
        <v>-3.3545454545454547E-3</v>
      </c>
      <c r="F243" s="16">
        <f>AVERAGE(ReturnData!F243:F253)</f>
        <v>-5.2090909090909089E-3</v>
      </c>
      <c r="G243" s="16">
        <f>AVERAGE(ReturnData!G243:G253)</f>
        <v>4.2818181818181809E-3</v>
      </c>
      <c r="H243" s="16">
        <f>AVERAGE(ReturnData!H243:H253)</f>
        <v>8.1727272727272707E-3</v>
      </c>
      <c r="I243" s="16">
        <f>AVERAGE(ReturnData!I243:I253)</f>
        <v>-2.7181818181818197E-3</v>
      </c>
      <c r="J243" s="16">
        <f>AVERAGE(ReturnData!J243:J253)</f>
        <v>-5.3636363636363853E-4</v>
      </c>
      <c r="K243" s="16">
        <f>AVERAGE(ReturnData!K243:K253)</f>
        <v>-2.6727272727272737E-3</v>
      </c>
      <c r="L243" s="16">
        <f>AVERAGE(ReturnData!L243:L253)</f>
        <v>4.3727272727272721E-3</v>
      </c>
      <c r="M243" s="16">
        <f>AVERAGE(ReturnData!M243:M253)</f>
        <v>-1.8872727272727274E-2</v>
      </c>
      <c r="N243" s="16">
        <f>AVERAGE(ReturnData!N243:N253)</f>
        <v>-1.0145454545454546E-2</v>
      </c>
      <c r="O243" s="16">
        <f>AVERAGE(ReturnData!O243:O253)</f>
        <v>-9.0818181818181805E-3</v>
      </c>
      <c r="P243" s="16">
        <f>AVERAGE(ReturnData!P243:P253)</f>
        <v>-1.029090909090909E-2</v>
      </c>
      <c r="Q243" s="16">
        <f>AVERAGE(ReturnData!Q243:Q253)</f>
        <v>-4.672727272727272E-3</v>
      </c>
    </row>
    <row r="244" spans="1:17" x14ac:dyDescent="0.25">
      <c r="A244">
        <f>ReturnData!A256</f>
        <v>199503</v>
      </c>
      <c r="B244" s="16">
        <f>AVERAGE(ReturnData!B244:B254)</f>
        <v>1.0072727272727275E-2</v>
      </c>
      <c r="C244" s="16">
        <f>AVERAGE(ReturnData!C244:C254)</f>
        <v>-1.8127272727272728E-2</v>
      </c>
      <c r="D244" s="16">
        <f>AVERAGE(ReturnData!D244:D254)</f>
        <v>1.3454545454545462E-3</v>
      </c>
      <c r="E244" s="16">
        <f>AVERAGE(ReturnData!E244:E254)</f>
        <v>-7.7727272727272732E-3</v>
      </c>
      <c r="F244" s="16">
        <f>AVERAGE(ReturnData!F244:F254)</f>
        <v>-2.8545454545454542E-3</v>
      </c>
      <c r="G244" s="16">
        <f>AVERAGE(ReturnData!G244:G254)</f>
        <v>2.8090909090909087E-3</v>
      </c>
      <c r="H244" s="16">
        <f>AVERAGE(ReturnData!H244:H254)</f>
        <v>1.7981818181818182E-2</v>
      </c>
      <c r="I244" s="16">
        <f>AVERAGE(ReturnData!I244:I254)</f>
        <v>-1.6909090909090923E-3</v>
      </c>
      <c r="J244" s="16">
        <f>AVERAGE(ReturnData!J244:J254)</f>
        <v>-3.2454545454545475E-3</v>
      </c>
      <c r="K244" s="16">
        <f>AVERAGE(ReturnData!K244:K254)</f>
        <v>1.4545454545454456E-4</v>
      </c>
      <c r="L244" s="16">
        <f>AVERAGE(ReturnData!L244:L254)</f>
        <v>3.3363636363636356E-3</v>
      </c>
      <c r="M244" s="16">
        <f>AVERAGE(ReturnData!M244:M254)</f>
        <v>-1.9872727272727271E-2</v>
      </c>
      <c r="N244" s="16">
        <f>AVERAGE(ReturnData!N244:N254)</f>
        <v>-6.8272727272727261E-3</v>
      </c>
      <c r="O244" s="16">
        <f>AVERAGE(ReturnData!O244:O254)</f>
        <v>1.0818181818181825E-3</v>
      </c>
      <c r="P244" s="16">
        <f>AVERAGE(ReturnData!P244:P254)</f>
        <v>-1.0818181818181817E-2</v>
      </c>
      <c r="Q244" s="16">
        <f>AVERAGE(ReturnData!Q244:Q254)</f>
        <v>4.1363636363636377E-3</v>
      </c>
    </row>
    <row r="245" spans="1:17" x14ac:dyDescent="0.25">
      <c r="A245">
        <f>ReturnData!A257</f>
        <v>199504</v>
      </c>
      <c r="B245" s="16">
        <f>AVERAGE(ReturnData!B245:B255)</f>
        <v>1.6045454545454547E-2</v>
      </c>
      <c r="C245" s="16">
        <f>AVERAGE(ReturnData!C245:C255)</f>
        <v>-1.5845454545454548E-2</v>
      </c>
      <c r="D245" s="16">
        <f>AVERAGE(ReturnData!D245:D255)</f>
        <v>8.8909090909090899E-3</v>
      </c>
      <c r="E245" s="16">
        <f>AVERAGE(ReturnData!E245:E255)</f>
        <v>-5.000000000000001E-3</v>
      </c>
      <c r="F245" s="16">
        <f>AVERAGE(ReturnData!F245:F255)</f>
        <v>4.9363636363636354E-3</v>
      </c>
      <c r="G245" s="16">
        <f>AVERAGE(ReturnData!G245:G255)</f>
        <v>1.0999999999999999E-2</v>
      </c>
      <c r="H245" s="16">
        <f>AVERAGE(ReturnData!H245:H255)</f>
        <v>2.6090909090909088E-2</v>
      </c>
      <c r="I245" s="16">
        <f>AVERAGE(ReturnData!I245:I255)</f>
        <v>5.1636363636363624E-3</v>
      </c>
      <c r="J245" s="16">
        <f>AVERAGE(ReturnData!J245:J255)</f>
        <v>5.0090909090909075E-3</v>
      </c>
      <c r="K245" s="16">
        <f>AVERAGE(ReturnData!K245:K255)</f>
        <v>8.0090909090909084E-3</v>
      </c>
      <c r="L245" s="16">
        <f>AVERAGE(ReturnData!L245:L255)</f>
        <v>1.3190909090909092E-2</v>
      </c>
      <c r="M245" s="16">
        <f>AVERAGE(ReturnData!M245:M255)</f>
        <v>-9.6999999999999986E-3</v>
      </c>
      <c r="N245" s="16">
        <f>AVERAGE(ReturnData!N245:N255)</f>
        <v>4.2363636363636362E-3</v>
      </c>
      <c r="O245" s="16">
        <f>AVERAGE(ReturnData!O245:O255)</f>
        <v>5.3909090909090912E-3</v>
      </c>
      <c r="P245" s="16">
        <f>AVERAGE(ReturnData!P245:P255)</f>
        <v>-3.672727272727272E-3</v>
      </c>
      <c r="Q245" s="16">
        <f>AVERAGE(ReturnData!Q245:Q255)</f>
        <v>1.1563636363636366E-2</v>
      </c>
    </row>
    <row r="246" spans="1:17" x14ac:dyDescent="0.25">
      <c r="A246">
        <f>ReturnData!A258</f>
        <v>199505</v>
      </c>
      <c r="B246" s="16">
        <f>AVERAGE(ReturnData!B246:B256)</f>
        <v>1.7754545454545453E-2</v>
      </c>
      <c r="C246" s="16">
        <f>AVERAGE(ReturnData!C246:C256)</f>
        <v>2.5454545454545465E-3</v>
      </c>
      <c r="D246" s="16">
        <f>AVERAGE(ReturnData!D246:D256)</f>
        <v>9.7272727272727285E-3</v>
      </c>
      <c r="E246" s="16">
        <f>AVERAGE(ReturnData!E246:E256)</f>
        <v>-5.2363636363636362E-3</v>
      </c>
      <c r="F246" s="16">
        <f>AVERAGE(ReturnData!F246:F256)</f>
        <v>9.8272727272727279E-3</v>
      </c>
      <c r="G246" s="16">
        <f>AVERAGE(ReturnData!G246:G256)</f>
        <v>1.408181818181818E-2</v>
      </c>
      <c r="H246" s="16">
        <f>AVERAGE(ReturnData!H246:H256)</f>
        <v>2.3645454545454546E-2</v>
      </c>
      <c r="I246" s="16">
        <f>AVERAGE(ReturnData!I246:I256)</f>
        <v>4.9636363636363636E-3</v>
      </c>
      <c r="J246" s="16">
        <f>AVERAGE(ReturnData!J246:J256)</f>
        <v>7.8999999999999973E-3</v>
      </c>
      <c r="K246" s="16">
        <f>AVERAGE(ReturnData!K246:K256)</f>
        <v>1.1827272727272726E-2</v>
      </c>
      <c r="L246" s="16">
        <f>AVERAGE(ReturnData!L246:L256)</f>
        <v>1.9109090909090909E-2</v>
      </c>
      <c r="M246" s="16">
        <f>AVERAGE(ReturnData!M246:M256)</f>
        <v>-8.9727272727272728E-3</v>
      </c>
      <c r="N246" s="16">
        <f>AVERAGE(ReturnData!N246:N256)</f>
        <v>8.7727272727272723E-3</v>
      </c>
      <c r="O246" s="16">
        <f>AVERAGE(ReturnData!O246:O256)</f>
        <v>1.863636363636364E-3</v>
      </c>
      <c r="P246" s="16">
        <f>AVERAGE(ReturnData!P246:P256)</f>
        <v>2.1818181818181875E-4</v>
      </c>
      <c r="Q246" s="16">
        <f>AVERAGE(ReturnData!Q246:Q256)</f>
        <v>1.0372727272727275E-2</v>
      </c>
    </row>
    <row r="247" spans="1:17" x14ac:dyDescent="0.25">
      <c r="A247">
        <f>ReturnData!A259</f>
        <v>199506</v>
      </c>
      <c r="B247" s="16">
        <f>AVERAGE(ReturnData!B247:B257)</f>
        <v>2.2263636363636364E-2</v>
      </c>
      <c r="C247" s="16">
        <f>AVERAGE(ReturnData!C247:C257)</f>
        <v>4.636363636363635E-4</v>
      </c>
      <c r="D247" s="16">
        <f>AVERAGE(ReturnData!D247:D257)</f>
        <v>1.1009090909090911E-2</v>
      </c>
      <c r="E247" s="16">
        <f>AVERAGE(ReturnData!E247:E257)</f>
        <v>-2.7909090909090913E-3</v>
      </c>
      <c r="F247" s="16">
        <f>AVERAGE(ReturnData!F247:F257)</f>
        <v>9.7090909090909103E-3</v>
      </c>
      <c r="G247" s="16">
        <f>AVERAGE(ReturnData!G247:G257)</f>
        <v>1.3563636363636363E-2</v>
      </c>
      <c r="H247" s="16">
        <f>AVERAGE(ReturnData!H247:H257)</f>
        <v>2.408181818181818E-2</v>
      </c>
      <c r="I247" s="16">
        <f>AVERAGE(ReturnData!I247:I257)</f>
        <v>3.7272727272727266E-3</v>
      </c>
      <c r="J247" s="16">
        <f>AVERAGE(ReturnData!J247:J257)</f>
        <v>4.8545454545454525E-3</v>
      </c>
      <c r="K247" s="16">
        <f>AVERAGE(ReturnData!K247:K257)</f>
        <v>1.0118181818181818E-2</v>
      </c>
      <c r="L247" s="16">
        <f>AVERAGE(ReturnData!L247:L257)</f>
        <v>2.5963636363636366E-2</v>
      </c>
      <c r="M247" s="16">
        <f>AVERAGE(ReturnData!M247:M257)</f>
        <v>-5.3909090909090886E-3</v>
      </c>
      <c r="N247" s="16">
        <f>AVERAGE(ReturnData!N247:N257)</f>
        <v>1.240909090909091E-2</v>
      </c>
      <c r="O247" s="16">
        <f>AVERAGE(ReturnData!O247:O257)</f>
        <v>8.8909090909090899E-3</v>
      </c>
      <c r="P247" s="16">
        <f>AVERAGE(ReturnData!P247:P257)</f>
        <v>6.0909090909090917E-4</v>
      </c>
      <c r="Q247" s="16">
        <f>AVERAGE(ReturnData!Q247:Q257)</f>
        <v>8.0636363636363648E-3</v>
      </c>
    </row>
    <row r="248" spans="1:17" x14ac:dyDescent="0.25">
      <c r="A248">
        <f>ReturnData!A260</f>
        <v>199507</v>
      </c>
      <c r="B248" s="16">
        <f>AVERAGE(ReturnData!B248:B258)</f>
        <v>2.8081818181818183E-2</v>
      </c>
      <c r="C248" s="16">
        <f>AVERAGE(ReturnData!C248:C258)</f>
        <v>1.7181818181818194E-3</v>
      </c>
      <c r="D248" s="16">
        <f>AVERAGE(ReturnData!D248:D258)</f>
        <v>1.7263636363636366E-2</v>
      </c>
      <c r="E248" s="16">
        <f>AVERAGE(ReturnData!E248:E258)</f>
        <v>2.0727272727272721E-3</v>
      </c>
      <c r="F248" s="16">
        <f>AVERAGE(ReturnData!F248:F258)</f>
        <v>1.4109090909090906E-2</v>
      </c>
      <c r="G248" s="16">
        <f>AVERAGE(ReturnData!G248:G258)</f>
        <v>1.8827272727272724E-2</v>
      </c>
      <c r="H248" s="16">
        <f>AVERAGE(ReturnData!H248:H258)</f>
        <v>2.9599999999999994E-2</v>
      </c>
      <c r="I248" s="16">
        <f>AVERAGE(ReturnData!I248:I258)</f>
        <v>8.0363636363636366E-3</v>
      </c>
      <c r="J248" s="16">
        <f>AVERAGE(ReturnData!J248:J258)</f>
        <v>5.5909090909090891E-3</v>
      </c>
      <c r="K248" s="16">
        <f>AVERAGE(ReturnData!K248:K258)</f>
        <v>1.5063636363636364E-2</v>
      </c>
      <c r="L248" s="16">
        <f>AVERAGE(ReturnData!L248:L258)</f>
        <v>3.3300000000000003E-2</v>
      </c>
      <c r="M248" s="16">
        <f>AVERAGE(ReturnData!M248:M258)</f>
        <v>1.9272727272727267E-3</v>
      </c>
      <c r="N248" s="16">
        <f>AVERAGE(ReturnData!N248:N258)</f>
        <v>1.5881818181818181E-2</v>
      </c>
      <c r="O248" s="16">
        <f>AVERAGE(ReturnData!O248:O258)</f>
        <v>1.72E-2</v>
      </c>
      <c r="P248" s="16">
        <f>AVERAGE(ReturnData!P248:P258)</f>
        <v>5.7636363636363649E-3</v>
      </c>
      <c r="Q248" s="16">
        <f>AVERAGE(ReturnData!Q248:Q258)</f>
        <v>1.6045454545454547E-2</v>
      </c>
    </row>
    <row r="249" spans="1:17" x14ac:dyDescent="0.25">
      <c r="A249">
        <f>ReturnData!A261</f>
        <v>199508</v>
      </c>
      <c r="B249" s="16">
        <f>AVERAGE(ReturnData!B249:B259)</f>
        <v>2.6618181818181822E-2</v>
      </c>
      <c r="C249" s="16">
        <f>AVERAGE(ReturnData!C249:C259)</f>
        <v>1.8181818181818186E-3</v>
      </c>
      <c r="D249" s="16">
        <f>AVERAGE(ReturnData!D249:D259)</f>
        <v>1.1609090909090913E-2</v>
      </c>
      <c r="E249" s="16">
        <f>AVERAGE(ReturnData!E249:E259)</f>
        <v>3.1181818181818181E-3</v>
      </c>
      <c r="F249" s="16">
        <f>AVERAGE(ReturnData!F249:F259)</f>
        <v>1.2672727272727273E-2</v>
      </c>
      <c r="G249" s="16">
        <f>AVERAGE(ReturnData!G249:G259)</f>
        <v>1.6609090909090907E-2</v>
      </c>
      <c r="H249" s="16">
        <f>AVERAGE(ReturnData!H249:H259)</f>
        <v>3.1090909090909089E-2</v>
      </c>
      <c r="I249" s="16">
        <f>AVERAGE(ReturnData!I249:I259)</f>
        <v>8.4090909090909095E-3</v>
      </c>
      <c r="J249" s="16">
        <f>AVERAGE(ReturnData!J249:J259)</f>
        <v>5.6545454545454546E-3</v>
      </c>
      <c r="K249" s="16">
        <f>AVERAGE(ReturnData!K249:K259)</f>
        <v>1.6172727272727269E-2</v>
      </c>
      <c r="L249" s="16">
        <f>AVERAGE(ReturnData!L249:L259)</f>
        <v>3.4700000000000002E-2</v>
      </c>
      <c r="M249" s="16">
        <f>AVERAGE(ReturnData!M249:M259)</f>
        <v>-3.9090909090908949E-4</v>
      </c>
      <c r="N249" s="16">
        <f>AVERAGE(ReturnData!N249:N259)</f>
        <v>1.8845454545454547E-2</v>
      </c>
      <c r="O249" s="16">
        <f>AVERAGE(ReturnData!O249:O259)</f>
        <v>1.21E-2</v>
      </c>
      <c r="P249" s="16">
        <f>AVERAGE(ReturnData!P249:P259)</f>
        <v>9.7090909090909103E-3</v>
      </c>
      <c r="Q249" s="16">
        <f>AVERAGE(ReturnData!Q249:Q259)</f>
        <v>1.5081818181818181E-2</v>
      </c>
    </row>
    <row r="250" spans="1:17" x14ac:dyDescent="0.25">
      <c r="A250">
        <f>ReturnData!A262</f>
        <v>199509</v>
      </c>
      <c r="B250" s="16">
        <f>AVERAGE(ReturnData!B250:B260)</f>
        <v>2.116363636363636E-2</v>
      </c>
      <c r="C250" s="16">
        <f>AVERAGE(ReturnData!C250:C260)</f>
        <v>2.927272727272728E-3</v>
      </c>
      <c r="D250" s="16">
        <f>AVERAGE(ReturnData!D250:D260)</f>
        <v>1.3800000000000002E-2</v>
      </c>
      <c r="E250" s="16">
        <f>AVERAGE(ReturnData!E250:E260)</f>
        <v>4.072727272727273E-3</v>
      </c>
      <c r="F250" s="16">
        <f>AVERAGE(ReturnData!F250:F260)</f>
        <v>1.1054545454545456E-2</v>
      </c>
      <c r="G250" s="16">
        <f>AVERAGE(ReturnData!G250:G260)</f>
        <v>1.3363636363636362E-2</v>
      </c>
      <c r="H250" s="16">
        <f>AVERAGE(ReturnData!H250:H260)</f>
        <v>2.3699999999999999E-2</v>
      </c>
      <c r="I250" s="16">
        <f>AVERAGE(ReturnData!I250:I260)</f>
        <v>7.1545454545454542E-3</v>
      </c>
      <c r="J250" s="16">
        <f>AVERAGE(ReturnData!J250:J260)</f>
        <v>6.7272727272727258E-3</v>
      </c>
      <c r="K250" s="16">
        <f>AVERAGE(ReturnData!K250:K260)</f>
        <v>1.6318181818181818E-2</v>
      </c>
      <c r="L250" s="16">
        <f>AVERAGE(ReturnData!L250:L260)</f>
        <v>3.5518181818181824E-2</v>
      </c>
      <c r="M250" s="16">
        <f>AVERAGE(ReturnData!M250:M260)</f>
        <v>2.7272727272727292E-3</v>
      </c>
      <c r="N250" s="16">
        <f>AVERAGE(ReturnData!N250:N260)</f>
        <v>2.2854545454545457E-2</v>
      </c>
      <c r="O250" s="16">
        <f>AVERAGE(ReturnData!O250:O260)</f>
        <v>1.1163636363636363E-2</v>
      </c>
      <c r="P250" s="16">
        <f>AVERAGE(ReturnData!P250:P260)</f>
        <v>8.8090909090909105E-3</v>
      </c>
      <c r="Q250" s="16">
        <f>AVERAGE(ReturnData!Q250:Q260)</f>
        <v>1.5681818181818182E-2</v>
      </c>
    </row>
    <row r="251" spans="1:17" x14ac:dyDescent="0.25">
      <c r="A251">
        <f>ReturnData!A263</f>
        <v>199510</v>
      </c>
      <c r="B251" s="16">
        <f>AVERAGE(ReturnData!B251:B261)</f>
        <v>2.0454545454545458E-2</v>
      </c>
      <c r="C251" s="16">
        <f>AVERAGE(ReturnData!C251:C261)</f>
        <v>-1.245454545454544E-3</v>
      </c>
      <c r="D251" s="16">
        <f>AVERAGE(ReturnData!D251:D261)</f>
        <v>1.4190909090909093E-2</v>
      </c>
      <c r="E251" s="16">
        <f>AVERAGE(ReturnData!E251:E261)</f>
        <v>7.3909090909090903E-3</v>
      </c>
      <c r="F251" s="16">
        <f>AVERAGE(ReturnData!F251:F261)</f>
        <v>1.3381818181818182E-2</v>
      </c>
      <c r="G251" s="16">
        <f>AVERAGE(ReturnData!G251:G261)</f>
        <v>1.4009090909090909E-2</v>
      </c>
      <c r="H251" s="16">
        <f>AVERAGE(ReturnData!H251:H261)</f>
        <v>2.3309090909090911E-2</v>
      </c>
      <c r="I251" s="16">
        <f>AVERAGE(ReturnData!I251:I261)</f>
        <v>8.5636363636363635E-3</v>
      </c>
      <c r="J251" s="16">
        <f>AVERAGE(ReturnData!J251:J261)</f>
        <v>6.0999999999999995E-3</v>
      </c>
      <c r="K251" s="16">
        <f>AVERAGE(ReturnData!K251:K261)</f>
        <v>1.7527272727272728E-2</v>
      </c>
      <c r="L251" s="16">
        <f>AVERAGE(ReturnData!L251:L261)</f>
        <v>3.6818181818181826E-2</v>
      </c>
      <c r="M251" s="16">
        <f>AVERAGE(ReturnData!M251:M261)</f>
        <v>8.3181818181818201E-3</v>
      </c>
      <c r="N251" s="16">
        <f>AVERAGE(ReturnData!N251:N261)</f>
        <v>2.8409090909090915E-2</v>
      </c>
      <c r="O251" s="16">
        <f>AVERAGE(ReturnData!O251:O261)</f>
        <v>1.458181818181818E-2</v>
      </c>
      <c r="P251" s="16">
        <f>AVERAGE(ReturnData!P251:P261)</f>
        <v>8.363636363636363E-3</v>
      </c>
      <c r="Q251" s="16">
        <f>AVERAGE(ReturnData!Q251:Q261)</f>
        <v>2.4745454545454546E-2</v>
      </c>
    </row>
    <row r="252" spans="1:17" x14ac:dyDescent="0.25">
      <c r="A252">
        <f>ReturnData!A264</f>
        <v>199511</v>
      </c>
      <c r="B252" s="16">
        <f>AVERAGE(ReturnData!B252:B262)</f>
        <v>2.5536363636363638E-2</v>
      </c>
      <c r="C252" s="16">
        <f>AVERAGE(ReturnData!C252:C262)</f>
        <v>6.7272727272727267E-3</v>
      </c>
      <c r="D252" s="16">
        <f>AVERAGE(ReturnData!D252:D262)</f>
        <v>8.6181818181818182E-3</v>
      </c>
      <c r="E252" s="16">
        <f>AVERAGE(ReturnData!E252:E262)</f>
        <v>7.6363636363636364E-3</v>
      </c>
      <c r="F252" s="16">
        <f>AVERAGE(ReturnData!F252:F262)</f>
        <v>1.3745454545454545E-2</v>
      </c>
      <c r="G252" s="16">
        <f>AVERAGE(ReturnData!G252:G262)</f>
        <v>1.6318181818181818E-2</v>
      </c>
      <c r="H252" s="16">
        <f>AVERAGE(ReturnData!H252:H262)</f>
        <v>2.8263636363636366E-2</v>
      </c>
      <c r="I252" s="16">
        <f>AVERAGE(ReturnData!I252:I262)</f>
        <v>9.5999999999999992E-3</v>
      </c>
      <c r="J252" s="16">
        <f>AVERAGE(ReturnData!J252:J262)</f>
        <v>5.7454545454545432E-3</v>
      </c>
      <c r="K252" s="16">
        <f>AVERAGE(ReturnData!K252:K262)</f>
        <v>1.2363636363636365E-2</v>
      </c>
      <c r="L252" s="16">
        <f>AVERAGE(ReturnData!L252:L262)</f>
        <v>3.3863636363636367E-2</v>
      </c>
      <c r="M252" s="16">
        <f>AVERAGE(ReturnData!M252:M262)</f>
        <v>9.4727272727272733E-3</v>
      </c>
      <c r="N252" s="16">
        <f>AVERAGE(ReturnData!N252:N262)</f>
        <v>2.9872727272727273E-2</v>
      </c>
      <c r="O252" s="16">
        <f>AVERAGE(ReturnData!O252:O262)</f>
        <v>1.8854545454545454E-2</v>
      </c>
      <c r="P252" s="16">
        <f>AVERAGE(ReturnData!P252:P262)</f>
        <v>1.0781818181818182E-2</v>
      </c>
      <c r="Q252" s="16">
        <f>AVERAGE(ReturnData!Q252:Q262)</f>
        <v>2.9681818181818184E-2</v>
      </c>
    </row>
    <row r="253" spans="1:17" x14ac:dyDescent="0.25">
      <c r="A253">
        <f>ReturnData!A265</f>
        <v>199512</v>
      </c>
      <c r="B253" s="16">
        <f>AVERAGE(ReturnData!B253:B263)</f>
        <v>2.8036363636363641E-2</v>
      </c>
      <c r="C253" s="16">
        <f>AVERAGE(ReturnData!C253:C263)</f>
        <v>7.4727272727272732E-3</v>
      </c>
      <c r="D253" s="16">
        <f>AVERAGE(ReturnData!D253:D263)</f>
        <v>1.3081818181818182E-2</v>
      </c>
      <c r="E253" s="16">
        <f>AVERAGE(ReturnData!E253:E263)</f>
        <v>6.1818181818181824E-3</v>
      </c>
      <c r="F253" s="16">
        <f>AVERAGE(ReturnData!F253:F263)</f>
        <v>1.6272727272727272E-2</v>
      </c>
      <c r="G253" s="16">
        <f>AVERAGE(ReturnData!G253:G263)</f>
        <v>1.8227272727272727E-2</v>
      </c>
      <c r="H253" s="16">
        <f>AVERAGE(ReturnData!H253:H263)</f>
        <v>3.0172727272727271E-2</v>
      </c>
      <c r="I253" s="16">
        <f>AVERAGE(ReturnData!I253:I263)</f>
        <v>1.1081818181818184E-2</v>
      </c>
      <c r="J253" s="16">
        <f>AVERAGE(ReturnData!J253:J263)</f>
        <v>8.0454545454545449E-3</v>
      </c>
      <c r="K253" s="16">
        <f>AVERAGE(ReturnData!K253:K263)</f>
        <v>9.5090909090909097E-3</v>
      </c>
      <c r="L253" s="16">
        <f>AVERAGE(ReturnData!L253:L263)</f>
        <v>3.8045454545454556E-2</v>
      </c>
      <c r="M253" s="16">
        <f>AVERAGE(ReturnData!M253:M263)</f>
        <v>8.9727272727272728E-3</v>
      </c>
      <c r="N253" s="16">
        <f>AVERAGE(ReturnData!N253:N263)</f>
        <v>3.1399999999999997E-2</v>
      </c>
      <c r="O253" s="16">
        <f>AVERAGE(ReturnData!O253:O263)</f>
        <v>1.9954545454545454E-2</v>
      </c>
      <c r="P253" s="16">
        <f>AVERAGE(ReturnData!P253:P263)</f>
        <v>7.6909090909090894E-3</v>
      </c>
      <c r="Q253" s="16">
        <f>AVERAGE(ReturnData!Q253:Q263)</f>
        <v>3.2809090909090906E-2</v>
      </c>
    </row>
    <row r="254" spans="1:17" x14ac:dyDescent="0.25">
      <c r="A254">
        <f>ReturnData!A266</f>
        <v>199601</v>
      </c>
      <c r="B254" s="16">
        <f>AVERAGE(ReturnData!B254:B264)</f>
        <v>3.0672727272727275E-2</v>
      </c>
      <c r="C254" s="16">
        <f>AVERAGE(ReturnData!C254:C264)</f>
        <v>1.2563636363636362E-2</v>
      </c>
      <c r="D254" s="16">
        <f>AVERAGE(ReturnData!D254:D264)</f>
        <v>1.8154545454545454E-2</v>
      </c>
      <c r="E254" s="16">
        <f>AVERAGE(ReturnData!E254:E264)</f>
        <v>7.454545454545455E-3</v>
      </c>
      <c r="F254" s="16">
        <f>AVERAGE(ReturnData!F254:F264)</f>
        <v>2.0499999999999997E-2</v>
      </c>
      <c r="G254" s="16">
        <f>AVERAGE(ReturnData!G254:G264)</f>
        <v>2.0763636363636366E-2</v>
      </c>
      <c r="H254" s="16">
        <f>AVERAGE(ReturnData!H254:H264)</f>
        <v>3.4800000000000005E-2</v>
      </c>
      <c r="I254" s="16">
        <f>AVERAGE(ReturnData!I254:I264)</f>
        <v>1.7072727272727274E-2</v>
      </c>
      <c r="J254" s="16">
        <f>AVERAGE(ReturnData!J254:J264)</f>
        <v>1.1409090909090909E-2</v>
      </c>
      <c r="K254" s="16">
        <f>AVERAGE(ReturnData!K254:K264)</f>
        <v>1.5081818181818184E-2</v>
      </c>
      <c r="L254" s="16">
        <f>AVERAGE(ReturnData!L254:L264)</f>
        <v>3.4763636363636372E-2</v>
      </c>
      <c r="M254" s="16">
        <f>AVERAGE(ReturnData!M254:M264)</f>
        <v>9.8181818181818196E-3</v>
      </c>
      <c r="N254" s="16">
        <f>AVERAGE(ReturnData!N254:N264)</f>
        <v>3.6254545454545456E-2</v>
      </c>
      <c r="O254" s="16">
        <f>AVERAGE(ReturnData!O254:O264)</f>
        <v>2.1072727272727274E-2</v>
      </c>
      <c r="P254" s="16">
        <f>AVERAGE(ReturnData!P254:P264)</f>
        <v>1.6800000000000002E-2</v>
      </c>
      <c r="Q254" s="16">
        <f>AVERAGE(ReturnData!Q254:Q264)</f>
        <v>3.7727272727272727E-2</v>
      </c>
    </row>
    <row r="255" spans="1:17" x14ac:dyDescent="0.25">
      <c r="A255">
        <f>ReturnData!A267</f>
        <v>199602</v>
      </c>
      <c r="B255" s="16">
        <f>AVERAGE(ReturnData!B255:B265)</f>
        <v>2.979090909090909E-2</v>
      </c>
      <c r="C255" s="16">
        <f>AVERAGE(ReturnData!C255:C265)</f>
        <v>2.0518181818181821E-2</v>
      </c>
      <c r="D255" s="16">
        <f>AVERAGE(ReturnData!D255:D265)</f>
        <v>2.3136363636363632E-2</v>
      </c>
      <c r="E255" s="16">
        <f>AVERAGE(ReturnData!E255:E265)</f>
        <v>1.2254545454545455E-2</v>
      </c>
      <c r="F255" s="16">
        <f>AVERAGE(ReturnData!F255:F265)</f>
        <v>1.8190909090909091E-2</v>
      </c>
      <c r="G255" s="16">
        <f>AVERAGE(ReturnData!G255:G265)</f>
        <v>2.4981818181818181E-2</v>
      </c>
      <c r="H255" s="16">
        <f>AVERAGE(ReturnData!H255:H265)</f>
        <v>3.3154545454545457E-2</v>
      </c>
      <c r="I255" s="16">
        <f>AVERAGE(ReturnData!I255:I265)</f>
        <v>1.771818181818182E-2</v>
      </c>
      <c r="J255" s="16">
        <f>AVERAGE(ReturnData!J255:J265)</f>
        <v>1.6536363636363637E-2</v>
      </c>
      <c r="K255" s="16">
        <f>AVERAGE(ReturnData!K255:K265)</f>
        <v>1.2272727272727274E-2</v>
      </c>
      <c r="L255" s="16">
        <f>AVERAGE(ReturnData!L255:L265)</f>
        <v>3.3063636363636371E-2</v>
      </c>
      <c r="M255" s="16">
        <f>AVERAGE(ReturnData!M255:M265)</f>
        <v>1.9054545454545456E-2</v>
      </c>
      <c r="N255" s="16">
        <f>AVERAGE(ReturnData!N255:N265)</f>
        <v>3.5427272727272731E-2</v>
      </c>
      <c r="O255" s="16">
        <f>AVERAGE(ReturnData!O255:O265)</f>
        <v>2.0054545454545457E-2</v>
      </c>
      <c r="P255" s="16">
        <f>AVERAGE(ReturnData!P255:P265)</f>
        <v>1.3572727272727275E-2</v>
      </c>
      <c r="Q255" s="16">
        <f>AVERAGE(ReturnData!Q255:Q265)</f>
        <v>3.3727272727272724E-2</v>
      </c>
    </row>
    <row r="256" spans="1:17" x14ac:dyDescent="0.25">
      <c r="A256">
        <f>ReturnData!A268</f>
        <v>199603</v>
      </c>
      <c r="B256" s="16">
        <f>AVERAGE(ReturnData!B256:B266)</f>
        <v>3.0181818181818178E-2</v>
      </c>
      <c r="C256" s="16">
        <f>AVERAGE(ReturnData!C256:C266)</f>
        <v>2.9381818181818179E-2</v>
      </c>
      <c r="D256" s="16">
        <f>AVERAGE(ReturnData!D256:D266)</f>
        <v>1.841818181818182E-2</v>
      </c>
      <c r="E256" s="16">
        <f>AVERAGE(ReturnData!E256:E266)</f>
        <v>7.2454545454545471E-3</v>
      </c>
      <c r="F256" s="16">
        <f>AVERAGE(ReturnData!F256:F266)</f>
        <v>1.6454545454545458E-2</v>
      </c>
      <c r="G256" s="16">
        <f>AVERAGE(ReturnData!G256:G266)</f>
        <v>2.4527272727272727E-2</v>
      </c>
      <c r="H256" s="16">
        <f>AVERAGE(ReturnData!H256:H266)</f>
        <v>3.6472727272727275E-2</v>
      </c>
      <c r="I256" s="16">
        <f>AVERAGE(ReturnData!I256:I266)</f>
        <v>1.6463636363636361E-2</v>
      </c>
      <c r="J256" s="16">
        <f>AVERAGE(ReturnData!J256:J266)</f>
        <v>1.6954545454545451E-2</v>
      </c>
      <c r="K256" s="16">
        <f>AVERAGE(ReturnData!K256:K266)</f>
        <v>9.5181818181818197E-3</v>
      </c>
      <c r="L256" s="16">
        <f>AVERAGE(ReturnData!L256:L266)</f>
        <v>2.9945454545454553E-2</v>
      </c>
      <c r="M256" s="16">
        <f>AVERAGE(ReturnData!M256:M266)</f>
        <v>1.7672727272727271E-2</v>
      </c>
      <c r="N256" s="16">
        <f>AVERAGE(ReturnData!N256:N266)</f>
        <v>2.989090909090909E-2</v>
      </c>
      <c r="O256" s="16">
        <f>AVERAGE(ReturnData!O256:O266)</f>
        <v>2.0999999999999998E-2</v>
      </c>
      <c r="P256" s="16">
        <f>AVERAGE(ReturnData!P256:P266)</f>
        <v>1.1172727272727272E-2</v>
      </c>
      <c r="Q256" s="16">
        <f>AVERAGE(ReturnData!Q256:Q266)</f>
        <v>3.2809090909090906E-2</v>
      </c>
    </row>
    <row r="257" spans="1:17" x14ac:dyDescent="0.25">
      <c r="A257">
        <f>ReturnData!A269</f>
        <v>199604</v>
      </c>
      <c r="B257" s="16">
        <f>AVERAGE(ReturnData!B257:B267)</f>
        <v>3.034545454545455E-2</v>
      </c>
      <c r="C257" s="16">
        <f>AVERAGE(ReturnData!C257:C267)</f>
        <v>2.1618181818181818E-2</v>
      </c>
      <c r="D257" s="16">
        <f>AVERAGE(ReturnData!D257:D267)</f>
        <v>1.4709090909090911E-2</v>
      </c>
      <c r="E257" s="16">
        <f>AVERAGE(ReturnData!E257:E267)</f>
        <v>9.2909090909090927E-3</v>
      </c>
      <c r="F257" s="16">
        <f>AVERAGE(ReturnData!F257:F267)</f>
        <v>1.400909090909091E-2</v>
      </c>
      <c r="G257" s="16">
        <f>AVERAGE(ReturnData!G257:G267)</f>
        <v>2.2045454545454542E-2</v>
      </c>
      <c r="H257" s="16">
        <f>AVERAGE(ReturnData!H257:H267)</f>
        <v>3.3690909090909091E-2</v>
      </c>
      <c r="I257" s="16">
        <f>AVERAGE(ReturnData!I257:I267)</f>
        <v>1.4400000000000003E-2</v>
      </c>
      <c r="J257" s="16">
        <f>AVERAGE(ReturnData!J257:J267)</f>
        <v>1.4272727272727275E-2</v>
      </c>
      <c r="K257" s="16">
        <f>AVERAGE(ReturnData!K257:K267)</f>
        <v>1.0863636363636365E-2</v>
      </c>
      <c r="L257" s="16">
        <f>AVERAGE(ReturnData!L257:L267)</f>
        <v>3.0509090909090916E-2</v>
      </c>
      <c r="M257" s="16">
        <f>AVERAGE(ReturnData!M257:M267)</f>
        <v>1.8163636363636364E-2</v>
      </c>
      <c r="N257" s="16">
        <f>AVERAGE(ReturnData!N257:N267)</f>
        <v>2.8763636363636366E-2</v>
      </c>
      <c r="O257" s="16">
        <f>AVERAGE(ReturnData!O257:O267)</f>
        <v>2.0181818181818183E-2</v>
      </c>
      <c r="P257" s="16">
        <f>AVERAGE(ReturnData!P257:P267)</f>
        <v>1.2563636363636365E-2</v>
      </c>
      <c r="Q257" s="16">
        <f>AVERAGE(ReturnData!Q257:Q267)</f>
        <v>3.3672727272727271E-2</v>
      </c>
    </row>
    <row r="258" spans="1:17" x14ac:dyDescent="0.25">
      <c r="A258">
        <f>ReturnData!A270</f>
        <v>199605</v>
      </c>
      <c r="B258" s="16">
        <f>AVERAGE(ReturnData!B258:B268)</f>
        <v>2.5681818181818181E-2</v>
      </c>
      <c r="C258" s="16">
        <f>AVERAGE(ReturnData!C258:C268)</f>
        <v>2.2945454545454547E-2</v>
      </c>
      <c r="D258" s="16">
        <f>AVERAGE(ReturnData!D258:D268)</f>
        <v>1.7109090909090911E-2</v>
      </c>
      <c r="E258" s="16">
        <f>AVERAGE(ReturnData!E258:E268)</f>
        <v>1.7181818181818184E-2</v>
      </c>
      <c r="F258" s="16">
        <f>AVERAGE(ReturnData!F258:F268)</f>
        <v>1.3190909090909092E-2</v>
      </c>
      <c r="G258" s="16">
        <f>AVERAGE(ReturnData!G258:G268)</f>
        <v>2.4318181818181819E-2</v>
      </c>
      <c r="H258" s="16">
        <f>AVERAGE(ReturnData!H258:H268)</f>
        <v>3.0827272727272727E-2</v>
      </c>
      <c r="I258" s="16">
        <f>AVERAGE(ReturnData!I258:I268)</f>
        <v>1.83E-2</v>
      </c>
      <c r="J258" s="16">
        <f>AVERAGE(ReturnData!J258:J268)</f>
        <v>1.9072727272727272E-2</v>
      </c>
      <c r="K258" s="16">
        <f>AVERAGE(ReturnData!K258:K268)</f>
        <v>1.121818181818182E-2</v>
      </c>
      <c r="L258" s="16">
        <f>AVERAGE(ReturnData!L258:L268)</f>
        <v>2.12E-2</v>
      </c>
      <c r="M258" s="16">
        <f>AVERAGE(ReturnData!M258:M268)</f>
        <v>2.2599999999999999E-2</v>
      </c>
      <c r="N258" s="16">
        <f>AVERAGE(ReturnData!N258:N268)</f>
        <v>2.869090909090909E-2</v>
      </c>
      <c r="O258" s="16">
        <f>AVERAGE(ReturnData!O258:O268)</f>
        <v>1.7554545454545458E-2</v>
      </c>
      <c r="P258" s="16">
        <f>AVERAGE(ReturnData!P258:P268)</f>
        <v>2.0436363636363638E-2</v>
      </c>
      <c r="Q258" s="16">
        <f>AVERAGE(ReturnData!Q258:Q268)</f>
        <v>3.2954545454545452E-2</v>
      </c>
    </row>
    <row r="259" spans="1:17" x14ac:dyDescent="0.25">
      <c r="A259">
        <f>ReturnData!A271</f>
        <v>199606</v>
      </c>
      <c r="B259" s="16">
        <f>AVERAGE(ReturnData!B259:B269)</f>
        <v>2.0654545454545453E-2</v>
      </c>
      <c r="C259" s="16">
        <f>AVERAGE(ReturnData!C259:C269)</f>
        <v>2.461818181818182E-2</v>
      </c>
      <c r="D259" s="16">
        <f>AVERAGE(ReturnData!D259:D269)</f>
        <v>1.6654545454545453E-2</v>
      </c>
      <c r="E259" s="16">
        <f>AVERAGE(ReturnData!E259:E269)</f>
        <v>2.001818181818182E-2</v>
      </c>
      <c r="F259" s="16">
        <f>AVERAGE(ReturnData!F259:F269)</f>
        <v>1.4990909090909093E-2</v>
      </c>
      <c r="G259" s="16">
        <f>AVERAGE(ReturnData!G259:G269)</f>
        <v>2.0636363636363637E-2</v>
      </c>
      <c r="H259" s="16">
        <f>AVERAGE(ReturnData!H259:H269)</f>
        <v>2.7309090909090908E-2</v>
      </c>
      <c r="I259" s="16">
        <f>AVERAGE(ReturnData!I259:I269)</f>
        <v>1.8672727272727271E-2</v>
      </c>
      <c r="J259" s="16">
        <f>AVERAGE(ReturnData!J259:J269)</f>
        <v>1.9354545454545458E-2</v>
      </c>
      <c r="K259" s="16">
        <f>AVERAGE(ReturnData!K259:K269)</f>
        <v>1.141818181818182E-2</v>
      </c>
      <c r="L259" s="16">
        <f>AVERAGE(ReturnData!L259:L269)</f>
        <v>2.41E-2</v>
      </c>
      <c r="M259" s="16">
        <f>AVERAGE(ReturnData!M259:M269)</f>
        <v>2.1018181818181818E-2</v>
      </c>
      <c r="N259" s="16">
        <f>AVERAGE(ReturnData!N259:N269)</f>
        <v>2.8400000000000002E-2</v>
      </c>
      <c r="O259" s="16">
        <f>AVERAGE(ReturnData!O259:O269)</f>
        <v>9.6636363636363656E-3</v>
      </c>
      <c r="P259" s="16">
        <f>AVERAGE(ReturnData!P259:P269)</f>
        <v>2.12E-2</v>
      </c>
      <c r="Q259" s="16">
        <f>AVERAGE(ReturnData!Q259:Q269)</f>
        <v>2.6336363636363637E-2</v>
      </c>
    </row>
    <row r="260" spans="1:17" x14ac:dyDescent="0.25">
      <c r="A260">
        <f>ReturnData!A272</f>
        <v>199607</v>
      </c>
      <c r="B260" s="16">
        <f>AVERAGE(ReturnData!B260:B270)</f>
        <v>2.5518181818181815E-2</v>
      </c>
      <c r="C260" s="16">
        <f>AVERAGE(ReturnData!C260:C270)</f>
        <v>2.7590909090909096E-2</v>
      </c>
      <c r="D260" s="16">
        <f>AVERAGE(ReturnData!D260:D270)</f>
        <v>1.9845454545454548E-2</v>
      </c>
      <c r="E260" s="16">
        <f>AVERAGE(ReturnData!E260:E270)</f>
        <v>2.3900000000000001E-2</v>
      </c>
      <c r="F260" s="16">
        <f>AVERAGE(ReturnData!F260:F270)</f>
        <v>1.72E-2</v>
      </c>
      <c r="G260" s="16">
        <f>AVERAGE(ReturnData!G260:G270)</f>
        <v>1.8890909090909094E-2</v>
      </c>
      <c r="H260" s="16">
        <f>AVERAGE(ReturnData!H260:H270)</f>
        <v>2.874545454545455E-2</v>
      </c>
      <c r="I260" s="16">
        <f>AVERAGE(ReturnData!I260:I270)</f>
        <v>1.8854545454545454E-2</v>
      </c>
      <c r="J260" s="16">
        <f>AVERAGE(ReturnData!J260:J270)</f>
        <v>1.3218181818181813E-2</v>
      </c>
      <c r="K260" s="16">
        <f>AVERAGE(ReturnData!K260:K270)</f>
        <v>1.2190909090909091E-2</v>
      </c>
      <c r="L260" s="16">
        <f>AVERAGE(ReturnData!L260:L270)</f>
        <v>2.1627272727272731E-2</v>
      </c>
      <c r="M260" s="16">
        <f>AVERAGE(ReturnData!M260:M270)</f>
        <v>2.1445454545454549E-2</v>
      </c>
      <c r="N260" s="16">
        <f>AVERAGE(ReturnData!N260:N270)</f>
        <v>2.5354545454545453E-2</v>
      </c>
      <c r="O260" s="16">
        <f>AVERAGE(ReturnData!O260:O270)</f>
        <v>1.1272727272727275E-2</v>
      </c>
      <c r="P260" s="16">
        <f>AVERAGE(ReturnData!P260:P270)</f>
        <v>2.0199999999999999E-2</v>
      </c>
      <c r="Q260" s="16">
        <f>AVERAGE(ReturnData!Q260:Q270)</f>
        <v>2.6036363636363639E-2</v>
      </c>
    </row>
    <row r="261" spans="1:17" x14ac:dyDescent="0.25">
      <c r="A261">
        <f>ReturnData!A273</f>
        <v>199608</v>
      </c>
      <c r="B261" s="16">
        <f>AVERAGE(ReturnData!B261:B271)</f>
        <v>2.8572727272727274E-2</v>
      </c>
      <c r="C261" s="16">
        <f>AVERAGE(ReturnData!C261:C271)</f>
        <v>1.3018181818181818E-2</v>
      </c>
      <c r="D261" s="16">
        <f>AVERAGE(ReturnData!D261:D271)</f>
        <v>1.8745454545454544E-2</v>
      </c>
      <c r="E261" s="16">
        <f>AVERAGE(ReturnData!E261:E271)</f>
        <v>1.8254545454545454E-2</v>
      </c>
      <c r="F261" s="16">
        <f>AVERAGE(ReturnData!F261:F271)</f>
        <v>1.4327272727272728E-2</v>
      </c>
      <c r="G261" s="16">
        <f>AVERAGE(ReturnData!G261:G271)</f>
        <v>1.433636363636364E-2</v>
      </c>
      <c r="H261" s="16">
        <f>AVERAGE(ReturnData!H261:H271)</f>
        <v>2.8163636363636366E-2</v>
      </c>
      <c r="I261" s="16">
        <f>AVERAGE(ReturnData!I261:I271)</f>
        <v>1.5609090909090908E-2</v>
      </c>
      <c r="J261" s="16">
        <f>AVERAGE(ReturnData!J261:J271)</f>
        <v>2.2818181818181791E-3</v>
      </c>
      <c r="K261" s="16">
        <f>AVERAGE(ReturnData!K261:K271)</f>
        <v>8.7636363636363641E-3</v>
      </c>
      <c r="L261" s="16">
        <f>AVERAGE(ReturnData!L261:L271)</f>
        <v>1.0681818181818183E-2</v>
      </c>
      <c r="M261" s="16">
        <f>AVERAGE(ReturnData!M261:M271)</f>
        <v>1.4790909090909094E-2</v>
      </c>
      <c r="N261" s="16">
        <f>AVERAGE(ReturnData!N261:N271)</f>
        <v>1.7972727272727276E-2</v>
      </c>
      <c r="O261" s="16">
        <f>AVERAGE(ReturnData!O261:O271)</f>
        <v>1.6381818181818185E-2</v>
      </c>
      <c r="P261" s="16">
        <f>AVERAGE(ReturnData!P261:P271)</f>
        <v>1.5872727272727274E-2</v>
      </c>
      <c r="Q261" s="16">
        <f>AVERAGE(ReturnData!Q261:Q271)</f>
        <v>2.2845454545454547E-2</v>
      </c>
    </row>
    <row r="262" spans="1:17" x14ac:dyDescent="0.25">
      <c r="A262">
        <f>ReturnData!A274</f>
        <v>199609</v>
      </c>
      <c r="B262" s="16">
        <f>AVERAGE(ReturnData!B262:B272)</f>
        <v>2.4509090909090911E-2</v>
      </c>
      <c r="C262" s="16">
        <f>AVERAGE(ReturnData!C262:C272)</f>
        <v>9.2090909090909116E-3</v>
      </c>
      <c r="D262" s="16">
        <f>AVERAGE(ReturnData!D262:D272)</f>
        <v>1.609090909090909E-2</v>
      </c>
      <c r="E262" s="16">
        <f>AVERAGE(ReturnData!E262:E272)</f>
        <v>1.4036363636363637E-2</v>
      </c>
      <c r="F262" s="16">
        <f>AVERAGE(ReturnData!F262:F272)</f>
        <v>7.8636363636363626E-3</v>
      </c>
      <c r="G262" s="16">
        <f>AVERAGE(ReturnData!G262:G272)</f>
        <v>1.1481818181818183E-2</v>
      </c>
      <c r="H262" s="16">
        <f>AVERAGE(ReturnData!H262:H272)</f>
        <v>2.47E-2</v>
      </c>
      <c r="I262" s="16">
        <f>AVERAGE(ReturnData!I262:I272)</f>
        <v>1.2736363636363636E-2</v>
      </c>
      <c r="J262" s="16">
        <f>AVERAGE(ReturnData!J262:J272)</f>
        <v>-2.8636363636363664E-3</v>
      </c>
      <c r="K262" s="16">
        <f>AVERAGE(ReturnData!K262:K272)</f>
        <v>3.1090909090909099E-3</v>
      </c>
      <c r="L262" s="16">
        <f>AVERAGE(ReturnData!L262:L272)</f>
        <v>5.2545454545454562E-3</v>
      </c>
      <c r="M262" s="16">
        <f>AVERAGE(ReturnData!M262:M272)</f>
        <v>9.9545454545454555E-3</v>
      </c>
      <c r="N262" s="16">
        <f>AVERAGE(ReturnData!N262:N272)</f>
        <v>1.3763636363636367E-2</v>
      </c>
      <c r="O262" s="16">
        <f>AVERAGE(ReturnData!O262:O272)</f>
        <v>1.0200000000000001E-2</v>
      </c>
      <c r="P262" s="16">
        <f>AVERAGE(ReturnData!P262:P272)</f>
        <v>1.1936363636363639E-2</v>
      </c>
      <c r="Q262" s="16">
        <f>AVERAGE(ReturnData!Q262:Q272)</f>
        <v>1.5881818181818178E-2</v>
      </c>
    </row>
    <row r="263" spans="1:17" x14ac:dyDescent="0.25">
      <c r="A263">
        <f>ReturnData!A275</f>
        <v>199610</v>
      </c>
      <c r="B263" s="16">
        <f>AVERAGE(ReturnData!B263:B273)</f>
        <v>1.8109090909090908E-2</v>
      </c>
      <c r="C263" s="16">
        <f>AVERAGE(ReturnData!C263:C273)</f>
        <v>1.1654545454545456E-2</v>
      </c>
      <c r="D263" s="16">
        <f>AVERAGE(ReturnData!D263:D273)</f>
        <v>1.7590909090909095E-2</v>
      </c>
      <c r="E263" s="16">
        <f>AVERAGE(ReturnData!E263:E273)</f>
        <v>1.7145454545454547E-2</v>
      </c>
      <c r="F263" s="16">
        <f>AVERAGE(ReturnData!F263:F273)</f>
        <v>1.0136363636363636E-2</v>
      </c>
      <c r="G263" s="16">
        <f>AVERAGE(ReturnData!G263:G273)</f>
        <v>1.2863636363636367E-2</v>
      </c>
      <c r="H263" s="16">
        <f>AVERAGE(ReturnData!H263:H273)</f>
        <v>1.7836363636363636E-2</v>
      </c>
      <c r="I263" s="16">
        <f>AVERAGE(ReturnData!I263:I273)</f>
        <v>1.4145454545454544E-2</v>
      </c>
      <c r="J263" s="16">
        <f>AVERAGE(ReturnData!J263:J273)</f>
        <v>6.109090909090906E-3</v>
      </c>
      <c r="K263" s="16">
        <f>AVERAGE(ReturnData!K263:K273)</f>
        <v>1.2445454545454548E-2</v>
      </c>
      <c r="L263" s="16">
        <f>AVERAGE(ReturnData!L263:L273)</f>
        <v>8.363636363636363E-3</v>
      </c>
      <c r="M263" s="16">
        <f>AVERAGE(ReturnData!M263:M273)</f>
        <v>1.3036363636363639E-2</v>
      </c>
      <c r="N263" s="16">
        <f>AVERAGE(ReturnData!N263:N273)</f>
        <v>1.3200000000000005E-2</v>
      </c>
      <c r="O263" s="16">
        <f>AVERAGE(ReturnData!O263:O273)</f>
        <v>7.1272727272727269E-3</v>
      </c>
      <c r="P263" s="16">
        <f>AVERAGE(ReturnData!P263:P273)</f>
        <v>1.4554545454545457E-2</v>
      </c>
      <c r="Q263" s="16">
        <f>AVERAGE(ReturnData!Q263:Q273)</f>
        <v>1.4518181818181819E-2</v>
      </c>
    </row>
    <row r="264" spans="1:17" x14ac:dyDescent="0.25">
      <c r="A264">
        <f>ReturnData!A276</f>
        <v>199611</v>
      </c>
      <c r="B264" s="16">
        <f>AVERAGE(ReturnData!B264:B274)</f>
        <v>2.067272727272727E-2</v>
      </c>
      <c r="C264" s="16">
        <f>AVERAGE(ReturnData!C264:C274)</f>
        <v>1.6809090909090909E-2</v>
      </c>
      <c r="D264" s="16">
        <f>AVERAGE(ReturnData!D264:D274)</f>
        <v>2.1372727272727269E-2</v>
      </c>
      <c r="E264" s="16">
        <f>AVERAGE(ReturnData!E264:E274)</f>
        <v>2.6200000000000001E-2</v>
      </c>
      <c r="F264" s="16">
        <f>AVERAGE(ReturnData!F264:F274)</f>
        <v>1.6336363636363635E-2</v>
      </c>
      <c r="G264" s="16">
        <f>AVERAGE(ReturnData!G264:G274)</f>
        <v>2.3181818181818189E-2</v>
      </c>
      <c r="H264" s="16">
        <f>AVERAGE(ReturnData!H264:H274)</f>
        <v>2.118181818181818E-2</v>
      </c>
      <c r="I264" s="16">
        <f>AVERAGE(ReturnData!I264:I274)</f>
        <v>2.2154545454545455E-2</v>
      </c>
      <c r="J264" s="16">
        <f>AVERAGE(ReturnData!J264:J274)</f>
        <v>1.3372727272727271E-2</v>
      </c>
      <c r="K264" s="16">
        <f>AVERAGE(ReturnData!K264:K274)</f>
        <v>2.0818181818181819E-2</v>
      </c>
      <c r="L264" s="16">
        <f>AVERAGE(ReturnData!L264:L274)</f>
        <v>1.7109090909090911E-2</v>
      </c>
      <c r="M264" s="16">
        <f>AVERAGE(ReturnData!M264:M274)</f>
        <v>1.7590909090909091E-2</v>
      </c>
      <c r="N264" s="16">
        <f>AVERAGE(ReturnData!N264:N274)</f>
        <v>1.830909090909091E-2</v>
      </c>
      <c r="O264" s="16">
        <f>AVERAGE(ReturnData!O264:O274)</f>
        <v>6.400000000000002E-3</v>
      </c>
      <c r="P264" s="16">
        <f>AVERAGE(ReturnData!P264:P274)</f>
        <v>2.302727272727273E-2</v>
      </c>
      <c r="Q264" s="16">
        <f>AVERAGE(ReturnData!Q264:Q274)</f>
        <v>2.1581818181818178E-2</v>
      </c>
    </row>
    <row r="265" spans="1:17" x14ac:dyDescent="0.25">
      <c r="A265">
        <f>ReturnData!A277</f>
        <v>199612</v>
      </c>
      <c r="B265" s="16">
        <f>AVERAGE(ReturnData!B265:B275)</f>
        <v>1.7999999999999999E-2</v>
      </c>
      <c r="C265" s="16">
        <f>AVERAGE(ReturnData!C265:C275)</f>
        <v>8.1000000000000013E-3</v>
      </c>
      <c r="D265" s="16">
        <f>AVERAGE(ReturnData!D265:D275)</f>
        <v>2.2590909090909092E-2</v>
      </c>
      <c r="E265" s="16">
        <f>AVERAGE(ReturnData!E265:E275)</f>
        <v>2.3781818181818182E-2</v>
      </c>
      <c r="F265" s="16">
        <f>AVERAGE(ReturnData!F265:F275)</f>
        <v>9.5090909090909097E-3</v>
      </c>
      <c r="G265" s="16">
        <f>AVERAGE(ReturnData!G265:G275)</f>
        <v>1.8354545454545457E-2</v>
      </c>
      <c r="H265" s="16">
        <f>AVERAGE(ReturnData!H265:H275)</f>
        <v>1.8000000000000002E-2</v>
      </c>
      <c r="I265" s="16">
        <f>AVERAGE(ReturnData!I265:I275)</f>
        <v>1.6518181818181817E-2</v>
      </c>
      <c r="J265" s="16">
        <f>AVERAGE(ReturnData!J265:J275)</f>
        <v>5.2727272727272701E-3</v>
      </c>
      <c r="K265" s="16">
        <f>AVERAGE(ReturnData!K265:K275)</f>
        <v>1.3127272727272727E-2</v>
      </c>
      <c r="L265" s="16">
        <f>AVERAGE(ReturnData!L265:L275)</f>
        <v>1.7827272727272726E-2</v>
      </c>
      <c r="M265" s="16">
        <f>AVERAGE(ReturnData!M265:M275)</f>
        <v>1.6845454545454549E-2</v>
      </c>
      <c r="N265" s="16">
        <f>AVERAGE(ReturnData!N265:N275)</f>
        <v>1.3100000000000001E-2</v>
      </c>
      <c r="O265" s="16">
        <f>AVERAGE(ReturnData!O265:O275)</f>
        <v>8.2363636363636372E-3</v>
      </c>
      <c r="P265" s="16">
        <f>AVERAGE(ReturnData!P265:P275)</f>
        <v>1.552727272727273E-2</v>
      </c>
      <c r="Q265" s="16">
        <f>AVERAGE(ReturnData!Q265:Q275)</f>
        <v>2.0409090909090908E-2</v>
      </c>
    </row>
    <row r="266" spans="1:17" x14ac:dyDescent="0.25">
      <c r="A266">
        <f>ReturnData!A278</f>
        <v>199701</v>
      </c>
      <c r="B266" s="16">
        <f>AVERAGE(ReturnData!B266:B276)</f>
        <v>2.0354545454545455E-2</v>
      </c>
      <c r="C266" s="16">
        <f>AVERAGE(ReturnData!C266:C276)</f>
        <v>7.9090909090909125E-3</v>
      </c>
      <c r="D266" s="16">
        <f>AVERAGE(ReturnData!D266:D276)</f>
        <v>2.229090909090909E-2</v>
      </c>
      <c r="E266" s="16">
        <f>AVERAGE(ReturnData!E266:E276)</f>
        <v>2.1818181818181816E-2</v>
      </c>
      <c r="F266" s="16">
        <f>AVERAGE(ReturnData!F266:F276)</f>
        <v>1.5836363636363635E-2</v>
      </c>
      <c r="G266" s="16">
        <f>AVERAGE(ReturnData!G266:G276)</f>
        <v>2.0772727272727276E-2</v>
      </c>
      <c r="H266" s="16">
        <f>AVERAGE(ReturnData!H266:H276)</f>
        <v>2.2054545454545452E-2</v>
      </c>
      <c r="I266" s="16">
        <f>AVERAGE(ReturnData!I266:I276)</f>
        <v>1.6772727272727272E-2</v>
      </c>
      <c r="J266" s="16">
        <f>AVERAGE(ReturnData!J266:J276)</f>
        <v>1.2936363636363635E-2</v>
      </c>
      <c r="K266" s="16">
        <f>AVERAGE(ReturnData!K266:K276)</f>
        <v>1.9300000000000005E-2</v>
      </c>
      <c r="L266" s="16">
        <f>AVERAGE(ReturnData!L266:L276)</f>
        <v>3.1072727272727273E-2</v>
      </c>
      <c r="M266" s="16">
        <f>AVERAGE(ReturnData!M266:M276)</f>
        <v>1.8263636363636364E-2</v>
      </c>
      <c r="N266" s="16">
        <f>AVERAGE(ReturnData!N266:N276)</f>
        <v>1.7900000000000003E-2</v>
      </c>
      <c r="O266" s="16">
        <f>AVERAGE(ReturnData!O266:O276)</f>
        <v>5.9818181818181819E-3</v>
      </c>
      <c r="P266" s="16">
        <f>AVERAGE(ReturnData!P266:P276)</f>
        <v>2.0300000000000002E-2</v>
      </c>
      <c r="Q266" s="16">
        <f>AVERAGE(ReturnData!Q266:Q276)</f>
        <v>2.689090909090909E-2</v>
      </c>
    </row>
    <row r="267" spans="1:17" x14ac:dyDescent="0.25">
      <c r="A267">
        <f>ReturnData!A279</f>
        <v>199702</v>
      </c>
      <c r="B267" s="16">
        <f>AVERAGE(ReturnData!B267:B277)</f>
        <v>1.6781818181818179E-2</v>
      </c>
      <c r="C267" s="16">
        <f>AVERAGE(ReturnData!C267:C277)</f>
        <v>-6.3818181818181838E-3</v>
      </c>
      <c r="D267" s="16">
        <f>AVERAGE(ReturnData!D267:D277)</f>
        <v>2.3299999999999998E-2</v>
      </c>
      <c r="E267" s="16">
        <f>AVERAGE(ReturnData!E267:E277)</f>
        <v>2.6472727272727273E-2</v>
      </c>
      <c r="F267" s="16">
        <f>AVERAGE(ReturnData!F267:F277)</f>
        <v>1.1154545454545453E-2</v>
      </c>
      <c r="G267" s="16">
        <f>AVERAGE(ReturnData!G267:G277)</f>
        <v>1.4063636363636363E-2</v>
      </c>
      <c r="H267" s="16">
        <f>AVERAGE(ReturnData!H267:H277)</f>
        <v>1.5545454545454545E-2</v>
      </c>
      <c r="I267" s="16">
        <f>AVERAGE(ReturnData!I267:I277)</f>
        <v>1.4972727272727275E-2</v>
      </c>
      <c r="J267" s="16">
        <f>AVERAGE(ReturnData!J267:J277)</f>
        <v>8.0454545454545431E-3</v>
      </c>
      <c r="K267" s="16">
        <f>AVERAGE(ReturnData!K267:K277)</f>
        <v>1.9300000000000005E-2</v>
      </c>
      <c r="L267" s="16">
        <f>AVERAGE(ReturnData!L267:L277)</f>
        <v>2.5709090909090907E-2</v>
      </c>
      <c r="M267" s="16">
        <f>AVERAGE(ReturnData!M267:M277)</f>
        <v>1.3100000000000001E-2</v>
      </c>
      <c r="N267" s="16">
        <f>AVERAGE(ReturnData!N267:N277)</f>
        <v>1.8236363636363637E-2</v>
      </c>
      <c r="O267" s="16">
        <f>AVERAGE(ReturnData!O267:O277)</f>
        <v>4.4090909090909102E-3</v>
      </c>
      <c r="P267" s="16">
        <f>AVERAGE(ReturnData!P267:P277)</f>
        <v>1.6327272727272728E-2</v>
      </c>
      <c r="Q267" s="16">
        <f>AVERAGE(ReturnData!Q267:Q277)</f>
        <v>2.182727272727273E-2</v>
      </c>
    </row>
    <row r="268" spans="1:17" x14ac:dyDescent="0.25">
      <c r="A268">
        <f>ReturnData!A280</f>
        <v>199703</v>
      </c>
      <c r="B268" s="16">
        <f>AVERAGE(ReturnData!B268:B278)</f>
        <v>2.0263636363636369E-2</v>
      </c>
      <c r="C268" s="16">
        <f>AVERAGE(ReturnData!C268:C278)</f>
        <v>-1.1245454545454546E-2</v>
      </c>
      <c r="D268" s="16">
        <f>AVERAGE(ReturnData!D268:D278)</f>
        <v>2.6090909090909088E-2</v>
      </c>
      <c r="E268" s="16">
        <f>AVERAGE(ReturnData!E268:E278)</f>
        <v>2.9272727272727273E-2</v>
      </c>
      <c r="F268" s="16">
        <f>AVERAGE(ReturnData!F268:F278)</f>
        <v>1.4254545454545454E-2</v>
      </c>
      <c r="G268" s="16">
        <f>AVERAGE(ReturnData!G268:G278)</f>
        <v>1.5063636363636364E-2</v>
      </c>
      <c r="H268" s="16">
        <f>AVERAGE(ReturnData!H268:H278)</f>
        <v>2.5599999999999998E-2</v>
      </c>
      <c r="I268" s="16">
        <f>AVERAGE(ReturnData!I268:I278)</f>
        <v>2.009090909090909E-2</v>
      </c>
      <c r="J268" s="16">
        <f>AVERAGE(ReturnData!J268:J278)</f>
        <v>1.3154545454545453E-2</v>
      </c>
      <c r="K268" s="16">
        <f>AVERAGE(ReturnData!K268:K278)</f>
        <v>1.7199999999999997E-2</v>
      </c>
      <c r="L268" s="16">
        <f>AVERAGE(ReturnData!L268:L278)</f>
        <v>2.9145454545454544E-2</v>
      </c>
      <c r="M268" s="16">
        <f>AVERAGE(ReturnData!M268:M278)</f>
        <v>1.3645454545454546E-2</v>
      </c>
      <c r="N268" s="16">
        <f>AVERAGE(ReturnData!N268:N278)</f>
        <v>1.7036363636363641E-2</v>
      </c>
      <c r="O268" s="16">
        <f>AVERAGE(ReturnData!O268:O278)</f>
        <v>7.6545454545454529E-3</v>
      </c>
      <c r="P268" s="16">
        <f>AVERAGE(ReturnData!P268:P278)</f>
        <v>1.1472727272727275E-2</v>
      </c>
      <c r="Q268" s="16">
        <f>AVERAGE(ReturnData!Q268:Q278)</f>
        <v>2.5918181818181819E-2</v>
      </c>
    </row>
    <row r="269" spans="1:17" x14ac:dyDescent="0.25">
      <c r="A269">
        <f>ReturnData!A281</f>
        <v>199704</v>
      </c>
      <c r="B269" s="16">
        <f>AVERAGE(ReturnData!B269:B279)</f>
        <v>2.4118181818181816E-2</v>
      </c>
      <c r="C269" s="16">
        <f>AVERAGE(ReturnData!C269:C279)</f>
        <v>2.2909090909090882E-3</v>
      </c>
      <c r="D269" s="16">
        <f>AVERAGE(ReturnData!D269:D279)</f>
        <v>1.6418181818181821E-2</v>
      </c>
      <c r="E269" s="16">
        <f>AVERAGE(ReturnData!E269:E279)</f>
        <v>2.4490909090909087E-2</v>
      </c>
      <c r="F269" s="16">
        <f>AVERAGE(ReturnData!F269:F279)</f>
        <v>1.5445454545454545E-2</v>
      </c>
      <c r="G269" s="16">
        <f>AVERAGE(ReturnData!G269:G279)</f>
        <v>1.0718181818181819E-2</v>
      </c>
      <c r="H269" s="16">
        <f>AVERAGE(ReturnData!H269:H279)</f>
        <v>2.7927272727272724E-2</v>
      </c>
      <c r="I269" s="16">
        <f>AVERAGE(ReturnData!I269:I279)</f>
        <v>1.6172727272727276E-2</v>
      </c>
      <c r="J269" s="16">
        <f>AVERAGE(ReturnData!J269:J279)</f>
        <v>8.6909090909090894E-3</v>
      </c>
      <c r="K269" s="16">
        <f>AVERAGE(ReturnData!K269:K279)</f>
        <v>1.3336363636363634E-2</v>
      </c>
      <c r="L269" s="16">
        <f>AVERAGE(ReturnData!L269:L279)</f>
        <v>2.6200000000000001E-2</v>
      </c>
      <c r="M269" s="16">
        <f>AVERAGE(ReturnData!M269:M279)</f>
        <v>8.0909090909090896E-3</v>
      </c>
      <c r="N269" s="16">
        <f>AVERAGE(ReturnData!N269:N279)</f>
        <v>1.2509090909090912E-2</v>
      </c>
      <c r="O269" s="16">
        <f>AVERAGE(ReturnData!O269:O279)</f>
        <v>7.6000000000000009E-3</v>
      </c>
      <c r="P269" s="16">
        <f>AVERAGE(ReturnData!P269:P279)</f>
        <v>9.063636363636364E-3</v>
      </c>
      <c r="Q269" s="16">
        <f>AVERAGE(ReturnData!Q269:Q279)</f>
        <v>2.8609090909090907E-2</v>
      </c>
    </row>
    <row r="270" spans="1:17" x14ac:dyDescent="0.25">
      <c r="A270">
        <f>ReturnData!A282</f>
        <v>199705</v>
      </c>
      <c r="B270" s="16">
        <f>AVERAGE(ReturnData!B270:B280)</f>
        <v>2.0845454545454542E-2</v>
      </c>
      <c r="C270" s="16">
        <f>AVERAGE(ReturnData!C270:C280)</f>
        <v>-7.9727272727272754E-3</v>
      </c>
      <c r="D270" s="16">
        <f>AVERAGE(ReturnData!D270:D280)</f>
        <v>1.7581818181818185E-2</v>
      </c>
      <c r="E270" s="16">
        <f>AVERAGE(ReturnData!E270:E280)</f>
        <v>1.6545454545454544E-2</v>
      </c>
      <c r="F270" s="16">
        <f>AVERAGE(ReturnData!F270:F280)</f>
        <v>5.8363636363636395E-3</v>
      </c>
      <c r="G270" s="16">
        <f>AVERAGE(ReturnData!G270:G280)</f>
        <v>9.8000000000000014E-3</v>
      </c>
      <c r="H270" s="16">
        <f>AVERAGE(ReturnData!H270:H280)</f>
        <v>2.2009090909090909E-2</v>
      </c>
      <c r="I270" s="16">
        <f>AVERAGE(ReturnData!I270:I280)</f>
        <v>1.0345454545454547E-2</v>
      </c>
      <c r="J270" s="16">
        <f>AVERAGE(ReturnData!J270:J280)</f>
        <v>2.6999999999999993E-3</v>
      </c>
      <c r="K270" s="16">
        <f>AVERAGE(ReturnData!K270:K280)</f>
        <v>5.0454545454545465E-3</v>
      </c>
      <c r="L270" s="16">
        <f>AVERAGE(ReturnData!L270:L280)</f>
        <v>1.5900000000000001E-2</v>
      </c>
      <c r="M270" s="16">
        <f>AVERAGE(ReturnData!M270:M280)</f>
        <v>1.2636363636363626E-3</v>
      </c>
      <c r="N270" s="16">
        <f>AVERAGE(ReturnData!N270:N280)</f>
        <v>1.0090909090909093E-2</v>
      </c>
      <c r="O270" s="16">
        <f>AVERAGE(ReturnData!O270:O280)</f>
        <v>7.4909090909090906E-3</v>
      </c>
      <c r="P270" s="16">
        <f>AVERAGE(ReturnData!P270:P280)</f>
        <v>5.1272727272727286E-3</v>
      </c>
      <c r="Q270" s="16">
        <f>AVERAGE(ReturnData!Q270:Q280)</f>
        <v>2.3627272727272729E-2</v>
      </c>
    </row>
    <row r="271" spans="1:17" x14ac:dyDescent="0.25">
      <c r="A271">
        <f>ReturnData!A283</f>
        <v>199706</v>
      </c>
      <c r="B271" s="16">
        <f>AVERAGE(ReturnData!B271:B281)</f>
        <v>2.1172727272727274E-2</v>
      </c>
      <c r="C271" s="16">
        <f>AVERAGE(ReturnData!C271:C281)</f>
        <v>-1.5963636363636367E-2</v>
      </c>
      <c r="D271" s="16">
        <f>AVERAGE(ReturnData!D271:D281)</f>
        <v>1.724545454545455E-2</v>
      </c>
      <c r="E271" s="16">
        <f>AVERAGE(ReturnData!E271:E281)</f>
        <v>7.2454545454545445E-3</v>
      </c>
      <c r="F271" s="16">
        <f>AVERAGE(ReturnData!F271:F281)</f>
        <v>8.0454545454545483E-3</v>
      </c>
      <c r="G271" s="16">
        <f>AVERAGE(ReturnData!G271:G281)</f>
        <v>1.3100000000000001E-2</v>
      </c>
      <c r="H271" s="16">
        <f>AVERAGE(ReturnData!H271:H281)</f>
        <v>2.4754545454545453E-2</v>
      </c>
      <c r="I271" s="16">
        <f>AVERAGE(ReturnData!I271:I281)</f>
        <v>1.339090909090909E-2</v>
      </c>
      <c r="J271" s="16">
        <f>AVERAGE(ReturnData!J271:J281)</f>
        <v>4.7181818181818184E-3</v>
      </c>
      <c r="K271" s="16">
        <f>AVERAGE(ReturnData!K271:K281)</f>
        <v>8.4636363636363659E-3</v>
      </c>
      <c r="L271" s="16">
        <f>AVERAGE(ReturnData!L271:L281)</f>
        <v>1.9227272727272728E-2</v>
      </c>
      <c r="M271" s="16">
        <f>AVERAGE(ReturnData!M271:M281)</f>
        <v>3.9999999999999983E-3</v>
      </c>
      <c r="N271" s="16">
        <f>AVERAGE(ReturnData!N271:N281)</f>
        <v>1.3018181818181818E-2</v>
      </c>
      <c r="O271" s="16">
        <f>AVERAGE(ReturnData!O271:O281)</f>
        <v>5.0272727272727283E-3</v>
      </c>
      <c r="P271" s="16">
        <f>AVERAGE(ReturnData!P271:P281)</f>
        <v>3.3363636363636373E-3</v>
      </c>
      <c r="Q271" s="16">
        <f>AVERAGE(ReturnData!Q271:Q281)</f>
        <v>2.7754545454545452E-2</v>
      </c>
    </row>
    <row r="272" spans="1:17" x14ac:dyDescent="0.25">
      <c r="A272">
        <f>ReturnData!A284</f>
        <v>199707</v>
      </c>
      <c r="B272" s="16">
        <f>AVERAGE(ReturnData!B272:B282)</f>
        <v>2.1881818181818179E-2</v>
      </c>
      <c r="C272" s="16">
        <f>AVERAGE(ReturnData!C272:C282)</f>
        <v>8.9090909090908988E-4</v>
      </c>
      <c r="D272" s="16">
        <f>AVERAGE(ReturnData!D272:D282)</f>
        <v>2.3045454545454546E-2</v>
      </c>
      <c r="E272" s="16">
        <f>AVERAGE(ReturnData!E272:E282)</f>
        <v>1.2481818181818179E-2</v>
      </c>
      <c r="F272" s="16">
        <f>AVERAGE(ReturnData!F272:F282)</f>
        <v>1.4400000000000001E-2</v>
      </c>
      <c r="G272" s="16">
        <f>AVERAGE(ReturnData!G272:G282)</f>
        <v>1.9381818181818181E-2</v>
      </c>
      <c r="H272" s="16">
        <f>AVERAGE(ReturnData!H272:H282)</f>
        <v>2.9409090909090906E-2</v>
      </c>
      <c r="I272" s="16">
        <f>AVERAGE(ReturnData!I272:I282)</f>
        <v>1.8490909090909089E-2</v>
      </c>
      <c r="J272" s="16">
        <f>AVERAGE(ReturnData!J272:J282)</f>
        <v>1.7136363636363637E-2</v>
      </c>
      <c r="K272" s="16">
        <f>AVERAGE(ReturnData!K272:K282)</f>
        <v>1.8245454545454544E-2</v>
      </c>
      <c r="L272" s="16">
        <f>AVERAGE(ReturnData!L272:L282)</f>
        <v>3.2145454545454547E-2</v>
      </c>
      <c r="M272" s="16">
        <f>AVERAGE(ReturnData!M272:M282)</f>
        <v>1.3554545454545453E-2</v>
      </c>
      <c r="N272" s="16">
        <f>AVERAGE(ReturnData!N272:N282)</f>
        <v>1.9336363636363638E-2</v>
      </c>
      <c r="O272" s="16">
        <f>AVERAGE(ReturnData!O272:O282)</f>
        <v>3.7000000000000015E-3</v>
      </c>
      <c r="P272" s="16">
        <f>AVERAGE(ReturnData!P272:P282)</f>
        <v>9.5999999999999992E-3</v>
      </c>
      <c r="Q272" s="16">
        <f>AVERAGE(ReturnData!Q272:Q282)</f>
        <v>3.2390909090909095E-2</v>
      </c>
    </row>
    <row r="273" spans="1:17" x14ac:dyDescent="0.25">
      <c r="A273">
        <f>ReturnData!A285</f>
        <v>199708</v>
      </c>
      <c r="B273" s="16">
        <f>AVERAGE(ReturnData!B273:B283)</f>
        <v>2.8736363636363636E-2</v>
      </c>
      <c r="C273" s="16">
        <f>AVERAGE(ReturnData!C273:C283)</f>
        <v>6.127272727272726E-3</v>
      </c>
      <c r="D273" s="16">
        <f>AVERAGE(ReturnData!D273:D283)</f>
        <v>2.8299999999999995E-2</v>
      </c>
      <c r="E273" s="16">
        <f>AVERAGE(ReturnData!E273:E283)</f>
        <v>1.9727272727272725E-2</v>
      </c>
      <c r="F273" s="16">
        <f>AVERAGE(ReturnData!F273:F283)</f>
        <v>2.4045454545454547E-2</v>
      </c>
      <c r="G273" s="16">
        <f>AVERAGE(ReturnData!G273:G283)</f>
        <v>2.8390909090909088E-2</v>
      </c>
      <c r="H273" s="16">
        <f>AVERAGE(ReturnData!H273:H283)</f>
        <v>4.02E-2</v>
      </c>
      <c r="I273" s="16">
        <f>AVERAGE(ReturnData!I273:I283)</f>
        <v>2.7209090909090908E-2</v>
      </c>
      <c r="J273" s="16">
        <f>AVERAGE(ReturnData!J273:J283)</f>
        <v>2.6263636363636364E-2</v>
      </c>
      <c r="K273" s="16">
        <f>AVERAGE(ReturnData!K273:K283)</f>
        <v>2.8309090909090909E-2</v>
      </c>
      <c r="L273" s="16">
        <f>AVERAGE(ReturnData!L273:L283)</f>
        <v>3.9436363636363631E-2</v>
      </c>
      <c r="M273" s="16">
        <f>AVERAGE(ReturnData!M273:M283)</f>
        <v>2.0209090909090909E-2</v>
      </c>
      <c r="N273" s="16">
        <f>AVERAGE(ReturnData!N273:N283)</f>
        <v>2.7027272727272733E-2</v>
      </c>
      <c r="O273" s="16">
        <f>AVERAGE(ReturnData!O273:O283)</f>
        <v>1.1763636363636365E-2</v>
      </c>
      <c r="P273" s="16">
        <f>AVERAGE(ReturnData!P273:P283)</f>
        <v>2.1736363636363637E-2</v>
      </c>
      <c r="Q273" s="16">
        <f>AVERAGE(ReturnData!Q273:Q283)</f>
        <v>4.0127272727272727E-2</v>
      </c>
    </row>
    <row r="274" spans="1:17" x14ac:dyDescent="0.25">
      <c r="A274">
        <f>ReturnData!A286</f>
        <v>199709</v>
      </c>
      <c r="B274" s="16">
        <f>AVERAGE(ReturnData!B274:B284)</f>
        <v>3.101818181818182E-2</v>
      </c>
      <c r="C274" s="16">
        <f>AVERAGE(ReturnData!C274:C284)</f>
        <v>4.6909090909090893E-3</v>
      </c>
      <c r="D274" s="16">
        <f>AVERAGE(ReturnData!D274:D284)</f>
        <v>3.217272727272727E-2</v>
      </c>
      <c r="E274" s="16">
        <f>AVERAGE(ReturnData!E274:E284)</f>
        <v>1.769090909090909E-2</v>
      </c>
      <c r="F274" s="16">
        <f>AVERAGE(ReturnData!F274:F284)</f>
        <v>2.1963636363636366E-2</v>
      </c>
      <c r="G274" s="16">
        <f>AVERAGE(ReturnData!G274:G284)</f>
        <v>3.0909090909090907E-2</v>
      </c>
      <c r="H274" s="16">
        <f>AVERAGE(ReturnData!H274:H284)</f>
        <v>4.2654545454545452E-2</v>
      </c>
      <c r="I274" s="16">
        <f>AVERAGE(ReturnData!I274:I284)</f>
        <v>3.2000000000000001E-2</v>
      </c>
      <c r="J274" s="16">
        <f>AVERAGE(ReturnData!J274:J284)</f>
        <v>3.0436363636363636E-2</v>
      </c>
      <c r="K274" s="16">
        <f>AVERAGE(ReturnData!K274:K284)</f>
        <v>2.53E-2</v>
      </c>
      <c r="L274" s="16">
        <f>AVERAGE(ReturnData!L274:L284)</f>
        <v>5.0063636363636359E-2</v>
      </c>
      <c r="M274" s="16">
        <f>AVERAGE(ReturnData!M274:M284)</f>
        <v>2.4909090909090905E-2</v>
      </c>
      <c r="N274" s="16">
        <f>AVERAGE(ReturnData!N274:N284)</f>
        <v>3.1245454545454552E-2</v>
      </c>
      <c r="O274" s="16">
        <f>AVERAGE(ReturnData!O274:O284)</f>
        <v>1.169090909090909E-2</v>
      </c>
      <c r="P274" s="16">
        <f>AVERAGE(ReturnData!P274:P284)</f>
        <v>2.3690909090909092E-2</v>
      </c>
      <c r="Q274" s="16">
        <f>AVERAGE(ReturnData!Q274:Q284)</f>
        <v>4.586363636363637E-2</v>
      </c>
    </row>
    <row r="275" spans="1:17" x14ac:dyDescent="0.25">
      <c r="A275">
        <f>ReturnData!A287</f>
        <v>199710</v>
      </c>
      <c r="B275" s="16">
        <f>AVERAGE(ReturnData!B275:B285)</f>
        <v>1.9218181818181815E-2</v>
      </c>
      <c r="C275" s="16">
        <f>AVERAGE(ReturnData!C275:C285)</f>
        <v>7.6636363636363612E-3</v>
      </c>
      <c r="D275" s="16">
        <f>AVERAGE(ReturnData!D275:D285)</f>
        <v>2.8909090909090916E-2</v>
      </c>
      <c r="E275" s="16">
        <f>AVERAGE(ReturnData!E275:E285)</f>
        <v>9.9727272727272703E-3</v>
      </c>
      <c r="F275" s="16">
        <f>AVERAGE(ReturnData!F275:F285)</f>
        <v>1.5336363636363632E-2</v>
      </c>
      <c r="G275" s="16">
        <f>AVERAGE(ReturnData!G275:G285)</f>
        <v>2.1527272727272725E-2</v>
      </c>
      <c r="H275" s="16">
        <f>AVERAGE(ReturnData!H275:H285)</f>
        <v>2.9554545454545448E-2</v>
      </c>
      <c r="I275" s="16">
        <f>AVERAGE(ReturnData!I275:I285)</f>
        <v>2.0345454545454542E-2</v>
      </c>
      <c r="J275" s="16">
        <f>AVERAGE(ReturnData!J275:J285)</f>
        <v>2.6899999999999993E-2</v>
      </c>
      <c r="K275" s="16">
        <f>AVERAGE(ReturnData!K275:K285)</f>
        <v>2.5363636363636366E-2</v>
      </c>
      <c r="L275" s="16">
        <f>AVERAGE(ReturnData!L275:L285)</f>
        <v>3.89090909090909E-2</v>
      </c>
      <c r="M275" s="16">
        <f>AVERAGE(ReturnData!M275:M285)</f>
        <v>2.6127272727272721E-2</v>
      </c>
      <c r="N275" s="16">
        <f>AVERAGE(ReturnData!N275:N285)</f>
        <v>2.3372727272727278E-2</v>
      </c>
      <c r="O275" s="16">
        <f>AVERAGE(ReturnData!O275:O285)</f>
        <v>1.0018181818181818E-2</v>
      </c>
      <c r="P275" s="16">
        <f>AVERAGE(ReturnData!P275:P285)</f>
        <v>1.8354545454545453E-2</v>
      </c>
      <c r="Q275" s="16">
        <f>AVERAGE(ReturnData!Q275:Q285)</f>
        <v>3.5390909090909091E-2</v>
      </c>
    </row>
    <row r="276" spans="1:17" x14ac:dyDescent="0.25">
      <c r="A276">
        <f>ReturnData!A288</f>
        <v>199711</v>
      </c>
      <c r="B276" s="16">
        <f>AVERAGE(ReturnData!B276:B286)</f>
        <v>2.4490909090909087E-2</v>
      </c>
      <c r="C276" s="16">
        <f>AVERAGE(ReturnData!C276:C286)</f>
        <v>1.3690909090909089E-2</v>
      </c>
      <c r="D276" s="16">
        <f>AVERAGE(ReturnData!D276:D286)</f>
        <v>2.8909090909090909E-2</v>
      </c>
      <c r="E276" s="16">
        <f>AVERAGE(ReturnData!E276:E286)</f>
        <v>1.5599999999999998E-2</v>
      </c>
      <c r="F276" s="16">
        <f>AVERAGE(ReturnData!F276:F286)</f>
        <v>2.119090909090909E-2</v>
      </c>
      <c r="G276" s="16">
        <f>AVERAGE(ReturnData!G276:G286)</f>
        <v>2.0981818181818185E-2</v>
      </c>
      <c r="H276" s="16">
        <f>AVERAGE(ReturnData!H276:H286)</f>
        <v>3.316363636363636E-2</v>
      </c>
      <c r="I276" s="16">
        <f>AVERAGE(ReturnData!I276:I286)</f>
        <v>2.4372727272727272E-2</v>
      </c>
      <c r="J276" s="16">
        <f>AVERAGE(ReturnData!J276:J286)</f>
        <v>2.8709090909090906E-2</v>
      </c>
      <c r="K276" s="16">
        <f>AVERAGE(ReturnData!K276:K286)</f>
        <v>2.7463636363636367E-2</v>
      </c>
      <c r="L276" s="16">
        <f>AVERAGE(ReturnData!L276:L286)</f>
        <v>4.2227272727272717E-2</v>
      </c>
      <c r="M276" s="16">
        <f>AVERAGE(ReturnData!M276:M286)</f>
        <v>2.687272727272727E-2</v>
      </c>
      <c r="N276" s="16">
        <f>AVERAGE(ReturnData!N276:N286)</f>
        <v>2.7318181818181818E-2</v>
      </c>
      <c r="O276" s="16">
        <f>AVERAGE(ReturnData!O276:O286)</f>
        <v>1.0963636363636363E-2</v>
      </c>
      <c r="P276" s="16">
        <f>AVERAGE(ReturnData!P276:P286)</f>
        <v>2.4709090909090906E-2</v>
      </c>
      <c r="Q276" s="16">
        <f>AVERAGE(ReturnData!Q276:Q286)</f>
        <v>3.7909090909090913E-2</v>
      </c>
    </row>
    <row r="277" spans="1:17" x14ac:dyDescent="0.25">
      <c r="A277">
        <f>ReturnData!A289</f>
        <v>199712</v>
      </c>
      <c r="B277" s="16">
        <f>AVERAGE(ReturnData!B277:B287)</f>
        <v>1.7563636363636365E-2</v>
      </c>
      <c r="C277" s="16">
        <f>AVERAGE(ReturnData!C277:C287)</f>
        <v>-7.5454545454545468E-4</v>
      </c>
      <c r="D277" s="16">
        <f>AVERAGE(ReturnData!D277:D287)</f>
        <v>2.2254545454545457E-2</v>
      </c>
      <c r="E277" s="16">
        <f>AVERAGE(ReturnData!E277:E287)</f>
        <v>9.2181818181818163E-3</v>
      </c>
      <c r="F277" s="16">
        <f>AVERAGE(ReturnData!F277:F287)</f>
        <v>1.2554545454545452E-2</v>
      </c>
      <c r="G277" s="16">
        <f>AVERAGE(ReturnData!G277:G287)</f>
        <v>1.3099999999999999E-2</v>
      </c>
      <c r="H277" s="16">
        <f>AVERAGE(ReturnData!H277:H287)</f>
        <v>2.5954545454545452E-2</v>
      </c>
      <c r="I277" s="16">
        <f>AVERAGE(ReturnData!I277:I287)</f>
        <v>2.1390909090909085E-2</v>
      </c>
      <c r="J277" s="16">
        <f>AVERAGE(ReturnData!J277:J287)</f>
        <v>1.4418181818181814E-2</v>
      </c>
      <c r="K277" s="16">
        <f>AVERAGE(ReturnData!K277:K287)</f>
        <v>1.7627272727272728E-2</v>
      </c>
      <c r="L277" s="16">
        <f>AVERAGE(ReturnData!L277:L287)</f>
        <v>2.1663636363636354E-2</v>
      </c>
      <c r="M277" s="16">
        <f>AVERAGE(ReturnData!M277:M287)</f>
        <v>1.8600000000000002E-2</v>
      </c>
      <c r="N277" s="16">
        <f>AVERAGE(ReturnData!N277:N287)</f>
        <v>1.6236363636363636E-2</v>
      </c>
      <c r="O277" s="16">
        <f>AVERAGE(ReturnData!O277:O287)</f>
        <v>9.4363636363636368E-3</v>
      </c>
      <c r="P277" s="16">
        <f>AVERAGE(ReturnData!P277:P287)</f>
        <v>1.9245454545454541E-2</v>
      </c>
      <c r="Q277" s="16">
        <f>AVERAGE(ReturnData!Q277:Q287)</f>
        <v>2.8409090909090915E-2</v>
      </c>
    </row>
    <row r="278" spans="1:17" x14ac:dyDescent="0.25">
      <c r="A278">
        <f>ReturnData!A290</f>
        <v>199801</v>
      </c>
      <c r="B278" s="16">
        <f>AVERAGE(ReturnData!B278:B288)</f>
        <v>2.4927272727272728E-2</v>
      </c>
      <c r="C278" s="16">
        <f>AVERAGE(ReturnData!C278:C288)</f>
        <v>-7.254545454545458E-3</v>
      </c>
      <c r="D278" s="16">
        <f>AVERAGE(ReturnData!D278:D288)</f>
        <v>1.8454545454545456E-2</v>
      </c>
      <c r="E278" s="16">
        <f>AVERAGE(ReturnData!E278:E288)</f>
        <v>7.7545454545454532E-3</v>
      </c>
      <c r="F278" s="16">
        <f>AVERAGE(ReturnData!F278:F288)</f>
        <v>1.5899999999999997E-2</v>
      </c>
      <c r="G278" s="16">
        <f>AVERAGE(ReturnData!G278:G288)</f>
        <v>1.7490909090909092E-2</v>
      </c>
      <c r="H278" s="16">
        <f>AVERAGE(ReturnData!H278:H288)</f>
        <v>3.1890909090909088E-2</v>
      </c>
      <c r="I278" s="16">
        <f>AVERAGE(ReturnData!I278:I288)</f>
        <v>2.412727272727273E-2</v>
      </c>
      <c r="J278" s="16">
        <f>AVERAGE(ReturnData!J278:J288)</f>
        <v>1.2618181818181818E-2</v>
      </c>
      <c r="K278" s="16">
        <f>AVERAGE(ReturnData!K278:K288)</f>
        <v>1.8172727272727271E-2</v>
      </c>
      <c r="L278" s="16">
        <f>AVERAGE(ReturnData!L278:L288)</f>
        <v>2.6454545454545449E-2</v>
      </c>
      <c r="M278" s="16">
        <f>AVERAGE(ReturnData!M278:M288)</f>
        <v>1.9000000000000003E-2</v>
      </c>
      <c r="N278" s="16">
        <f>AVERAGE(ReturnData!N278:N288)</f>
        <v>1.6927272727272725E-2</v>
      </c>
      <c r="O278" s="16">
        <f>AVERAGE(ReturnData!O278:O288)</f>
        <v>1.5809090909090908E-2</v>
      </c>
      <c r="P278" s="16">
        <f>AVERAGE(ReturnData!P278:P288)</f>
        <v>2.9363636363636359E-2</v>
      </c>
      <c r="Q278" s="16">
        <f>AVERAGE(ReturnData!Q278:Q288)</f>
        <v>3.32E-2</v>
      </c>
    </row>
    <row r="279" spans="1:17" x14ac:dyDescent="0.25">
      <c r="A279">
        <f>ReturnData!A291</f>
        <v>199802</v>
      </c>
      <c r="B279" s="16">
        <f>AVERAGE(ReturnData!B279:B289)</f>
        <v>2.1781818181818183E-2</v>
      </c>
      <c r="C279" s="16">
        <f>AVERAGE(ReturnData!C279:C289)</f>
        <v>-9.4545454545454568E-3</v>
      </c>
      <c r="D279" s="16">
        <f>AVERAGE(ReturnData!D279:D289)</f>
        <v>1.3563636363636368E-2</v>
      </c>
      <c r="E279" s="16">
        <f>AVERAGE(ReturnData!E279:E289)</f>
        <v>-2.1727272727272724E-3</v>
      </c>
      <c r="F279" s="16">
        <f>AVERAGE(ReturnData!F279:F289)</f>
        <v>1.2681818181818181E-2</v>
      </c>
      <c r="G279" s="16">
        <f>AVERAGE(ReturnData!G279:G289)</f>
        <v>1.3599999999999999E-2</v>
      </c>
      <c r="H279" s="16">
        <f>AVERAGE(ReturnData!H279:H289)</f>
        <v>2.691818181818181E-2</v>
      </c>
      <c r="I279" s="16">
        <f>AVERAGE(ReturnData!I279:I289)</f>
        <v>2.4163636363636363E-2</v>
      </c>
      <c r="J279" s="16">
        <f>AVERAGE(ReturnData!J279:J289)</f>
        <v>9.6999999999999986E-3</v>
      </c>
      <c r="K279" s="16">
        <f>AVERAGE(ReturnData!K279:K289)</f>
        <v>1.5581818181818179E-2</v>
      </c>
      <c r="L279" s="16">
        <f>AVERAGE(ReturnData!L279:L289)</f>
        <v>1.5399999999999999E-2</v>
      </c>
      <c r="M279" s="16">
        <f>AVERAGE(ReturnData!M279:M289)</f>
        <v>2.0790909090909093E-2</v>
      </c>
      <c r="N279" s="16">
        <f>AVERAGE(ReturnData!N279:N289)</f>
        <v>1.5499999999999998E-2</v>
      </c>
      <c r="O279" s="16">
        <f>AVERAGE(ReturnData!O279:O289)</f>
        <v>2.2190909090909091E-2</v>
      </c>
      <c r="P279" s="16">
        <f>AVERAGE(ReturnData!P279:P289)</f>
        <v>2.7672727272727272E-2</v>
      </c>
      <c r="Q279" s="16">
        <f>AVERAGE(ReturnData!Q279:Q289)</f>
        <v>3.2363636363636365E-2</v>
      </c>
    </row>
    <row r="280" spans="1:17" x14ac:dyDescent="0.25">
      <c r="A280">
        <f>ReturnData!A292</f>
        <v>199803</v>
      </c>
      <c r="B280" s="16">
        <f>AVERAGE(ReturnData!B280:B290)</f>
        <v>1.6890909090909092E-2</v>
      </c>
      <c r="C280" s="16">
        <f>AVERAGE(ReturnData!C280:C290)</f>
        <v>-2.3563636363636366E-2</v>
      </c>
      <c r="D280" s="16">
        <f>AVERAGE(ReturnData!D280:D290)</f>
        <v>1.3600000000000003E-2</v>
      </c>
      <c r="E280" s="16">
        <f>AVERAGE(ReturnData!E280:E290)</f>
        <v>-4.6727272727272746E-3</v>
      </c>
      <c r="F280" s="16">
        <f>AVERAGE(ReturnData!F280:F290)</f>
        <v>1.2863636363636365E-2</v>
      </c>
      <c r="G280" s="16">
        <f>AVERAGE(ReturnData!G280:G290)</f>
        <v>1.0263636363636364E-2</v>
      </c>
      <c r="H280" s="16">
        <f>AVERAGE(ReturnData!H280:H290)</f>
        <v>2.8654545454545453E-2</v>
      </c>
      <c r="I280" s="16">
        <f>AVERAGE(ReturnData!I280:I290)</f>
        <v>2.5554545454545451E-2</v>
      </c>
      <c r="J280" s="16">
        <f>AVERAGE(ReturnData!J280:J290)</f>
        <v>1.1381818181818182E-2</v>
      </c>
      <c r="K280" s="16">
        <f>AVERAGE(ReturnData!K280:K290)</f>
        <v>1.595454545454545E-2</v>
      </c>
      <c r="L280" s="16">
        <f>AVERAGE(ReturnData!L280:L290)</f>
        <v>2.4409090909090905E-2</v>
      </c>
      <c r="M280" s="16">
        <f>AVERAGE(ReturnData!M280:M290)</f>
        <v>2.06E-2</v>
      </c>
      <c r="N280" s="16">
        <f>AVERAGE(ReturnData!N280:N290)</f>
        <v>1.7436363636363635E-2</v>
      </c>
      <c r="O280" s="16">
        <f>AVERAGE(ReturnData!O280:O290)</f>
        <v>1.8709090909090908E-2</v>
      </c>
      <c r="P280" s="16">
        <f>AVERAGE(ReturnData!P280:P290)</f>
        <v>2.5399999999999999E-2</v>
      </c>
      <c r="Q280" s="16">
        <f>AVERAGE(ReturnData!Q280:Q290)</f>
        <v>2.6381818181818183E-2</v>
      </c>
    </row>
    <row r="281" spans="1:17" x14ac:dyDescent="0.25">
      <c r="A281">
        <f>ReturnData!A293</f>
        <v>199804</v>
      </c>
      <c r="B281" s="16">
        <f>AVERAGE(ReturnData!B281:B291)</f>
        <v>2.4545454545454551E-2</v>
      </c>
      <c r="C281" s="16">
        <f>AVERAGE(ReturnData!C281:C291)</f>
        <v>-1.0481818181818179E-2</v>
      </c>
      <c r="D281" s="16">
        <f>AVERAGE(ReturnData!D281:D291)</f>
        <v>1.5381818181818186E-2</v>
      </c>
      <c r="E281" s="16">
        <f>AVERAGE(ReturnData!E281:E291)</f>
        <v>7.8909090909090925E-3</v>
      </c>
      <c r="F281" s="16">
        <f>AVERAGE(ReturnData!F281:F291)</f>
        <v>2.5890909090909086E-2</v>
      </c>
      <c r="G281" s="16">
        <f>AVERAGE(ReturnData!G281:G291)</f>
        <v>1.9172727272727275E-2</v>
      </c>
      <c r="H281" s="16">
        <f>AVERAGE(ReturnData!H281:H291)</f>
        <v>4.0254545454545453E-2</v>
      </c>
      <c r="I281" s="16">
        <f>AVERAGE(ReturnData!I281:I291)</f>
        <v>3.7445454545454553E-2</v>
      </c>
      <c r="J281" s="16">
        <f>AVERAGE(ReturnData!J281:J291)</f>
        <v>2.0863636363636359E-2</v>
      </c>
      <c r="K281" s="16">
        <f>AVERAGE(ReturnData!K281:K291)</f>
        <v>2.7318181818181818E-2</v>
      </c>
      <c r="L281" s="16">
        <f>AVERAGE(ReturnData!L281:L291)</f>
        <v>3.5881818181818174E-2</v>
      </c>
      <c r="M281" s="16">
        <f>AVERAGE(ReturnData!M281:M291)</f>
        <v>3.6081818181818187E-2</v>
      </c>
      <c r="N281" s="16">
        <f>AVERAGE(ReturnData!N281:N291)</f>
        <v>2.5027272727272728E-2</v>
      </c>
      <c r="O281" s="16">
        <f>AVERAGE(ReturnData!O281:O291)</f>
        <v>2.3627272727272722E-2</v>
      </c>
      <c r="P281" s="16">
        <f>AVERAGE(ReturnData!P281:P291)</f>
        <v>3.5981818181818177E-2</v>
      </c>
      <c r="Q281" s="16">
        <f>AVERAGE(ReturnData!Q281:Q291)</f>
        <v>4.0463636363636361E-2</v>
      </c>
    </row>
    <row r="282" spans="1:17" x14ac:dyDescent="0.25">
      <c r="A282">
        <f>ReturnData!A294</f>
        <v>199805</v>
      </c>
      <c r="B282" s="16">
        <f>AVERAGE(ReturnData!B282:B292)</f>
        <v>2.5318181818181816E-2</v>
      </c>
      <c r="C282" s="16">
        <f>AVERAGE(ReturnData!C282:C292)</f>
        <v>2.4454545454545462E-3</v>
      </c>
      <c r="D282" s="16">
        <f>AVERAGE(ReturnData!D282:D292)</f>
        <v>1.952727272727273E-2</v>
      </c>
      <c r="E282" s="16">
        <f>AVERAGE(ReturnData!E282:E292)</f>
        <v>1.5763636363636365E-2</v>
      </c>
      <c r="F282" s="16">
        <f>AVERAGE(ReturnData!F282:F292)</f>
        <v>2.5536363636363635E-2</v>
      </c>
      <c r="G282" s="16">
        <f>AVERAGE(ReturnData!G282:G292)</f>
        <v>2.128181818181818E-2</v>
      </c>
      <c r="H282" s="16">
        <f>AVERAGE(ReturnData!H282:H292)</f>
        <v>3.5572727272727263E-2</v>
      </c>
      <c r="I282" s="16">
        <f>AVERAGE(ReturnData!I282:I292)</f>
        <v>3.8809090909090911E-2</v>
      </c>
      <c r="J282" s="16">
        <f>AVERAGE(ReturnData!J282:J292)</f>
        <v>2.2018181818181819E-2</v>
      </c>
      <c r="K282" s="16">
        <f>AVERAGE(ReturnData!K282:K292)</f>
        <v>2.6645454545454549E-2</v>
      </c>
      <c r="L282" s="16">
        <f>AVERAGE(ReturnData!L282:L292)</f>
        <v>2.8545454545454537E-2</v>
      </c>
      <c r="M282" s="16">
        <f>AVERAGE(ReturnData!M282:M292)</f>
        <v>3.735454545454546E-2</v>
      </c>
      <c r="N282" s="16">
        <f>AVERAGE(ReturnData!N282:N292)</f>
        <v>2.4445454545454545E-2</v>
      </c>
      <c r="O282" s="16">
        <f>AVERAGE(ReturnData!O282:O292)</f>
        <v>3.1027272727272726E-2</v>
      </c>
      <c r="P282" s="16">
        <f>AVERAGE(ReturnData!P282:P292)</f>
        <v>4.0463636363636368E-2</v>
      </c>
      <c r="Q282" s="16">
        <f>AVERAGE(ReturnData!Q282:Q292)</f>
        <v>4.0436363636363631E-2</v>
      </c>
    </row>
    <row r="283" spans="1:17" x14ac:dyDescent="0.25">
      <c r="A283">
        <f>ReturnData!A295</f>
        <v>199806</v>
      </c>
      <c r="B283" s="16">
        <f>AVERAGE(ReturnData!B283:B293)</f>
        <v>1.7936363636363636E-2</v>
      </c>
      <c r="C283" s="16">
        <f>AVERAGE(ReturnData!C283:C293)</f>
        <v>-1.8727272727272677E-3</v>
      </c>
      <c r="D283" s="16">
        <f>AVERAGE(ReturnData!D283:D293)</f>
        <v>1.6290909090909092E-2</v>
      </c>
      <c r="E283" s="16">
        <f>AVERAGE(ReturnData!E283:E293)</f>
        <v>1.2563636363636365E-2</v>
      </c>
      <c r="F283" s="16">
        <f>AVERAGE(ReturnData!F283:F293)</f>
        <v>2.2481818181818183E-2</v>
      </c>
      <c r="G283" s="16">
        <f>AVERAGE(ReturnData!G283:G293)</f>
        <v>1.9672727272727272E-2</v>
      </c>
      <c r="H283" s="16">
        <f>AVERAGE(ReturnData!H283:H293)</f>
        <v>2.9927272727272726E-2</v>
      </c>
      <c r="I283" s="16">
        <f>AVERAGE(ReturnData!I283:I293)</f>
        <v>3.2781818181818176E-2</v>
      </c>
      <c r="J283" s="16">
        <f>AVERAGE(ReturnData!J283:J293)</f>
        <v>1.7900000000000003E-2</v>
      </c>
      <c r="K283" s="16">
        <f>AVERAGE(ReturnData!K283:K293)</f>
        <v>1.4436363636363636E-2</v>
      </c>
      <c r="L283" s="16">
        <f>AVERAGE(ReturnData!L283:L293)</f>
        <v>2.4018181818181817E-2</v>
      </c>
      <c r="M283" s="16">
        <f>AVERAGE(ReturnData!M283:M293)</f>
        <v>3.39E-2</v>
      </c>
      <c r="N283" s="16">
        <f>AVERAGE(ReturnData!N283:N293)</f>
        <v>1.7354545454545452E-2</v>
      </c>
      <c r="O283" s="16">
        <f>AVERAGE(ReturnData!O283:O293)</f>
        <v>2.529090909090909E-2</v>
      </c>
      <c r="P283" s="16">
        <f>AVERAGE(ReturnData!P283:P293)</f>
        <v>3.5400000000000001E-2</v>
      </c>
      <c r="Q283" s="16">
        <f>AVERAGE(ReturnData!Q283:Q293)</f>
        <v>3.7027272727272728E-2</v>
      </c>
    </row>
    <row r="284" spans="1:17" x14ac:dyDescent="0.25">
      <c r="A284">
        <f>ReturnData!A296</f>
        <v>199807</v>
      </c>
      <c r="B284" s="16">
        <f>AVERAGE(ReturnData!B284:B294)</f>
        <v>1.6754545454545453E-2</v>
      </c>
      <c r="C284" s="16">
        <f>AVERAGE(ReturnData!C284:C294)</f>
        <v>-1.3990909090909087E-2</v>
      </c>
      <c r="D284" s="16">
        <f>AVERAGE(ReturnData!D284:D294)</f>
        <v>1.1454545454545457E-2</v>
      </c>
      <c r="E284" s="16">
        <f>AVERAGE(ReturnData!E284:E294)</f>
        <v>8.1090909090909078E-3</v>
      </c>
      <c r="F284" s="16">
        <f>AVERAGE(ReturnData!F284:F294)</f>
        <v>1.5290909090909093E-2</v>
      </c>
      <c r="G284" s="16">
        <f>AVERAGE(ReturnData!G284:G294)</f>
        <v>1.4600000000000002E-2</v>
      </c>
      <c r="H284" s="16">
        <f>AVERAGE(ReturnData!H284:H294)</f>
        <v>2.1072727272727271E-2</v>
      </c>
      <c r="I284" s="16">
        <f>AVERAGE(ReturnData!I284:I294)</f>
        <v>2.9490909090909082E-2</v>
      </c>
      <c r="J284" s="16">
        <f>AVERAGE(ReturnData!J284:J294)</f>
        <v>7.4000000000000003E-3</v>
      </c>
      <c r="K284" s="16">
        <f>AVERAGE(ReturnData!K284:K294)</f>
        <v>8.0272727272727284E-3</v>
      </c>
      <c r="L284" s="16">
        <f>AVERAGE(ReturnData!L284:L294)</f>
        <v>1.6781818181818182E-2</v>
      </c>
      <c r="M284" s="16">
        <f>AVERAGE(ReturnData!M284:M294)</f>
        <v>4.0118181818181824E-2</v>
      </c>
      <c r="N284" s="16">
        <f>AVERAGE(ReturnData!N284:N294)</f>
        <v>1.0763636363636362E-2</v>
      </c>
      <c r="O284" s="16">
        <f>AVERAGE(ReturnData!O284:O294)</f>
        <v>2.1709090909090907E-2</v>
      </c>
      <c r="P284" s="16">
        <f>AVERAGE(ReturnData!P284:P294)</f>
        <v>3.2581818181818184E-2</v>
      </c>
      <c r="Q284" s="16">
        <f>AVERAGE(ReturnData!Q284:Q294)</f>
        <v>2.9454545454545455E-2</v>
      </c>
    </row>
    <row r="285" spans="1:17" x14ac:dyDescent="0.25">
      <c r="A285">
        <f>ReturnData!A297</f>
        <v>199808</v>
      </c>
      <c r="B285" s="16">
        <f>AVERAGE(ReturnData!B285:B295)</f>
        <v>1.6954545454545455E-2</v>
      </c>
      <c r="C285" s="16">
        <f>AVERAGE(ReturnData!C285:C295)</f>
        <v>-1.888181818181818E-2</v>
      </c>
      <c r="D285" s="16">
        <f>AVERAGE(ReturnData!D285:D295)</f>
        <v>3.8363636363636378E-3</v>
      </c>
      <c r="E285" s="16">
        <f>AVERAGE(ReturnData!E285:E295)</f>
        <v>5.3727272727272729E-3</v>
      </c>
      <c r="F285" s="16">
        <f>AVERAGE(ReturnData!F285:F295)</f>
        <v>1.4936363636363638E-2</v>
      </c>
      <c r="G285" s="16">
        <f>AVERAGE(ReturnData!G285:G295)</f>
        <v>5.2090909090909097E-3</v>
      </c>
      <c r="H285" s="16">
        <f>AVERAGE(ReturnData!H285:H295)</f>
        <v>2.4981818181818181E-2</v>
      </c>
      <c r="I285" s="16">
        <f>AVERAGE(ReturnData!I285:I295)</f>
        <v>2.2663636363636361E-2</v>
      </c>
      <c r="J285" s="16">
        <f>AVERAGE(ReturnData!J285:J295)</f>
        <v>-3.5818181818181834E-3</v>
      </c>
      <c r="K285" s="16">
        <f>AVERAGE(ReturnData!K285:K295)</f>
        <v>-9.0909090909090985E-4</v>
      </c>
      <c r="L285" s="16">
        <f>AVERAGE(ReturnData!L285:L295)</f>
        <v>4.3727272727272738E-3</v>
      </c>
      <c r="M285" s="16">
        <f>AVERAGE(ReturnData!M285:M295)</f>
        <v>3.5354545454545458E-2</v>
      </c>
      <c r="N285" s="16">
        <f>AVERAGE(ReturnData!N285:N295)</f>
        <v>2.909090909090908E-3</v>
      </c>
      <c r="O285" s="16">
        <f>AVERAGE(ReturnData!O285:O295)</f>
        <v>2.1709090909090904E-2</v>
      </c>
      <c r="P285" s="16">
        <f>AVERAGE(ReturnData!P285:P295)</f>
        <v>3.0181818181818178E-2</v>
      </c>
      <c r="Q285" s="16">
        <f>AVERAGE(ReturnData!Q285:Q295)</f>
        <v>2.3190909090909092E-2</v>
      </c>
    </row>
    <row r="286" spans="1:17" x14ac:dyDescent="0.25">
      <c r="A286">
        <f>ReturnData!A298</f>
        <v>199809</v>
      </c>
      <c r="B286" s="16">
        <f>AVERAGE(ReturnData!B286:B296)</f>
        <v>1.8981818181818183E-2</v>
      </c>
      <c r="C286" s="16">
        <f>AVERAGE(ReturnData!C286:C296)</f>
        <v>-2.1218181818181817E-2</v>
      </c>
      <c r="D286" s="16">
        <f>AVERAGE(ReturnData!D286:D296)</f>
        <v>-2.7363636363636353E-3</v>
      </c>
      <c r="E286" s="16">
        <f>AVERAGE(ReturnData!E286:E296)</f>
        <v>-6.4545454545454498E-4</v>
      </c>
      <c r="F286" s="16">
        <f>AVERAGE(ReturnData!F286:F296)</f>
        <v>1.6854545454545455E-2</v>
      </c>
      <c r="G286" s="16">
        <f>AVERAGE(ReturnData!G286:G296)</f>
        <v>9.6363636363636475E-4</v>
      </c>
      <c r="H286" s="16">
        <f>AVERAGE(ReturnData!H286:H296)</f>
        <v>3.1790909090909092E-2</v>
      </c>
      <c r="I286" s="16">
        <f>AVERAGE(ReturnData!I286:I296)</f>
        <v>2.5063636363636364E-2</v>
      </c>
      <c r="J286" s="16">
        <f>AVERAGE(ReturnData!J286:J296)</f>
        <v>-7.6636363636363638E-3</v>
      </c>
      <c r="K286" s="16">
        <f>AVERAGE(ReturnData!K286:K296)</f>
        <v>-9.527272727272728E-3</v>
      </c>
      <c r="L286" s="16">
        <f>AVERAGE(ReturnData!L286:L296)</f>
        <v>6.7999999999999979E-3</v>
      </c>
      <c r="M286" s="16">
        <f>AVERAGE(ReturnData!M286:M296)</f>
        <v>3.4227272727272731E-2</v>
      </c>
      <c r="N286" s="16">
        <f>AVERAGE(ReturnData!N286:N296)</f>
        <v>2.3727272727272711E-3</v>
      </c>
      <c r="O286" s="16">
        <f>AVERAGE(ReturnData!O286:O296)</f>
        <v>1.7854545454545453E-2</v>
      </c>
      <c r="P286" s="16">
        <f>AVERAGE(ReturnData!P286:P296)</f>
        <v>3.0972727272727273E-2</v>
      </c>
      <c r="Q286" s="16">
        <f>AVERAGE(ReturnData!Q286:Q296)</f>
        <v>2.7281818181818185E-2</v>
      </c>
    </row>
    <row r="287" spans="1:17" x14ac:dyDescent="0.25">
      <c r="A287">
        <f>ReturnData!A299</f>
        <v>199810</v>
      </c>
      <c r="B287" s="16">
        <f>AVERAGE(ReturnData!B287:B297)</f>
        <v>-9.0909090909090985E-4</v>
      </c>
      <c r="C287" s="16">
        <f>AVERAGE(ReturnData!C287:C297)</f>
        <v>-4.5227272727272734E-2</v>
      </c>
      <c r="D287" s="16">
        <f>AVERAGE(ReturnData!D287:D297)</f>
        <v>-1.7909090909090909E-2</v>
      </c>
      <c r="E287" s="16">
        <f>AVERAGE(ReturnData!E287:E297)</f>
        <v>-2.472727272727273E-2</v>
      </c>
      <c r="F287" s="16">
        <f>AVERAGE(ReturnData!F287:F297)</f>
        <v>-1.8181818181818704E-5</v>
      </c>
      <c r="G287" s="16">
        <f>AVERAGE(ReturnData!G287:G297)</f>
        <v>-9.6454545454545439E-3</v>
      </c>
      <c r="H287" s="16">
        <f>AVERAGE(ReturnData!H287:H297)</f>
        <v>1.7545454545454545E-2</v>
      </c>
      <c r="I287" s="16">
        <f>AVERAGE(ReturnData!I287:I297)</f>
        <v>5.1181818181818169E-3</v>
      </c>
      <c r="J287" s="16">
        <f>AVERAGE(ReturnData!J287:J297)</f>
        <v>-2.5563636363636365E-2</v>
      </c>
      <c r="K287" s="16">
        <f>AVERAGE(ReturnData!K287:K297)</f>
        <v>-2.8163636363636366E-2</v>
      </c>
      <c r="L287" s="16">
        <f>AVERAGE(ReturnData!L287:L297)</f>
        <v>-1.0736363636363636E-2</v>
      </c>
      <c r="M287" s="16">
        <f>AVERAGE(ReturnData!M287:M297)</f>
        <v>1.1590909090909094E-2</v>
      </c>
      <c r="N287" s="16">
        <f>AVERAGE(ReturnData!N287:N297)</f>
        <v>-1.9172727272727275E-2</v>
      </c>
      <c r="O287" s="16">
        <f>AVERAGE(ReturnData!O287:O297)</f>
        <v>1.5418181818181815E-2</v>
      </c>
      <c r="P287" s="16">
        <f>AVERAGE(ReturnData!P287:P297)</f>
        <v>1.4418181818181814E-2</v>
      </c>
      <c r="Q287" s="16">
        <f>AVERAGE(ReturnData!Q287:Q297)</f>
        <v>-2.181818181818219E-4</v>
      </c>
    </row>
    <row r="288" spans="1:17" x14ac:dyDescent="0.25">
      <c r="A288">
        <f>ReturnData!A300</f>
        <v>199811</v>
      </c>
      <c r="B288" s="16">
        <f>AVERAGE(ReturnData!B288:B298)</f>
        <v>2.2181818181818166E-3</v>
      </c>
      <c r="C288" s="16">
        <f>AVERAGE(ReturnData!C288:C298)</f>
        <v>-1.2463636363636359E-2</v>
      </c>
      <c r="D288" s="16">
        <f>AVERAGE(ReturnData!D288:D298)</f>
        <v>-3.7181818181818175E-3</v>
      </c>
      <c r="E288" s="16">
        <f>AVERAGE(ReturnData!E288:E298)</f>
        <v>-1.8018181818181819E-2</v>
      </c>
      <c r="F288" s="16">
        <f>AVERAGE(ReturnData!F288:F298)</f>
        <v>7.0909090909090672E-4</v>
      </c>
      <c r="G288" s="16">
        <f>AVERAGE(ReturnData!G288:G298)</f>
        <v>-5.4909090909090888E-3</v>
      </c>
      <c r="H288" s="16">
        <f>AVERAGE(ReturnData!H288:H298)</f>
        <v>2.6527272727272729E-2</v>
      </c>
      <c r="I288" s="16">
        <f>AVERAGE(ReturnData!I288:I298)</f>
        <v>6.1272727272727251E-3</v>
      </c>
      <c r="J288" s="16">
        <f>AVERAGE(ReturnData!J288:J298)</f>
        <v>-1.0245454545454545E-2</v>
      </c>
      <c r="K288" s="16">
        <f>AVERAGE(ReturnData!K288:K298)</f>
        <v>-2.6363636363636363E-2</v>
      </c>
      <c r="L288" s="16">
        <f>AVERAGE(ReturnData!L288:L298)</f>
        <v>8.1090909090909061E-3</v>
      </c>
      <c r="M288" s="16">
        <f>AVERAGE(ReturnData!M288:M298)</f>
        <v>1.5854545454545458E-2</v>
      </c>
      <c r="N288" s="16">
        <f>AVERAGE(ReturnData!N288:N298)</f>
        <v>-9.8727272727272761E-3</v>
      </c>
      <c r="O288" s="16">
        <f>AVERAGE(ReturnData!O288:O298)</f>
        <v>2.1981818181818182E-2</v>
      </c>
      <c r="P288" s="16">
        <f>AVERAGE(ReturnData!P288:P298)</f>
        <v>1.6972727272727271E-2</v>
      </c>
      <c r="Q288" s="16">
        <f>AVERAGE(ReturnData!Q288:Q298)</f>
        <v>3.599999999999996E-3</v>
      </c>
    </row>
    <row r="289" spans="1:17" x14ac:dyDescent="0.25">
      <c r="A289">
        <f>ReturnData!A301</f>
        <v>199812</v>
      </c>
      <c r="B289" s="16">
        <f>AVERAGE(ReturnData!B289:B299)</f>
        <v>6.8545454545454543E-3</v>
      </c>
      <c r="C289" s="16">
        <f>AVERAGE(ReturnData!C289:C299)</f>
        <v>-3.3636363636363629E-3</v>
      </c>
      <c r="D289" s="16">
        <f>AVERAGE(ReturnData!D289:D299)</f>
        <v>5.5454545454545502E-4</v>
      </c>
      <c r="E289" s="16">
        <f>AVERAGE(ReturnData!E289:E299)</f>
        <v>-1.3718181818181819E-2</v>
      </c>
      <c r="F289" s="16">
        <f>AVERAGE(ReturnData!F289:F299)</f>
        <v>8.1090909090909078E-3</v>
      </c>
      <c r="G289" s="16">
        <f>AVERAGE(ReturnData!G289:G299)</f>
        <v>-7.0181818181818184E-3</v>
      </c>
      <c r="H289" s="16">
        <f>AVERAGE(ReturnData!H289:H299)</f>
        <v>2.807272727272727E-2</v>
      </c>
      <c r="I289" s="16">
        <f>AVERAGE(ReturnData!I289:I299)</f>
        <v>1.3845454545454544E-2</v>
      </c>
      <c r="J289" s="16">
        <f>AVERAGE(ReturnData!J289:J299)</f>
        <v>3.7272727272727582E-4</v>
      </c>
      <c r="K289" s="16">
        <f>AVERAGE(ReturnData!K289:K299)</f>
        <v>-1.7645454545454544E-2</v>
      </c>
      <c r="L289" s="16">
        <f>AVERAGE(ReturnData!L289:L299)</f>
        <v>1.4700000000000001E-2</v>
      </c>
      <c r="M289" s="16">
        <f>AVERAGE(ReturnData!M289:M299)</f>
        <v>2.8445454545454552E-2</v>
      </c>
      <c r="N289" s="16">
        <f>AVERAGE(ReturnData!N289:N299)</f>
        <v>-1.8545454545454572E-3</v>
      </c>
      <c r="O289" s="16">
        <f>AVERAGE(ReturnData!O289:O299)</f>
        <v>1.3872727272727271E-2</v>
      </c>
      <c r="P289" s="16">
        <f>AVERAGE(ReturnData!P289:P299)</f>
        <v>2.1936363636363639E-2</v>
      </c>
      <c r="Q289" s="16">
        <f>AVERAGE(ReturnData!Q289:Q299)</f>
        <v>9.4727272727272716E-3</v>
      </c>
    </row>
    <row r="290" spans="1:17" x14ac:dyDescent="0.25">
      <c r="A290">
        <f>ReturnData!A302</f>
        <v>199901</v>
      </c>
      <c r="B290" s="16">
        <f>AVERAGE(ReturnData!B290:B300)</f>
        <v>7.9909090909090884E-3</v>
      </c>
      <c r="C290" s="16">
        <f>AVERAGE(ReturnData!C290:C300)</f>
        <v>3.209090909090914E-3</v>
      </c>
      <c r="D290" s="16">
        <f>AVERAGE(ReturnData!D290:D300)</f>
        <v>1.9000000000000004E-3</v>
      </c>
      <c r="E290" s="16">
        <f>AVERAGE(ReturnData!E290:E300)</f>
        <v>-2.9818181818181857E-3</v>
      </c>
      <c r="F290" s="16">
        <f>AVERAGE(ReturnData!F290:F300)</f>
        <v>9.9545454545454538E-3</v>
      </c>
      <c r="G290" s="16">
        <f>AVERAGE(ReturnData!G290:G300)</f>
        <v>-3.3090909090909074E-3</v>
      </c>
      <c r="H290" s="16">
        <f>AVERAGE(ReturnData!H290:H300)</f>
        <v>2.9154545454545447E-2</v>
      </c>
      <c r="I290" s="16">
        <f>AVERAGE(ReturnData!I290:I300)</f>
        <v>1.7836363636363636E-2</v>
      </c>
      <c r="J290" s="16">
        <f>AVERAGE(ReturnData!J290:J300)</f>
        <v>-3.0818181818181804E-3</v>
      </c>
      <c r="K290" s="16">
        <f>AVERAGE(ReturnData!K290:K300)</f>
        <v>-1.5463636363636362E-2</v>
      </c>
      <c r="L290" s="16">
        <f>AVERAGE(ReturnData!L290:L300)</f>
        <v>2.5636363636363634E-2</v>
      </c>
      <c r="M290" s="16">
        <f>AVERAGE(ReturnData!M290:M300)</f>
        <v>2.9490909090909092E-2</v>
      </c>
      <c r="N290" s="16">
        <f>AVERAGE(ReturnData!N290:N300)</f>
        <v>2.1181818181818164E-3</v>
      </c>
      <c r="O290" s="16">
        <f>AVERAGE(ReturnData!O290:O300)</f>
        <v>7.8727272727272726E-3</v>
      </c>
      <c r="P290" s="16">
        <f>AVERAGE(ReturnData!P290:P300)</f>
        <v>3.1827272727272732E-2</v>
      </c>
      <c r="Q290" s="16">
        <f>AVERAGE(ReturnData!Q290:Q300)</f>
        <v>9.9727272727272737E-3</v>
      </c>
    </row>
    <row r="291" spans="1:17" x14ac:dyDescent="0.25">
      <c r="A291">
        <f>ReturnData!A303</f>
        <v>199902</v>
      </c>
      <c r="B291" s="16">
        <f>AVERAGE(ReturnData!B291:B301)</f>
        <v>9.5363636363636345E-3</v>
      </c>
      <c r="C291" s="16">
        <f>AVERAGE(ReturnData!C291:C301)</f>
        <v>1.0054545454545457E-2</v>
      </c>
      <c r="D291" s="16">
        <f>AVERAGE(ReturnData!D291:D301)</f>
        <v>5.7636363636363631E-3</v>
      </c>
      <c r="E291" s="16">
        <f>AVERAGE(ReturnData!E291:E301)</f>
        <v>1.0636363636363601E-3</v>
      </c>
      <c r="F291" s="16">
        <f>AVERAGE(ReturnData!F291:F301)</f>
        <v>8.7272727272727259E-3</v>
      </c>
      <c r="G291" s="16">
        <f>AVERAGE(ReturnData!G291:G301)</f>
        <v>-5.2363636363636371E-3</v>
      </c>
      <c r="H291" s="16">
        <f>AVERAGE(ReturnData!H291:H301)</f>
        <v>2.7845454545454548E-2</v>
      </c>
      <c r="I291" s="16">
        <f>AVERAGE(ReturnData!I291:I301)</f>
        <v>2.696363636363636E-2</v>
      </c>
      <c r="J291" s="16">
        <f>AVERAGE(ReturnData!J291:J301)</f>
        <v>-5.9363636363636346E-3</v>
      </c>
      <c r="K291" s="16">
        <f>AVERAGE(ReturnData!K291:K301)</f>
        <v>-1.7963636363636362E-2</v>
      </c>
      <c r="L291" s="16">
        <f>AVERAGE(ReturnData!L291:L301)</f>
        <v>3.2490909090909091E-2</v>
      </c>
      <c r="M291" s="16">
        <f>AVERAGE(ReturnData!M291:M301)</f>
        <v>3.3500000000000002E-2</v>
      </c>
      <c r="N291" s="16">
        <f>AVERAGE(ReturnData!N291:N301)</f>
        <v>-1.818181818182154E-5</v>
      </c>
      <c r="O291" s="16">
        <f>AVERAGE(ReturnData!O291:O301)</f>
        <v>1.4472727272727274E-2</v>
      </c>
      <c r="P291" s="16">
        <f>AVERAGE(ReturnData!P291:P301)</f>
        <v>3.896363636363636E-2</v>
      </c>
      <c r="Q291" s="16">
        <f>AVERAGE(ReturnData!Q291:Q301)</f>
        <v>1.5236363636363638E-2</v>
      </c>
    </row>
    <row r="292" spans="1:17" x14ac:dyDescent="0.25">
      <c r="A292">
        <f>ReturnData!A304</f>
        <v>199903</v>
      </c>
      <c r="B292" s="16">
        <f>AVERAGE(ReturnData!B292:B302)</f>
        <v>3.1363636363636355E-3</v>
      </c>
      <c r="C292" s="16">
        <f>AVERAGE(ReturnData!C292:C302)</f>
        <v>1.180909090909091E-2</v>
      </c>
      <c r="D292" s="16">
        <f>AVERAGE(ReturnData!D292:D302)</f>
        <v>-5.4636363636363632E-3</v>
      </c>
      <c r="E292" s="16">
        <f>AVERAGE(ReturnData!E292:E302)</f>
        <v>-5.5636363636363635E-3</v>
      </c>
      <c r="F292" s="16">
        <f>AVERAGE(ReturnData!F292:F302)</f>
        <v>5.8181818181818204E-4</v>
      </c>
      <c r="G292" s="16">
        <f>AVERAGE(ReturnData!G292:G302)</f>
        <v>-1.663636363636364E-2</v>
      </c>
      <c r="H292" s="16">
        <f>AVERAGE(ReturnData!H292:H302)</f>
        <v>2.1518181818181818E-2</v>
      </c>
      <c r="I292" s="16">
        <f>AVERAGE(ReturnData!I292:I302)</f>
        <v>2.4336363636363635E-2</v>
      </c>
      <c r="J292" s="16">
        <f>AVERAGE(ReturnData!J292:J302)</f>
        <v>-7.8727272727272743E-3</v>
      </c>
      <c r="K292" s="16">
        <f>AVERAGE(ReturnData!K292:K302)</f>
        <v>-2.6063636363636365E-2</v>
      </c>
      <c r="L292" s="16">
        <f>AVERAGE(ReturnData!L292:L302)</f>
        <v>3.5418181818181821E-2</v>
      </c>
      <c r="M292" s="16">
        <f>AVERAGE(ReturnData!M292:M302)</f>
        <v>2.9045454545454544E-2</v>
      </c>
      <c r="N292" s="16">
        <f>AVERAGE(ReturnData!N292:N302)</f>
        <v>-7.4454545454545502E-3</v>
      </c>
      <c r="O292" s="16">
        <f>AVERAGE(ReturnData!O292:O302)</f>
        <v>6.4090909090909068E-3</v>
      </c>
      <c r="P292" s="16">
        <f>AVERAGE(ReturnData!P292:P302)</f>
        <v>3.1418181818181817E-2</v>
      </c>
      <c r="Q292" s="16">
        <f>AVERAGE(ReturnData!Q292:Q302)</f>
        <v>7.3909090909090903E-3</v>
      </c>
    </row>
    <row r="293" spans="1:17" x14ac:dyDescent="0.25">
      <c r="A293">
        <f>ReturnData!A305</f>
        <v>199904</v>
      </c>
      <c r="B293" s="16">
        <f>AVERAGE(ReturnData!B293:B303)</f>
        <v>-6.9272727272727272E-3</v>
      </c>
      <c r="C293" s="16">
        <f>AVERAGE(ReturnData!C293:C303)</f>
        <v>4.9000000000000024E-3</v>
      </c>
      <c r="D293" s="16">
        <f>AVERAGE(ReturnData!D293:D303)</f>
        <v>-1.2681818181818181E-2</v>
      </c>
      <c r="E293" s="16">
        <f>AVERAGE(ReturnData!E293:E303)</f>
        <v>-1.1254545454545455E-2</v>
      </c>
      <c r="F293" s="16">
        <f>AVERAGE(ReturnData!F293:F303)</f>
        <v>-7.4909090909090906E-3</v>
      </c>
      <c r="G293" s="16">
        <f>AVERAGE(ReturnData!G293:G303)</f>
        <v>-2.0236363636363639E-2</v>
      </c>
      <c r="H293" s="16">
        <f>AVERAGE(ReturnData!H293:H303)</f>
        <v>1.9245454545454541E-2</v>
      </c>
      <c r="I293" s="16">
        <f>AVERAGE(ReturnData!I293:I303)</f>
        <v>1.2381818181818183E-2</v>
      </c>
      <c r="J293" s="16">
        <f>AVERAGE(ReturnData!J293:J303)</f>
        <v>-1.5745454545454549E-2</v>
      </c>
      <c r="K293" s="16">
        <f>AVERAGE(ReturnData!K293:K303)</f>
        <v>-3.1899999999999998E-2</v>
      </c>
      <c r="L293" s="16">
        <f>AVERAGE(ReturnData!L293:L303)</f>
        <v>2.6463636363636366E-2</v>
      </c>
      <c r="M293" s="16">
        <f>AVERAGE(ReturnData!M293:M303)</f>
        <v>1.9736363636363639E-2</v>
      </c>
      <c r="N293" s="16">
        <f>AVERAGE(ReturnData!N293:N303)</f>
        <v>-9.5272727272727297E-3</v>
      </c>
      <c r="O293" s="16">
        <f>AVERAGE(ReturnData!O293:O303)</f>
        <v>-3.01818181818182E-3</v>
      </c>
      <c r="P293" s="16">
        <f>AVERAGE(ReturnData!P293:P303)</f>
        <v>2.5018181818181814E-2</v>
      </c>
      <c r="Q293" s="16">
        <f>AVERAGE(ReturnData!Q293:Q303)</f>
        <v>2.5636363636363634E-3</v>
      </c>
    </row>
    <row r="294" spans="1:17" x14ac:dyDescent="0.25">
      <c r="A294">
        <f>ReturnData!A306</f>
        <v>199905</v>
      </c>
      <c r="B294" s="16">
        <f>AVERAGE(ReturnData!B294:B304)</f>
        <v>-6.1363636363636368E-3</v>
      </c>
      <c r="C294" s="16">
        <f>AVERAGE(ReturnData!C294:C304)</f>
        <v>1.410909090909091E-2</v>
      </c>
      <c r="D294" s="16">
        <f>AVERAGE(ReturnData!D294:D304)</f>
        <v>-3.3272727272727269E-3</v>
      </c>
      <c r="E294" s="16">
        <f>AVERAGE(ReturnData!E294:E304)</f>
        <v>-1.394545454545454E-2</v>
      </c>
      <c r="F294" s="16">
        <f>AVERAGE(ReturnData!F294:F304)</f>
        <v>-1.1754545454545455E-2</v>
      </c>
      <c r="G294" s="16">
        <f>AVERAGE(ReturnData!G294:G304)</f>
        <v>-1.9381818181818184E-2</v>
      </c>
      <c r="H294" s="16">
        <f>AVERAGE(ReturnData!H294:H304)</f>
        <v>1.998181818181818E-2</v>
      </c>
      <c r="I294" s="16">
        <f>AVERAGE(ReturnData!I294:I304)</f>
        <v>1.6818181818181819E-2</v>
      </c>
      <c r="J294" s="16">
        <f>AVERAGE(ReturnData!J294:J304)</f>
        <v>-2.1299999999999999E-2</v>
      </c>
      <c r="K294" s="16">
        <f>AVERAGE(ReturnData!K294:K304)</f>
        <v>-2.5727272727272724E-2</v>
      </c>
      <c r="L294" s="16">
        <f>AVERAGE(ReturnData!L294:L304)</f>
        <v>2.702727272727273E-2</v>
      </c>
      <c r="M294" s="16">
        <f>AVERAGE(ReturnData!M294:M304)</f>
        <v>1.6836363636363639E-2</v>
      </c>
      <c r="N294" s="16">
        <f>AVERAGE(ReturnData!N294:N304)</f>
        <v>-5.236363636363638E-3</v>
      </c>
      <c r="O294" s="16">
        <f>AVERAGE(ReturnData!O294:O304)</f>
        <v>-2.2181818181818201E-3</v>
      </c>
      <c r="P294" s="16">
        <f>AVERAGE(ReturnData!P294:P304)</f>
        <v>2.8772727272727269E-2</v>
      </c>
      <c r="Q294" s="16">
        <f>AVERAGE(ReturnData!Q294:Q304)</f>
        <v>3.4545454545454558E-3</v>
      </c>
    </row>
    <row r="295" spans="1:17" x14ac:dyDescent="0.25">
      <c r="A295">
        <f>ReturnData!A307</f>
        <v>199906</v>
      </c>
      <c r="B295" s="16">
        <f>AVERAGE(ReturnData!B295:B305)</f>
        <v>-4.763636363636364E-3</v>
      </c>
      <c r="C295" s="16">
        <f>AVERAGE(ReturnData!C295:C305)</f>
        <v>4.4163636363636356E-2</v>
      </c>
      <c r="D295" s="16">
        <f>AVERAGE(ReturnData!D295:D305)</f>
        <v>1.460909090909091E-2</v>
      </c>
      <c r="E295" s="16">
        <f>AVERAGE(ReturnData!E295:E305)</f>
        <v>-4.9272727272727237E-3</v>
      </c>
      <c r="F295" s="16">
        <f>AVERAGE(ReturnData!F295:F305)</f>
        <v>3.5272727272727287E-3</v>
      </c>
      <c r="G295" s="16">
        <f>AVERAGE(ReturnData!G295:G305)</f>
        <v>-1.7272727272727389E-4</v>
      </c>
      <c r="H295" s="16">
        <f>AVERAGE(ReturnData!H295:H305)</f>
        <v>1.6045454545454543E-2</v>
      </c>
      <c r="I295" s="16">
        <f>AVERAGE(ReturnData!I295:I305)</f>
        <v>1.6681818181818183E-2</v>
      </c>
      <c r="J295" s="16">
        <f>AVERAGE(ReturnData!J295:J305)</f>
        <v>1.3154545454545457E-2</v>
      </c>
      <c r="K295" s="16">
        <f>AVERAGE(ReturnData!K295:K305)</f>
        <v>-7.7181818181818159E-3</v>
      </c>
      <c r="L295" s="16">
        <f>AVERAGE(ReturnData!L295:L305)</f>
        <v>3.6300000000000006E-2</v>
      </c>
      <c r="M295" s="16">
        <f>AVERAGE(ReturnData!M295:M305)</f>
        <v>1.5836363636363638E-2</v>
      </c>
      <c r="N295" s="16">
        <f>AVERAGE(ReturnData!N295:N305)</f>
        <v>9.9818181818181802E-3</v>
      </c>
      <c r="O295" s="16">
        <f>AVERAGE(ReturnData!O295:O305)</f>
        <v>5.2636363636363618E-3</v>
      </c>
      <c r="P295" s="16">
        <f>AVERAGE(ReturnData!P295:P305)</f>
        <v>2.6172727272727271E-2</v>
      </c>
      <c r="Q295" s="16">
        <f>AVERAGE(ReturnData!Q295:Q305)</f>
        <v>1.1281818181818181E-2</v>
      </c>
    </row>
    <row r="296" spans="1:17" x14ac:dyDescent="0.25">
      <c r="A296">
        <f>ReturnData!A308</f>
        <v>199907</v>
      </c>
      <c r="B296" s="16">
        <f>AVERAGE(ReturnData!B296:B306)</f>
        <v>-6.9545454545454528E-3</v>
      </c>
      <c r="C296" s="16">
        <f>AVERAGE(ReturnData!C296:C306)</f>
        <v>3.8145454545454552E-2</v>
      </c>
      <c r="D296" s="16">
        <f>AVERAGE(ReturnData!D296:D306)</f>
        <v>1.3218181818181822E-2</v>
      </c>
      <c r="E296" s="16">
        <f>AVERAGE(ReturnData!E296:E306)</f>
        <v>-6.3454545454545456E-3</v>
      </c>
      <c r="F296" s="16">
        <f>AVERAGE(ReturnData!F296:F306)</f>
        <v>9.6363636363636475E-4</v>
      </c>
      <c r="G296" s="16">
        <f>AVERAGE(ReturnData!G296:G306)</f>
        <v>-2.4909090909090948E-3</v>
      </c>
      <c r="H296" s="16">
        <f>AVERAGE(ReturnData!H296:H306)</f>
        <v>7.5636363636363635E-3</v>
      </c>
      <c r="I296" s="16">
        <f>AVERAGE(ReturnData!I296:I306)</f>
        <v>1.3090909090909092E-2</v>
      </c>
      <c r="J296" s="16">
        <f>AVERAGE(ReturnData!J296:J306)</f>
        <v>8.0363636363636401E-3</v>
      </c>
      <c r="K296" s="16">
        <f>AVERAGE(ReturnData!K296:K306)</f>
        <v>-1.5454545454545417E-3</v>
      </c>
      <c r="L296" s="16">
        <f>AVERAGE(ReturnData!L296:L306)</f>
        <v>3.3290909090909093E-2</v>
      </c>
      <c r="M296" s="16">
        <f>AVERAGE(ReturnData!M296:M306)</f>
        <v>8.2909090909090936E-3</v>
      </c>
      <c r="N296" s="16">
        <f>AVERAGE(ReturnData!N296:N306)</f>
        <v>7.5818181818181818E-3</v>
      </c>
      <c r="O296" s="16">
        <f>AVERAGE(ReturnData!O296:O306)</f>
        <v>8.818181818181817E-3</v>
      </c>
      <c r="P296" s="16">
        <f>AVERAGE(ReturnData!P296:P306)</f>
        <v>1.6736363636363633E-2</v>
      </c>
      <c r="Q296" s="16">
        <f>AVERAGE(ReturnData!Q296:Q306)</f>
        <v>4.4272727272727267E-3</v>
      </c>
    </row>
    <row r="297" spans="1:17" x14ac:dyDescent="0.25">
      <c r="A297">
        <f>ReturnData!A309</f>
        <v>199908</v>
      </c>
      <c r="B297" s="16">
        <f>AVERAGE(ReturnData!B297:B307)</f>
        <v>-3.0727272727272725E-3</v>
      </c>
      <c r="C297" s="16">
        <f>AVERAGE(ReturnData!C297:C307)</f>
        <v>3.2463636363636368E-2</v>
      </c>
      <c r="D297" s="16">
        <f>AVERAGE(ReturnData!D297:D307)</f>
        <v>1.9663636363636362E-2</v>
      </c>
      <c r="E297" s="16">
        <f>AVERAGE(ReturnData!E297:E307)</f>
        <v>4.981818181818181E-3</v>
      </c>
      <c r="F297" s="16">
        <f>AVERAGE(ReturnData!F297:F307)</f>
        <v>5.2545454545454571E-3</v>
      </c>
      <c r="G297" s="16">
        <f>AVERAGE(ReturnData!G297:G307)</f>
        <v>8.7272727272727293E-3</v>
      </c>
      <c r="H297" s="16">
        <f>AVERAGE(ReturnData!H297:H307)</f>
        <v>1.1336363636363634E-2</v>
      </c>
      <c r="I297" s="16">
        <f>AVERAGE(ReturnData!I297:I307)</f>
        <v>1.6072727272727273E-2</v>
      </c>
      <c r="J297" s="16">
        <f>AVERAGE(ReturnData!J297:J307)</f>
        <v>2.1790909090909093E-2</v>
      </c>
      <c r="K297" s="16">
        <f>AVERAGE(ReturnData!K297:K307)</f>
        <v>6.3454545454545491E-3</v>
      </c>
      <c r="L297" s="16">
        <f>AVERAGE(ReturnData!L297:L307)</f>
        <v>4.2909090909090918E-2</v>
      </c>
      <c r="M297" s="16">
        <f>AVERAGE(ReturnData!M297:M307)</f>
        <v>8.0181818181818201E-3</v>
      </c>
      <c r="N297" s="16">
        <f>AVERAGE(ReturnData!N297:N307)</f>
        <v>1.5672727272727272E-2</v>
      </c>
      <c r="O297" s="16">
        <f>AVERAGE(ReturnData!O297:O307)</f>
        <v>9.6545454545454504E-3</v>
      </c>
      <c r="P297" s="16">
        <f>AVERAGE(ReturnData!P297:P307)</f>
        <v>2.6190909090909084E-2</v>
      </c>
      <c r="Q297" s="16">
        <f>AVERAGE(ReturnData!Q297:Q307)</f>
        <v>8.0272727272727232E-3</v>
      </c>
    </row>
    <row r="298" spans="1:17" x14ac:dyDescent="0.25">
      <c r="A298">
        <f>ReturnData!A310</f>
        <v>199909</v>
      </c>
      <c r="B298" s="16">
        <f>AVERAGE(ReturnData!B298:B308)</f>
        <v>8.9272727272727281E-3</v>
      </c>
      <c r="C298" s="16">
        <f>AVERAGE(ReturnData!C298:C308)</f>
        <v>4.3209090909090912E-2</v>
      </c>
      <c r="D298" s="16">
        <f>AVERAGE(ReturnData!D298:D308)</f>
        <v>3.1318181818181821E-2</v>
      </c>
      <c r="E298" s="16">
        <f>AVERAGE(ReturnData!E298:E308)</f>
        <v>1.6381818181818178E-2</v>
      </c>
      <c r="F298" s="16">
        <f>AVERAGE(ReturnData!F298:F308)</f>
        <v>1.4909090909090915E-2</v>
      </c>
      <c r="G298" s="16">
        <f>AVERAGE(ReturnData!G298:G308)</f>
        <v>1.8809090909090911E-2</v>
      </c>
      <c r="H298" s="16">
        <f>AVERAGE(ReturnData!H298:H308)</f>
        <v>1.5190909090909093E-2</v>
      </c>
      <c r="I298" s="16">
        <f>AVERAGE(ReturnData!I298:I308)</f>
        <v>2.9518181818181811E-2</v>
      </c>
      <c r="J298" s="16">
        <f>AVERAGE(ReturnData!J298:J308)</f>
        <v>3.7572727272727272E-2</v>
      </c>
      <c r="K298" s="16">
        <f>AVERAGE(ReturnData!K298:K308)</f>
        <v>2.3163636363636365E-2</v>
      </c>
      <c r="L298" s="16">
        <f>AVERAGE(ReturnData!L298:L308)</f>
        <v>5.8009090909090906E-2</v>
      </c>
      <c r="M298" s="16">
        <f>AVERAGE(ReturnData!M298:M308)</f>
        <v>1.9209090909090915E-2</v>
      </c>
      <c r="N298" s="16">
        <f>AVERAGE(ReturnData!N298:N308)</f>
        <v>3.0436363636363636E-2</v>
      </c>
      <c r="O298" s="16">
        <f>AVERAGE(ReturnData!O298:O308)</f>
        <v>7.4727272727272706E-3</v>
      </c>
      <c r="P298" s="16">
        <f>AVERAGE(ReturnData!P298:P308)</f>
        <v>3.2981818181818175E-2</v>
      </c>
      <c r="Q298" s="16">
        <f>AVERAGE(ReturnData!Q298:Q308)</f>
        <v>2.2845454545454554E-2</v>
      </c>
    </row>
    <row r="299" spans="1:17" x14ac:dyDescent="0.25">
      <c r="A299">
        <f>ReturnData!A311</f>
        <v>199910</v>
      </c>
      <c r="B299" s="16">
        <f>AVERAGE(ReturnData!B299:B309)</f>
        <v>6.3181818181818174E-3</v>
      </c>
      <c r="C299" s="16">
        <f>AVERAGE(ReturnData!C299:C309)</f>
        <v>2.7609090909090903E-2</v>
      </c>
      <c r="D299" s="16">
        <f>AVERAGE(ReturnData!D299:D309)</f>
        <v>2.0081818181818176E-2</v>
      </c>
      <c r="E299" s="16">
        <f>AVERAGE(ReturnData!E299:E309)</f>
        <v>5.8818181818181773E-3</v>
      </c>
      <c r="F299" s="16">
        <f>AVERAGE(ReturnData!F299:F309)</f>
        <v>1.3218181818181822E-2</v>
      </c>
      <c r="G299" s="16">
        <f>AVERAGE(ReturnData!G299:G309)</f>
        <v>1.2881818181818184E-2</v>
      </c>
      <c r="H299" s="16">
        <f>AVERAGE(ReturnData!H299:H309)</f>
        <v>9.2090909090909116E-3</v>
      </c>
      <c r="I299" s="16">
        <f>AVERAGE(ReturnData!I299:I309)</f>
        <v>2.5872727272727269E-2</v>
      </c>
      <c r="J299" s="16">
        <f>AVERAGE(ReturnData!J299:J309)</f>
        <v>2.8818181818181819E-2</v>
      </c>
      <c r="K299" s="16">
        <f>AVERAGE(ReturnData!K299:K309)</f>
        <v>1.9709090909090912E-2</v>
      </c>
      <c r="L299" s="16">
        <f>AVERAGE(ReturnData!L299:L309)</f>
        <v>5.4890909090909094E-2</v>
      </c>
      <c r="M299" s="16">
        <f>AVERAGE(ReturnData!M299:M309)</f>
        <v>2.0645454545454554E-2</v>
      </c>
      <c r="N299" s="16">
        <f>AVERAGE(ReturnData!N299:N309)</f>
        <v>2.2099999999999995E-2</v>
      </c>
      <c r="O299" s="16">
        <f>AVERAGE(ReturnData!O299:O309)</f>
        <v>5.6363636363636175E-4</v>
      </c>
      <c r="P299" s="16">
        <f>AVERAGE(ReturnData!P299:P309)</f>
        <v>2.741818181818181E-2</v>
      </c>
      <c r="Q299" s="16">
        <f>AVERAGE(ReturnData!Q299:Q309)</f>
        <v>1.6209090909090909E-2</v>
      </c>
    </row>
    <row r="300" spans="1:17" x14ac:dyDescent="0.25">
      <c r="A300">
        <f>ReturnData!A312</f>
        <v>199911</v>
      </c>
      <c r="B300" s="16">
        <f>AVERAGE(ReturnData!B300:B310)</f>
        <v>-1.3536363636363635E-2</v>
      </c>
      <c r="C300" s="16">
        <f>AVERAGE(ReturnData!C300:C310)</f>
        <v>2.2909090909090921E-2</v>
      </c>
      <c r="D300" s="16">
        <f>AVERAGE(ReturnData!D300:D310)</f>
        <v>1.5690909090909089E-2</v>
      </c>
      <c r="E300" s="16">
        <f>AVERAGE(ReturnData!E300:E310)</f>
        <v>1.3999999999999967E-3</v>
      </c>
      <c r="F300" s="16">
        <f>AVERAGE(ReturnData!F300:F310)</f>
        <v>-3.9090909090909046E-3</v>
      </c>
      <c r="G300" s="16">
        <f>AVERAGE(ReturnData!G300:G310)</f>
        <v>6.6636363636363638E-3</v>
      </c>
      <c r="H300" s="16">
        <f>AVERAGE(ReturnData!H300:H310)</f>
        <v>-3.4909090909090901E-3</v>
      </c>
      <c r="I300" s="16">
        <f>AVERAGE(ReturnData!I300:I310)</f>
        <v>1.4454545454545453E-2</v>
      </c>
      <c r="J300" s="16">
        <f>AVERAGE(ReturnData!J300:J310)</f>
        <v>1.9100000000000006E-2</v>
      </c>
      <c r="K300" s="16">
        <f>AVERAGE(ReturnData!K300:K310)</f>
        <v>6.572727272727277E-3</v>
      </c>
      <c r="L300" s="16">
        <f>AVERAGE(ReturnData!L300:L310)</f>
        <v>4.4300000000000006E-2</v>
      </c>
      <c r="M300" s="16">
        <f>AVERAGE(ReturnData!M300:M310)</f>
        <v>4.3636363636363655E-3</v>
      </c>
      <c r="N300" s="16">
        <f>AVERAGE(ReturnData!N300:N310)</f>
        <v>6.4454545454545459E-3</v>
      </c>
      <c r="O300" s="16">
        <f>AVERAGE(ReturnData!O300:O310)</f>
        <v>-1.7545454545454565E-3</v>
      </c>
      <c r="P300" s="16">
        <f>AVERAGE(ReturnData!P300:P310)</f>
        <v>1.7418181818181819E-2</v>
      </c>
      <c r="Q300" s="16">
        <f>AVERAGE(ReturnData!Q300:Q310)</f>
        <v>2.036363636363633E-3</v>
      </c>
    </row>
    <row r="301" spans="1:17" x14ac:dyDescent="0.25">
      <c r="A301">
        <f>ReturnData!A313</f>
        <v>199912</v>
      </c>
      <c r="B301" s="16">
        <f>AVERAGE(ReturnData!B301:B311)</f>
        <v>-6.6181818181818156E-3</v>
      </c>
      <c r="C301" s="16">
        <f>AVERAGE(ReturnData!C301:C311)</f>
        <v>3.0327272727272724E-2</v>
      </c>
      <c r="D301" s="16">
        <f>AVERAGE(ReturnData!D301:D311)</f>
        <v>1.3227272727272726E-2</v>
      </c>
      <c r="E301" s="16">
        <f>AVERAGE(ReturnData!E301:E311)</f>
        <v>-3.4636363636363614E-3</v>
      </c>
      <c r="F301" s="16">
        <f>AVERAGE(ReturnData!F301:F311)</f>
        <v>-8.0909090909090861E-3</v>
      </c>
      <c r="G301" s="16">
        <f>AVERAGE(ReturnData!G301:G311)</f>
        <v>5.0363636363636383E-3</v>
      </c>
      <c r="H301" s="16">
        <f>AVERAGE(ReturnData!H301:H311)</f>
        <v>9.2727272727272732E-4</v>
      </c>
      <c r="I301" s="16">
        <f>AVERAGE(ReturnData!I301:I311)</f>
        <v>1.1599999999999999E-2</v>
      </c>
      <c r="J301" s="16">
        <f>AVERAGE(ReturnData!J301:J311)</f>
        <v>2.1936363636363639E-2</v>
      </c>
      <c r="K301" s="16">
        <f>AVERAGE(ReturnData!K301:K311)</f>
        <v>3.0272727272727274E-3</v>
      </c>
      <c r="L301" s="16">
        <f>AVERAGE(ReturnData!L301:L311)</f>
        <v>4.1145454545454548E-2</v>
      </c>
      <c r="M301" s="16">
        <f>AVERAGE(ReturnData!M301:M311)</f>
        <v>2.4818181818181823E-3</v>
      </c>
      <c r="N301" s="16">
        <f>AVERAGE(ReturnData!N301:N311)</f>
        <v>3.6545454545454546E-3</v>
      </c>
      <c r="O301" s="16">
        <f>AVERAGE(ReturnData!O301:O311)</f>
        <v>-9.6363636363636573E-4</v>
      </c>
      <c r="P301" s="16">
        <f>AVERAGE(ReturnData!P301:P311)</f>
        <v>1.2618181818181817E-2</v>
      </c>
      <c r="Q301" s="16">
        <f>AVERAGE(ReturnData!Q301:Q311)</f>
        <v>9.2181818181818181E-3</v>
      </c>
    </row>
    <row r="302" spans="1:17" x14ac:dyDescent="0.25">
      <c r="A302">
        <f>ReturnData!A314</f>
        <v>200001</v>
      </c>
      <c r="B302" s="16">
        <f>AVERAGE(ReturnData!B302:B312)</f>
        <v>-4.7636363636363597E-3</v>
      </c>
      <c r="C302" s="16">
        <f>AVERAGE(ReturnData!C302:C312)</f>
        <v>2.4145454545454539E-2</v>
      </c>
      <c r="D302" s="16">
        <f>AVERAGE(ReturnData!D302:D312)</f>
        <v>1.7745454545454543E-2</v>
      </c>
      <c r="E302" s="16">
        <f>AVERAGE(ReturnData!E302:E312)</f>
        <v>-1.4363636363636361E-2</v>
      </c>
      <c r="F302" s="16">
        <f>AVERAGE(ReturnData!F302:F312)</f>
        <v>-1.0763636363636359E-2</v>
      </c>
      <c r="G302" s="16">
        <f>AVERAGE(ReturnData!G302:G312)</f>
        <v>8.9818181818181846E-3</v>
      </c>
      <c r="H302" s="16">
        <f>AVERAGE(ReturnData!H302:H312)</f>
        <v>-1.827272727272726E-3</v>
      </c>
      <c r="I302" s="16">
        <f>AVERAGE(ReturnData!I302:I312)</f>
        <v>3.5636363636363621E-3</v>
      </c>
      <c r="J302" s="16">
        <f>AVERAGE(ReturnData!J302:J312)</f>
        <v>2.9263636363636367E-2</v>
      </c>
      <c r="K302" s="16">
        <f>AVERAGE(ReturnData!K302:K312)</f>
        <v>4.0272727272727309E-3</v>
      </c>
      <c r="L302" s="16">
        <f>AVERAGE(ReturnData!L302:L312)</f>
        <v>3.7718181818181824E-2</v>
      </c>
      <c r="M302" s="16">
        <f>AVERAGE(ReturnData!M302:M312)</f>
        <v>-4.000000000000001E-3</v>
      </c>
      <c r="N302" s="16">
        <f>AVERAGE(ReturnData!N302:N312)</f>
        <v>1.0545454545454525E-3</v>
      </c>
      <c r="O302" s="16">
        <f>AVERAGE(ReturnData!O302:O312)</f>
        <v>-1.0281818181818184E-2</v>
      </c>
      <c r="P302" s="16">
        <f>AVERAGE(ReturnData!P302:P312)</f>
        <v>8.5545454545454553E-3</v>
      </c>
      <c r="Q302" s="16">
        <f>AVERAGE(ReturnData!Q302:Q312)</f>
        <v>3.0000000000000014E-3</v>
      </c>
    </row>
    <row r="303" spans="1:17" x14ac:dyDescent="0.25">
      <c r="A303">
        <f>ReturnData!A315</f>
        <v>200002</v>
      </c>
      <c r="B303" s="16">
        <f>AVERAGE(ReturnData!B303:B313)</f>
        <v>-8.8090909090909053E-3</v>
      </c>
      <c r="C303" s="16">
        <f>AVERAGE(ReturnData!C303:C313)</f>
        <v>3.1163636363636362E-2</v>
      </c>
      <c r="D303" s="16">
        <f>AVERAGE(ReturnData!D303:D313)</f>
        <v>2.3400000000000001E-2</v>
      </c>
      <c r="E303" s="16">
        <f>AVERAGE(ReturnData!E303:E313)</f>
        <v>-1.3290909090909091E-2</v>
      </c>
      <c r="F303" s="16">
        <f>AVERAGE(ReturnData!F303:F313)</f>
        <v>-8.7181818181818142E-3</v>
      </c>
      <c r="G303" s="16">
        <f>AVERAGE(ReturnData!G303:G313)</f>
        <v>1.9600000000000003E-2</v>
      </c>
      <c r="H303" s="16">
        <f>AVERAGE(ReturnData!H303:H313)</f>
        <v>-8.0272727272727284E-3</v>
      </c>
      <c r="I303" s="16">
        <f>AVERAGE(ReturnData!I303:I313)</f>
        <v>1.2800000000000001E-2</v>
      </c>
      <c r="J303" s="16">
        <f>AVERAGE(ReturnData!J303:J313)</f>
        <v>4.6236363636363638E-2</v>
      </c>
      <c r="K303" s="16">
        <f>AVERAGE(ReturnData!K303:K313)</f>
        <v>8.2090909090909141E-3</v>
      </c>
      <c r="L303" s="16">
        <f>AVERAGE(ReturnData!L303:L313)</f>
        <v>4.2136363636363632E-2</v>
      </c>
      <c r="M303" s="16">
        <f>AVERAGE(ReturnData!M303:M313)</f>
        <v>-7.6636363636363647E-3</v>
      </c>
      <c r="N303" s="16">
        <f>AVERAGE(ReturnData!N303:N313)</f>
        <v>3.4545454545454549E-3</v>
      </c>
      <c r="O303" s="16">
        <f>AVERAGE(ReturnData!O303:O313)</f>
        <v>-6.6818181818181837E-3</v>
      </c>
      <c r="P303" s="16">
        <f>AVERAGE(ReturnData!P303:P313)</f>
        <v>8.1181818181818178E-3</v>
      </c>
      <c r="Q303" s="16">
        <f>AVERAGE(ReturnData!Q303:Q313)</f>
        <v>1.7272727272727279E-3</v>
      </c>
    </row>
    <row r="304" spans="1:17" x14ac:dyDescent="0.25">
      <c r="A304">
        <f>ReturnData!A316</f>
        <v>200003</v>
      </c>
      <c r="B304" s="16">
        <f>AVERAGE(ReturnData!B304:B314)</f>
        <v>-1.0954545454545453E-2</v>
      </c>
      <c r="C304" s="16">
        <f>AVERAGE(ReturnData!C304:C314)</f>
        <v>4.8863636363636359E-2</v>
      </c>
      <c r="D304" s="16">
        <f>AVERAGE(ReturnData!D304:D314)</f>
        <v>2.8363636363636358E-2</v>
      </c>
      <c r="E304" s="16">
        <f>AVERAGE(ReturnData!E304:E314)</f>
        <v>-2.243636363636364E-2</v>
      </c>
      <c r="F304" s="16">
        <f>AVERAGE(ReturnData!F304:F314)</f>
        <v>-1.2790909090909091E-2</v>
      </c>
      <c r="G304" s="16">
        <f>AVERAGE(ReturnData!G304:G314)</f>
        <v>1.0090909090909091E-2</v>
      </c>
      <c r="H304" s="16">
        <f>AVERAGE(ReturnData!H304:H314)</f>
        <v>-4.7545454545454557E-3</v>
      </c>
      <c r="I304" s="16">
        <f>AVERAGE(ReturnData!I304:I314)</f>
        <v>3.7272727272727279E-3</v>
      </c>
      <c r="J304" s="16">
        <f>AVERAGE(ReturnData!J304:J314)</f>
        <v>4.8845454545454546E-2</v>
      </c>
      <c r="K304" s="16">
        <f>AVERAGE(ReturnData!K304:K314)</f>
        <v>1.4636363636363651E-3</v>
      </c>
      <c r="L304" s="16">
        <f>AVERAGE(ReturnData!L304:L314)</f>
        <v>5.1754545454545449E-2</v>
      </c>
      <c r="M304" s="16">
        <f>AVERAGE(ReturnData!M304:M314)</f>
        <v>-4.6363636363636372E-3</v>
      </c>
      <c r="N304" s="16">
        <f>AVERAGE(ReturnData!N304:N314)</f>
        <v>-6.3545454545454547E-3</v>
      </c>
      <c r="O304" s="16">
        <f>AVERAGE(ReturnData!O304:O314)</f>
        <v>2.0909090909090908E-3</v>
      </c>
      <c r="P304" s="16">
        <f>AVERAGE(ReturnData!P304:P314)</f>
        <v>-3.5090909090909088E-3</v>
      </c>
      <c r="Q304" s="16">
        <f>AVERAGE(ReturnData!Q304:Q314)</f>
        <v>-2.972727272727271E-3</v>
      </c>
    </row>
    <row r="305" spans="1:17" x14ac:dyDescent="0.25">
      <c r="A305">
        <f>ReturnData!A317</f>
        <v>200004</v>
      </c>
      <c r="B305" s="16">
        <f>AVERAGE(ReturnData!B305:B315)</f>
        <v>-1.7218181818181813E-2</v>
      </c>
      <c r="C305" s="16">
        <f>AVERAGE(ReturnData!C305:C315)</f>
        <v>3.315454545454545E-2</v>
      </c>
      <c r="D305" s="16">
        <f>AVERAGE(ReturnData!D305:D315)</f>
        <v>1.1072727272727277E-2</v>
      </c>
      <c r="E305" s="16">
        <f>AVERAGE(ReturnData!E305:E315)</f>
        <v>-3.0581818181818186E-2</v>
      </c>
      <c r="F305" s="16">
        <f>AVERAGE(ReturnData!F305:F315)</f>
        <v>-1.594545454545454E-2</v>
      </c>
      <c r="G305" s="16">
        <f>AVERAGE(ReturnData!G305:G315)</f>
        <v>-1.3636363636363523E-4</v>
      </c>
      <c r="H305" s="16">
        <f>AVERAGE(ReturnData!H305:H315)</f>
        <v>-1.5527272727272725E-2</v>
      </c>
      <c r="I305" s="16">
        <f>AVERAGE(ReturnData!I305:I315)</f>
        <v>-1.7818181818181824E-3</v>
      </c>
      <c r="J305" s="16">
        <f>AVERAGE(ReturnData!J305:J315)</f>
        <v>5.7727272727272731E-2</v>
      </c>
      <c r="K305" s="16">
        <f>AVERAGE(ReturnData!K305:K315)</f>
        <v>-1.2445454545454543E-2</v>
      </c>
      <c r="L305" s="16">
        <f>AVERAGE(ReturnData!L305:L315)</f>
        <v>6.5027272727272725E-2</v>
      </c>
      <c r="M305" s="16">
        <f>AVERAGE(ReturnData!M305:M315)</f>
        <v>-1.0390909090909091E-2</v>
      </c>
      <c r="N305" s="16">
        <f>AVERAGE(ReturnData!N305:N315)</f>
        <v>-1.5118181818181819E-2</v>
      </c>
      <c r="O305" s="16">
        <f>AVERAGE(ReturnData!O305:O315)</f>
        <v>-2.9272727272727267E-3</v>
      </c>
      <c r="P305" s="16">
        <f>AVERAGE(ReturnData!P305:P315)</f>
        <v>-1.2781818181818182E-2</v>
      </c>
      <c r="Q305" s="16">
        <f>AVERAGE(ReturnData!Q305:Q315)</f>
        <v>-1.37E-2</v>
      </c>
    </row>
    <row r="306" spans="1:17" x14ac:dyDescent="0.25">
      <c r="A306">
        <f>ReturnData!A318</f>
        <v>200005</v>
      </c>
      <c r="B306" s="16">
        <f>AVERAGE(ReturnData!B306:B316)</f>
        <v>-1.6109090909090903E-2</v>
      </c>
      <c r="C306" s="16">
        <f>AVERAGE(ReturnData!C306:C316)</f>
        <v>9.6909090909090886E-3</v>
      </c>
      <c r="D306" s="16">
        <f>AVERAGE(ReturnData!D306:D316)</f>
        <v>8.6454545454545464E-3</v>
      </c>
      <c r="E306" s="16">
        <f>AVERAGE(ReturnData!E306:E316)</f>
        <v>-1.9363636363636361E-2</v>
      </c>
      <c r="F306" s="16">
        <f>AVERAGE(ReturnData!F306:F316)</f>
        <v>-2.5345454545454539E-2</v>
      </c>
      <c r="G306" s="16">
        <f>AVERAGE(ReturnData!G306:G316)</f>
        <v>-8.7454545454545458E-3</v>
      </c>
      <c r="H306" s="16">
        <f>AVERAGE(ReturnData!H306:H316)</f>
        <v>-9.281818181818181E-3</v>
      </c>
      <c r="I306" s="16">
        <f>AVERAGE(ReturnData!I306:I316)</f>
        <v>8.4181818181818194E-3</v>
      </c>
      <c r="J306" s="16">
        <f>AVERAGE(ReturnData!J306:J316)</f>
        <v>3.2963636363636369E-2</v>
      </c>
      <c r="K306" s="16">
        <f>AVERAGE(ReturnData!K306:K316)</f>
        <v>-1.5090909090909089E-2</v>
      </c>
      <c r="L306" s="16">
        <f>AVERAGE(ReturnData!L306:L316)</f>
        <v>6.8563636363636368E-2</v>
      </c>
      <c r="M306" s="16">
        <f>AVERAGE(ReturnData!M306:M316)</f>
        <v>-8.7909090909090923E-3</v>
      </c>
      <c r="N306" s="16">
        <f>AVERAGE(ReturnData!N306:N316)</f>
        <v>-1.6545454545454544E-2</v>
      </c>
      <c r="O306" s="16">
        <f>AVERAGE(ReturnData!O306:O316)</f>
        <v>-4.209090909090908E-3</v>
      </c>
      <c r="P306" s="16">
        <f>AVERAGE(ReturnData!P306:P316)</f>
        <v>1.0090909090909115E-3</v>
      </c>
      <c r="Q306" s="16">
        <f>AVERAGE(ReturnData!Q306:Q316)</f>
        <v>-4.0272727272727257E-3</v>
      </c>
    </row>
    <row r="307" spans="1:17" x14ac:dyDescent="0.25">
      <c r="A307">
        <f>ReturnData!A319</f>
        <v>200006</v>
      </c>
      <c r="B307" s="16">
        <f>AVERAGE(ReturnData!B307:B317)</f>
        <v>-1.7436363636363635E-2</v>
      </c>
      <c r="C307" s="16">
        <f>AVERAGE(ReturnData!C307:C317)</f>
        <v>8.86363636363636E-3</v>
      </c>
      <c r="D307" s="16">
        <f>AVERAGE(ReturnData!D307:D317)</f>
        <v>9.7909090909090914E-3</v>
      </c>
      <c r="E307" s="16">
        <f>AVERAGE(ReturnData!E307:E317)</f>
        <v>-1.4081818181818183E-2</v>
      </c>
      <c r="F307" s="16">
        <f>AVERAGE(ReturnData!F307:F317)</f>
        <v>-2.1409090909090905E-2</v>
      </c>
      <c r="G307" s="16">
        <f>AVERAGE(ReturnData!G307:G317)</f>
        <v>-7.3090909090909092E-3</v>
      </c>
      <c r="H307" s="16">
        <f>AVERAGE(ReturnData!H307:H317)</f>
        <v>7.1818181818181736E-4</v>
      </c>
      <c r="I307" s="16">
        <f>AVERAGE(ReturnData!I307:I317)</f>
        <v>5.2545454545454553E-3</v>
      </c>
      <c r="J307" s="16">
        <f>AVERAGE(ReturnData!J307:J317)</f>
        <v>3.8927272727272727E-2</v>
      </c>
      <c r="K307" s="16">
        <f>AVERAGE(ReturnData!K307:K317)</f>
        <v>-1.3009090909090913E-2</v>
      </c>
      <c r="L307" s="16">
        <f>AVERAGE(ReturnData!L307:L317)</f>
        <v>6.6154545454545452E-2</v>
      </c>
      <c r="M307" s="16">
        <f>AVERAGE(ReturnData!M307:M317)</f>
        <v>5.2272727272727297E-3</v>
      </c>
      <c r="N307" s="16">
        <f>AVERAGE(ReturnData!N307:N317)</f>
        <v>-8.9909090909090893E-3</v>
      </c>
      <c r="O307" s="16">
        <f>AVERAGE(ReturnData!O307:O317)</f>
        <v>-3.5181818181818166E-3</v>
      </c>
      <c r="P307" s="16">
        <f>AVERAGE(ReturnData!P307:P317)</f>
        <v>1.8636363636363646E-3</v>
      </c>
      <c r="Q307" s="16">
        <f>AVERAGE(ReturnData!Q307:Q317)</f>
        <v>-3.872727272727269E-3</v>
      </c>
    </row>
    <row r="308" spans="1:17" x14ac:dyDescent="0.25">
      <c r="A308">
        <f>ReturnData!A320</f>
        <v>200007</v>
      </c>
      <c r="B308" s="16">
        <f>AVERAGE(ReturnData!B308:B318)</f>
        <v>-3.8545454545454512E-3</v>
      </c>
      <c r="C308" s="16">
        <f>AVERAGE(ReturnData!C308:C318)</f>
        <v>9.2727272727272693E-3</v>
      </c>
      <c r="D308" s="16">
        <f>AVERAGE(ReturnData!D308:D318)</f>
        <v>1.9027272727272726E-2</v>
      </c>
      <c r="E308" s="16">
        <f>AVERAGE(ReturnData!E308:E318)</f>
        <v>-2.0509090909090907E-2</v>
      </c>
      <c r="F308" s="16">
        <f>AVERAGE(ReturnData!F308:F318)</f>
        <v>-2.6227272727272724E-2</v>
      </c>
      <c r="G308" s="16">
        <f>AVERAGE(ReturnData!G308:G318)</f>
        <v>-9.536363636363638E-3</v>
      </c>
      <c r="H308" s="16">
        <f>AVERAGE(ReturnData!H308:H318)</f>
        <v>3.1454545454545446E-3</v>
      </c>
      <c r="I308" s="16">
        <f>AVERAGE(ReturnData!I308:I318)</f>
        <v>-3.436363636363635E-3</v>
      </c>
      <c r="J308" s="16">
        <f>AVERAGE(ReturnData!J308:J318)</f>
        <v>2.6527272727272722E-2</v>
      </c>
      <c r="K308" s="16">
        <f>AVERAGE(ReturnData!K308:K318)</f>
        <v>-1.6918181818181818E-2</v>
      </c>
      <c r="L308" s="16">
        <f>AVERAGE(ReturnData!L308:L318)</f>
        <v>4.7109090909090899E-2</v>
      </c>
      <c r="M308" s="16">
        <f>AVERAGE(ReturnData!M308:M318)</f>
        <v>-6.8000000000000005E-3</v>
      </c>
      <c r="N308" s="16">
        <f>AVERAGE(ReturnData!N308:N318)</f>
        <v>-1.3727272727272727E-2</v>
      </c>
      <c r="O308" s="16">
        <f>AVERAGE(ReturnData!O308:O318)</f>
        <v>4.1636363636363659E-3</v>
      </c>
      <c r="P308" s="16">
        <f>AVERAGE(ReturnData!P308:P318)</f>
        <v>-7.0454545454545431E-3</v>
      </c>
      <c r="Q308" s="16">
        <f>AVERAGE(ReturnData!Q308:Q318)</f>
        <v>-1.8727272727272727E-3</v>
      </c>
    </row>
    <row r="309" spans="1:17" x14ac:dyDescent="0.25">
      <c r="A309">
        <f>ReturnData!A321</f>
        <v>200008</v>
      </c>
      <c r="B309" s="16">
        <f>AVERAGE(ReturnData!B309:B319)</f>
        <v>1.0272727272727302E-3</v>
      </c>
      <c r="C309" s="16">
        <f>AVERAGE(ReturnData!C309:C319)</f>
        <v>2.3854545454545458E-2</v>
      </c>
      <c r="D309" s="16">
        <f>AVERAGE(ReturnData!D309:D319)</f>
        <v>1.0827272727272729E-2</v>
      </c>
      <c r="E309" s="16">
        <f>AVERAGE(ReturnData!E309:E319)</f>
        <v>-2.0418181818181814E-2</v>
      </c>
      <c r="F309" s="16">
        <f>AVERAGE(ReturnData!F309:F319)</f>
        <v>-2.4754545454545453E-2</v>
      </c>
      <c r="G309" s="16">
        <f>AVERAGE(ReturnData!G309:G319)</f>
        <v>-1.5163636363636362E-2</v>
      </c>
      <c r="H309" s="16">
        <f>AVERAGE(ReturnData!H309:H319)</f>
        <v>1.5872727272727271E-2</v>
      </c>
      <c r="I309" s="16">
        <f>AVERAGE(ReturnData!I309:I319)</f>
        <v>-2.5545454545454521E-3</v>
      </c>
      <c r="J309" s="16">
        <f>AVERAGE(ReturnData!J309:J319)</f>
        <v>4.2118181818181825E-2</v>
      </c>
      <c r="K309" s="16">
        <f>AVERAGE(ReturnData!K309:K319)</f>
        <v>-2.1818181818181823E-2</v>
      </c>
      <c r="L309" s="16">
        <f>AVERAGE(ReturnData!L309:L319)</f>
        <v>5.5099999999999996E-2</v>
      </c>
      <c r="M309" s="16">
        <f>AVERAGE(ReturnData!M309:M319)</f>
        <v>-1.0509090909090905E-2</v>
      </c>
      <c r="N309" s="16">
        <f>AVERAGE(ReturnData!N309:N319)</f>
        <v>-1.7763636363636363E-2</v>
      </c>
      <c r="O309" s="16">
        <f>AVERAGE(ReturnData!O309:O319)</f>
        <v>2.7272727272727361E-4</v>
      </c>
      <c r="P309" s="16">
        <f>AVERAGE(ReturnData!P309:P319)</f>
        <v>-3.709090909090908E-3</v>
      </c>
      <c r="Q309" s="16">
        <f>AVERAGE(ReturnData!Q309:Q319)</f>
        <v>-5.545454545454534E-4</v>
      </c>
    </row>
    <row r="310" spans="1:17" x14ac:dyDescent="0.25">
      <c r="A310">
        <f>ReturnData!A322</f>
        <v>200009</v>
      </c>
      <c r="B310" s="16">
        <f>AVERAGE(ReturnData!B310:B320)</f>
        <v>5.3545454545454556E-3</v>
      </c>
      <c r="C310" s="16">
        <f>AVERAGE(ReturnData!C310:C320)</f>
        <v>1.4554545454545457E-2</v>
      </c>
      <c r="D310" s="16">
        <f>AVERAGE(ReturnData!D310:D320)</f>
        <v>8.4363636363636394E-3</v>
      </c>
      <c r="E310" s="16">
        <f>AVERAGE(ReturnData!E310:E320)</f>
        <v>-5.4818181818181815E-3</v>
      </c>
      <c r="F310" s="16">
        <f>AVERAGE(ReturnData!F310:F320)</f>
        <v>-2.3699999999999999E-2</v>
      </c>
      <c r="G310" s="16">
        <f>AVERAGE(ReturnData!G310:G320)</f>
        <v>-8.7090909090909094E-3</v>
      </c>
      <c r="H310" s="16">
        <f>AVERAGE(ReturnData!H310:H320)</f>
        <v>5.8727272727272717E-3</v>
      </c>
      <c r="I310" s="16">
        <f>AVERAGE(ReturnData!I310:I320)</f>
        <v>9.1818181818182178E-4</v>
      </c>
      <c r="J310" s="16">
        <f>AVERAGE(ReturnData!J310:J320)</f>
        <v>3.6918181818181822E-2</v>
      </c>
      <c r="K310" s="16">
        <f>AVERAGE(ReturnData!K310:K320)</f>
        <v>-1.230909090909091E-2</v>
      </c>
      <c r="L310" s="16">
        <f>AVERAGE(ReturnData!L310:L320)</f>
        <v>4.6736363636363645E-2</v>
      </c>
      <c r="M310" s="16">
        <f>AVERAGE(ReturnData!M310:M320)</f>
        <v>-8.0545454545454531E-3</v>
      </c>
      <c r="N310" s="16">
        <f>AVERAGE(ReturnData!N310:N320)</f>
        <v>-5.7181818181818167E-3</v>
      </c>
      <c r="O310" s="16">
        <f>AVERAGE(ReturnData!O310:O320)</f>
        <v>3.6000000000000029E-3</v>
      </c>
      <c r="P310" s="16">
        <f>AVERAGE(ReturnData!P310:P320)</f>
        <v>-1.2727272727272713E-3</v>
      </c>
      <c r="Q310" s="16">
        <f>AVERAGE(ReturnData!Q310:Q320)</f>
        <v>1.2E-2</v>
      </c>
    </row>
    <row r="311" spans="1:17" x14ac:dyDescent="0.25">
      <c r="A311">
        <f>ReturnData!A323</f>
        <v>200010</v>
      </c>
      <c r="B311" s="16">
        <f>AVERAGE(ReturnData!B311:B321)</f>
        <v>8.5454545454545488E-3</v>
      </c>
      <c r="C311" s="16">
        <f>AVERAGE(ReturnData!C311:C321)</f>
        <v>2.3172727272727268E-2</v>
      </c>
      <c r="D311" s="16">
        <f>AVERAGE(ReturnData!D311:D321)</f>
        <v>2.0445454545454548E-2</v>
      </c>
      <c r="E311" s="16">
        <f>AVERAGE(ReturnData!E311:E321)</f>
        <v>-4.0272727272727257E-3</v>
      </c>
      <c r="F311" s="16">
        <f>AVERAGE(ReturnData!F311:F321)</f>
        <v>-1.0845454545454547E-2</v>
      </c>
      <c r="G311" s="16">
        <f>AVERAGE(ReturnData!G311:G321)</f>
        <v>-1.1818181818181817E-3</v>
      </c>
      <c r="H311" s="16">
        <f>AVERAGE(ReturnData!H311:H321)</f>
        <v>1.3663636363636362E-2</v>
      </c>
      <c r="I311" s="16">
        <f>AVERAGE(ReturnData!I311:I321)</f>
        <v>1.7090909090909134E-3</v>
      </c>
      <c r="J311" s="16">
        <f>AVERAGE(ReturnData!J311:J321)</f>
        <v>6.1936363636363637E-2</v>
      </c>
      <c r="K311" s="16">
        <f>AVERAGE(ReturnData!K311:K321)</f>
        <v>-1.5727272727272736E-3</v>
      </c>
      <c r="L311" s="16">
        <f>AVERAGE(ReturnData!L311:L321)</f>
        <v>6.1245454545454561E-2</v>
      </c>
      <c r="M311" s="16">
        <f>AVERAGE(ReturnData!M311:M321)</f>
        <v>2.7636363636363644E-3</v>
      </c>
      <c r="N311" s="16">
        <f>AVERAGE(ReturnData!N311:N321)</f>
        <v>3.3636363636363655E-3</v>
      </c>
      <c r="O311" s="16">
        <f>AVERAGE(ReturnData!O311:O321)</f>
        <v>1.8227272727272727E-2</v>
      </c>
      <c r="P311" s="16">
        <f>AVERAGE(ReturnData!P311:P321)</f>
        <v>-7.0727272727272722E-3</v>
      </c>
      <c r="Q311" s="16">
        <f>AVERAGE(ReturnData!Q311:Q321)</f>
        <v>2.6218181818181818E-2</v>
      </c>
    </row>
    <row r="312" spans="1:17" x14ac:dyDescent="0.25">
      <c r="A312">
        <f>ReturnData!A324</f>
        <v>200011</v>
      </c>
      <c r="B312" s="16">
        <f>AVERAGE(ReturnData!B312:B322)</f>
        <v>1.9545454545454549E-3</v>
      </c>
      <c r="C312" s="16">
        <f>AVERAGE(ReturnData!C312:C322)</f>
        <v>7.3000000000000044E-3</v>
      </c>
      <c r="D312" s="16">
        <f>AVERAGE(ReturnData!D312:D322)</f>
        <v>2.7063636363636359E-2</v>
      </c>
      <c r="E312" s="16">
        <f>AVERAGE(ReturnData!E312:E322)</f>
        <v>-4.4636363636363606E-3</v>
      </c>
      <c r="F312" s="16">
        <f>AVERAGE(ReturnData!F312:F322)</f>
        <v>-2.0690909090909093E-2</v>
      </c>
      <c r="G312" s="16">
        <f>AVERAGE(ReturnData!G312:G322)</f>
        <v>-6.3181818181818174E-3</v>
      </c>
      <c r="H312" s="16">
        <f>AVERAGE(ReturnData!H312:H322)</f>
        <v>8.9090909090909099E-3</v>
      </c>
      <c r="I312" s="16">
        <f>AVERAGE(ReturnData!I312:I322)</f>
        <v>-2.7272727272726981E-4</v>
      </c>
      <c r="J312" s="16">
        <f>AVERAGE(ReturnData!J312:J322)</f>
        <v>4.9854545454545457E-2</v>
      </c>
      <c r="K312" s="16">
        <f>AVERAGE(ReturnData!K312:K322)</f>
        <v>-6.1727272727272742E-3</v>
      </c>
      <c r="L312" s="16">
        <f>AVERAGE(ReturnData!L312:L322)</f>
        <v>4.0072727272727281E-2</v>
      </c>
      <c r="M312" s="16">
        <f>AVERAGE(ReturnData!M312:M322)</f>
        <v>-4.6090909090909082E-3</v>
      </c>
      <c r="N312" s="16">
        <f>AVERAGE(ReturnData!N312:N322)</f>
        <v>4.6909090909090928E-3</v>
      </c>
      <c r="O312" s="16">
        <f>AVERAGE(ReturnData!O312:O322)</f>
        <v>2.4545454545454547E-2</v>
      </c>
      <c r="P312" s="16">
        <f>AVERAGE(ReturnData!P312:P322)</f>
        <v>-9.6727272727272721E-3</v>
      </c>
      <c r="Q312" s="16">
        <f>AVERAGE(ReturnData!Q312:Q322)</f>
        <v>1.5600000000000001E-2</v>
      </c>
    </row>
    <row r="313" spans="1:17" x14ac:dyDescent="0.25">
      <c r="A313">
        <f>ReturnData!A325</f>
        <v>200012</v>
      </c>
      <c r="B313" s="16">
        <f>AVERAGE(ReturnData!B313:B323)</f>
        <v>7.9090909090909108E-3</v>
      </c>
      <c r="C313" s="16">
        <f>AVERAGE(ReturnData!C313:C323)</f>
        <v>5.03636363636364E-3</v>
      </c>
      <c r="D313" s="16">
        <f>AVERAGE(ReturnData!D313:D323)</f>
        <v>2.0636363636363633E-2</v>
      </c>
      <c r="E313" s="16">
        <f>AVERAGE(ReturnData!E313:E323)</f>
        <v>4.945454545454548E-3</v>
      </c>
      <c r="F313" s="16">
        <f>AVERAGE(ReturnData!F313:F323)</f>
        <v>-1.8227272727272727E-2</v>
      </c>
      <c r="G313" s="16">
        <f>AVERAGE(ReturnData!G313:G323)</f>
        <v>-3.8727272727272725E-3</v>
      </c>
      <c r="H313" s="16">
        <f>AVERAGE(ReturnData!H313:H323)</f>
        <v>1.4027272727272727E-2</v>
      </c>
      <c r="I313" s="16">
        <f>AVERAGE(ReturnData!I313:I323)</f>
        <v>-8.1363636363636343E-3</v>
      </c>
      <c r="J313" s="16">
        <f>AVERAGE(ReturnData!J313:J323)</f>
        <v>3.2181818181818193E-2</v>
      </c>
      <c r="K313" s="16">
        <f>AVERAGE(ReturnData!K313:K323)</f>
        <v>7.8181818181818029E-4</v>
      </c>
      <c r="L313" s="16">
        <f>AVERAGE(ReturnData!L313:L323)</f>
        <v>2.7654545454545452E-2</v>
      </c>
      <c r="M313" s="16">
        <f>AVERAGE(ReturnData!M313:M323)</f>
        <v>5.8181818181818204E-4</v>
      </c>
      <c r="N313" s="16">
        <f>AVERAGE(ReturnData!N313:N323)</f>
        <v>1.8936363636363637E-2</v>
      </c>
      <c r="O313" s="16">
        <f>AVERAGE(ReturnData!O313:O323)</f>
        <v>2.9618181818181821E-2</v>
      </c>
      <c r="P313" s="16">
        <f>AVERAGE(ReturnData!P313:P323)</f>
        <v>-1.2672727272727273E-2</v>
      </c>
      <c r="Q313" s="16">
        <f>AVERAGE(ReturnData!Q313:Q323)</f>
        <v>1.8472727272727273E-2</v>
      </c>
    </row>
    <row r="314" spans="1:17" x14ac:dyDescent="0.25">
      <c r="A314">
        <f>ReturnData!A326</f>
        <v>200101</v>
      </c>
      <c r="B314" s="16">
        <f>AVERAGE(ReturnData!B314:B324)</f>
        <v>1.8363636363636363E-2</v>
      </c>
      <c r="C314" s="16">
        <f>AVERAGE(ReturnData!C314:C324)</f>
        <v>-2.8363636363636351E-3</v>
      </c>
      <c r="D314" s="16">
        <f>AVERAGE(ReturnData!D314:D324)</f>
        <v>1.6127272727272726E-2</v>
      </c>
      <c r="E314" s="16">
        <f>AVERAGE(ReturnData!E314:E324)</f>
        <v>4.7363636363636392E-3</v>
      </c>
      <c r="F314" s="16">
        <f>AVERAGE(ReturnData!F314:F324)</f>
        <v>-2.4045454545454547E-2</v>
      </c>
      <c r="G314" s="16">
        <f>AVERAGE(ReturnData!G314:G324)</f>
        <v>-9.0727272727272722E-3</v>
      </c>
      <c r="H314" s="16">
        <f>AVERAGE(ReturnData!H314:H324)</f>
        <v>2.4181818181818183E-2</v>
      </c>
      <c r="I314" s="16">
        <f>AVERAGE(ReturnData!I314:I324)</f>
        <v>-2.7672727272727272E-2</v>
      </c>
      <c r="J314" s="16">
        <f>AVERAGE(ReturnData!J314:J324)</f>
        <v>-2.3999999999999929E-3</v>
      </c>
      <c r="K314" s="16">
        <f>AVERAGE(ReturnData!K314:K324)</f>
        <v>-1.0036363636363638E-2</v>
      </c>
      <c r="L314" s="16">
        <f>AVERAGE(ReturnData!L314:L324)</f>
        <v>-8.2181818181818241E-3</v>
      </c>
      <c r="M314" s="16">
        <f>AVERAGE(ReturnData!M314:M324)</f>
        <v>-1.4572727272727272E-2</v>
      </c>
      <c r="N314" s="16">
        <f>AVERAGE(ReturnData!N314:N324)</f>
        <v>1.7081818181818184E-2</v>
      </c>
      <c r="O314" s="16">
        <f>AVERAGE(ReturnData!O314:O324)</f>
        <v>3.4472727272727273E-2</v>
      </c>
      <c r="P314" s="16">
        <f>AVERAGE(ReturnData!P314:P324)</f>
        <v>-1.3599999999999996E-2</v>
      </c>
      <c r="Q314" s="16">
        <f>AVERAGE(ReturnData!Q314:Q324)</f>
        <v>1.4754545454545454E-2</v>
      </c>
    </row>
    <row r="315" spans="1:17" x14ac:dyDescent="0.25">
      <c r="A315">
        <f>ReturnData!A327</f>
        <v>200102</v>
      </c>
      <c r="B315" s="16">
        <f>AVERAGE(ReturnData!B315:B325)</f>
        <v>2.4927272727272728E-2</v>
      </c>
      <c r="C315" s="16">
        <f>AVERAGE(ReturnData!C315:C325)</f>
        <v>-1.3763636363636362E-2</v>
      </c>
      <c r="D315" s="16">
        <f>AVERAGE(ReturnData!D315:D325)</f>
        <v>2.2772727272727274E-2</v>
      </c>
      <c r="E315" s="16">
        <f>AVERAGE(ReturnData!E315:E325)</f>
        <v>2.6727272727272731E-2</v>
      </c>
      <c r="F315" s="16">
        <f>AVERAGE(ReturnData!F315:F325)</f>
        <v>-1.2390909090909091E-2</v>
      </c>
      <c r="G315" s="16">
        <f>AVERAGE(ReturnData!G315:G325)</f>
        <v>8.136363636363636E-3</v>
      </c>
      <c r="H315" s="16">
        <f>AVERAGE(ReturnData!H315:H325)</f>
        <v>2.4309090909090912E-2</v>
      </c>
      <c r="I315" s="16">
        <f>AVERAGE(ReturnData!I315:I325)</f>
        <v>-1.3909090909090917E-3</v>
      </c>
      <c r="J315" s="16">
        <f>AVERAGE(ReturnData!J315:J325)</f>
        <v>1.5636363636363706E-3</v>
      </c>
      <c r="K315" s="16">
        <f>AVERAGE(ReturnData!K315:K325)</f>
        <v>7.4636363636363633E-3</v>
      </c>
      <c r="L315" s="16">
        <f>AVERAGE(ReturnData!L315:L325)</f>
        <v>-1.4481818181818181E-2</v>
      </c>
      <c r="M315" s="16">
        <f>AVERAGE(ReturnData!M315:M325)</f>
        <v>-1.4372727272727271E-2</v>
      </c>
      <c r="N315" s="16">
        <f>AVERAGE(ReturnData!N315:N325)</f>
        <v>2.7436363636363634E-2</v>
      </c>
      <c r="O315" s="16">
        <f>AVERAGE(ReturnData!O315:O325)</f>
        <v>3.4990909090909093E-2</v>
      </c>
      <c r="P315" s="16">
        <f>AVERAGE(ReturnData!P315:P325)</f>
        <v>1.1818181818181967E-4</v>
      </c>
      <c r="Q315" s="16">
        <f>AVERAGE(ReturnData!Q315:Q325)</f>
        <v>2.7936363636363638E-2</v>
      </c>
    </row>
    <row r="316" spans="1:17" x14ac:dyDescent="0.25">
      <c r="A316">
        <f>ReturnData!A328</f>
        <v>200103</v>
      </c>
      <c r="B316" s="16">
        <f>AVERAGE(ReturnData!B316:B326)</f>
        <v>2.9236363636363637E-2</v>
      </c>
      <c r="C316" s="16">
        <f>AVERAGE(ReturnData!C316:C326)</f>
        <v>-8.7999999999999971E-3</v>
      </c>
      <c r="D316" s="16">
        <f>AVERAGE(ReturnData!D316:D326)</f>
        <v>2.3963636363636357E-2</v>
      </c>
      <c r="E316" s="16">
        <f>AVERAGE(ReturnData!E316:E326)</f>
        <v>3.9463636363636367E-2</v>
      </c>
      <c r="F316" s="16">
        <f>AVERAGE(ReturnData!F316:F326)</f>
        <v>1.2363636363636377E-3</v>
      </c>
      <c r="G316" s="16">
        <f>AVERAGE(ReturnData!G316:G326)</f>
        <v>1.0445454545454544E-2</v>
      </c>
      <c r="H316" s="16">
        <f>AVERAGE(ReturnData!H316:H326)</f>
        <v>2.5927272727272733E-2</v>
      </c>
      <c r="I316" s="16">
        <f>AVERAGE(ReturnData!I316:I326)</f>
        <v>2.645454545454545E-3</v>
      </c>
      <c r="J316" s="16">
        <f>AVERAGE(ReturnData!J316:J326)</f>
        <v>5.8181818181818649E-4</v>
      </c>
      <c r="K316" s="16">
        <f>AVERAGE(ReturnData!K316:K326)</f>
        <v>1.9299999999999998E-2</v>
      </c>
      <c r="L316" s="16">
        <f>AVERAGE(ReturnData!L316:L326)</f>
        <v>-2.0809090909090916E-2</v>
      </c>
      <c r="M316" s="16">
        <f>AVERAGE(ReturnData!M316:M326)</f>
        <v>5.0999999999999995E-3</v>
      </c>
      <c r="N316" s="16">
        <f>AVERAGE(ReturnData!N316:N326)</f>
        <v>3.2836363636363636E-2</v>
      </c>
      <c r="O316" s="16">
        <f>AVERAGE(ReturnData!O316:O326)</f>
        <v>3.1709090909090909E-2</v>
      </c>
      <c r="P316" s="16">
        <f>AVERAGE(ReturnData!P316:P326)</f>
        <v>1.3645454545454546E-2</v>
      </c>
      <c r="Q316" s="16">
        <f>AVERAGE(ReturnData!Q316:Q326)</f>
        <v>3.5481818181818177E-2</v>
      </c>
    </row>
    <row r="317" spans="1:17" x14ac:dyDescent="0.25">
      <c r="A317">
        <f>ReturnData!A329</f>
        <v>200104</v>
      </c>
      <c r="B317" s="16">
        <f>AVERAGE(ReturnData!B317:B327)</f>
        <v>2.3527272727272727E-2</v>
      </c>
      <c r="C317" s="16">
        <f>AVERAGE(ReturnData!C317:C327)</f>
        <v>-1.4818181818181757E-3</v>
      </c>
      <c r="D317" s="16">
        <f>AVERAGE(ReturnData!D317:D327)</f>
        <v>1.0954545454545455E-2</v>
      </c>
      <c r="E317" s="16">
        <f>AVERAGE(ReturnData!E317:E327)</f>
        <v>1.1354545454545454E-2</v>
      </c>
      <c r="F317" s="16">
        <f>AVERAGE(ReturnData!F317:F327)</f>
        <v>-6.9999999999999793E-4</v>
      </c>
      <c r="G317" s="16">
        <f>AVERAGE(ReturnData!G317:G327)</f>
        <v>-3.3909090909090916E-3</v>
      </c>
      <c r="H317" s="16">
        <f>AVERAGE(ReturnData!H317:H327)</f>
        <v>2.5181818181818191E-2</v>
      </c>
      <c r="I317" s="16">
        <f>AVERAGE(ReturnData!I317:I327)</f>
        <v>-1.2400000000000001E-2</v>
      </c>
      <c r="J317" s="16">
        <f>AVERAGE(ReturnData!J317:J327)</f>
        <v>-2.4209090909090902E-2</v>
      </c>
      <c r="K317" s="16">
        <f>AVERAGE(ReturnData!K317:K327)</f>
        <v>7.081818181818183E-3</v>
      </c>
      <c r="L317" s="16">
        <f>AVERAGE(ReturnData!L317:L327)</f>
        <v>-5.4445454545454547E-2</v>
      </c>
      <c r="M317" s="16">
        <f>AVERAGE(ReturnData!M317:M327)</f>
        <v>-5.0545454545454539E-3</v>
      </c>
      <c r="N317" s="16">
        <f>AVERAGE(ReturnData!N317:N327)</f>
        <v>2.2163636363636365E-2</v>
      </c>
      <c r="O317" s="16">
        <f>AVERAGE(ReturnData!O317:O327)</f>
        <v>3.1909090909090908E-2</v>
      </c>
      <c r="P317" s="16">
        <f>AVERAGE(ReturnData!P317:P327)</f>
        <v>-4.7090909090909084E-3</v>
      </c>
      <c r="Q317" s="16">
        <f>AVERAGE(ReturnData!Q317:Q327)</f>
        <v>1.5390909090909092E-2</v>
      </c>
    </row>
    <row r="318" spans="1:17" x14ac:dyDescent="0.25">
      <c r="A318">
        <f>ReturnData!A330</f>
        <v>200105</v>
      </c>
      <c r="B318" s="16">
        <f>AVERAGE(ReturnData!B318:B328)</f>
        <v>1.822727272727272E-2</v>
      </c>
      <c r="C318" s="16">
        <f>AVERAGE(ReturnData!C318:C328)</f>
        <v>9.8090909090909131E-3</v>
      </c>
      <c r="D318" s="16">
        <f>AVERAGE(ReturnData!D318:D328)</f>
        <v>1.1281818181818183E-2</v>
      </c>
      <c r="E318" s="16">
        <f>AVERAGE(ReturnData!E318:E328)</f>
        <v>6.2363636363636362E-3</v>
      </c>
      <c r="F318" s="16">
        <f>AVERAGE(ReturnData!F318:F328)</f>
        <v>-5.0545454545454531E-3</v>
      </c>
      <c r="G318" s="16">
        <f>AVERAGE(ReturnData!G318:G328)</f>
        <v>-3.3181818181818186E-3</v>
      </c>
      <c r="H318" s="16">
        <f>AVERAGE(ReturnData!H318:H328)</f>
        <v>1.064545454545455E-2</v>
      </c>
      <c r="I318" s="16">
        <f>AVERAGE(ReturnData!I318:I328)</f>
        <v>-6.8181818181818213E-3</v>
      </c>
      <c r="J318" s="16">
        <f>AVERAGE(ReturnData!J318:J328)</f>
        <v>-3.1099999999999996E-2</v>
      </c>
      <c r="K318" s="16">
        <f>AVERAGE(ReturnData!K318:K328)</f>
        <v>2.9545454545454545E-3</v>
      </c>
      <c r="L318" s="16">
        <f>AVERAGE(ReturnData!L318:L328)</f>
        <v>-6.2754545454545452E-2</v>
      </c>
      <c r="M318" s="16">
        <f>AVERAGE(ReturnData!M318:M328)</f>
        <v>-1.6218181818181819E-2</v>
      </c>
      <c r="N318" s="16">
        <f>AVERAGE(ReturnData!N318:N328)</f>
        <v>1.2290909090909092E-2</v>
      </c>
      <c r="O318" s="16">
        <f>AVERAGE(ReturnData!O318:O328)</f>
        <v>2.6236363636363644E-2</v>
      </c>
      <c r="P318" s="16">
        <f>AVERAGE(ReturnData!P318:P328)</f>
        <v>-4.672727272727272E-3</v>
      </c>
      <c r="Q318" s="16">
        <f>AVERAGE(ReturnData!Q318:Q328)</f>
        <v>1.5727272727272725E-2</v>
      </c>
    </row>
    <row r="319" spans="1:17" x14ac:dyDescent="0.25">
      <c r="A319">
        <f>ReturnData!A331</f>
        <v>200106</v>
      </c>
      <c r="B319" s="16">
        <f>AVERAGE(ReturnData!B319:B329)</f>
        <v>5.0272727272727266E-3</v>
      </c>
      <c r="C319" s="16">
        <f>AVERAGE(ReturnData!C319:C329)</f>
        <v>2.4209090909090913E-2</v>
      </c>
      <c r="D319" s="16">
        <f>AVERAGE(ReturnData!D319:D329)</f>
        <v>1.0909090909090908E-2</v>
      </c>
      <c r="E319" s="16">
        <f>AVERAGE(ReturnData!E319:E329)</f>
        <v>1.7109090909090907E-2</v>
      </c>
      <c r="F319" s="16">
        <f>AVERAGE(ReturnData!F319:F329)</f>
        <v>-6.9090909090909109E-4</v>
      </c>
      <c r="G319" s="16">
        <f>AVERAGE(ReturnData!G319:G329)</f>
        <v>1.8727272727272733E-3</v>
      </c>
      <c r="H319" s="16">
        <f>AVERAGE(ReturnData!H319:H329)</f>
        <v>7.7818181818181823E-3</v>
      </c>
      <c r="I319" s="16">
        <f>AVERAGE(ReturnData!I319:I329)</f>
        <v>7.3727272727272704E-3</v>
      </c>
      <c r="J319" s="16">
        <f>AVERAGE(ReturnData!J319:J329)</f>
        <v>-1.4581818181818178E-2</v>
      </c>
      <c r="K319" s="16">
        <f>AVERAGE(ReturnData!K319:K329)</f>
        <v>1.1481818181818183E-2</v>
      </c>
      <c r="L319" s="16">
        <f>AVERAGE(ReturnData!L319:L329)</f>
        <v>-3.8836363636363627E-2</v>
      </c>
      <c r="M319" s="16">
        <f>AVERAGE(ReturnData!M319:M329)</f>
        <v>4.1636363636363633E-3</v>
      </c>
      <c r="N319" s="16">
        <f>AVERAGE(ReturnData!N319:N329)</f>
        <v>2.1281818181818183E-2</v>
      </c>
      <c r="O319" s="16">
        <f>AVERAGE(ReturnData!O319:O329)</f>
        <v>2.7654545454545456E-2</v>
      </c>
      <c r="P319" s="16">
        <f>AVERAGE(ReturnData!P319:P329)</f>
        <v>7.8181818181818148E-4</v>
      </c>
      <c r="Q319" s="16">
        <f>AVERAGE(ReturnData!Q319:Q329)</f>
        <v>1.4927272727272728E-2</v>
      </c>
    </row>
    <row r="320" spans="1:17" x14ac:dyDescent="0.25">
      <c r="A320">
        <f>ReturnData!A332</f>
        <v>200107</v>
      </c>
      <c r="B320" s="16">
        <f>AVERAGE(ReturnData!B320:B330)</f>
        <v>4.8727272727272725E-3</v>
      </c>
      <c r="C320" s="16">
        <f>AVERAGE(ReturnData!C320:C330)</f>
        <v>2.352727272727273E-2</v>
      </c>
      <c r="D320" s="16">
        <f>AVERAGE(ReturnData!D320:D330)</f>
        <v>1.602727272727273E-2</v>
      </c>
      <c r="E320" s="16">
        <f>AVERAGE(ReturnData!E320:E330)</f>
        <v>2.7745454545454542E-2</v>
      </c>
      <c r="F320" s="16">
        <f>AVERAGE(ReturnData!F320:F330)</f>
        <v>6.7454545454545467E-3</v>
      </c>
      <c r="G320" s="16">
        <f>AVERAGE(ReturnData!G320:G330)</f>
        <v>8.4636363636363624E-3</v>
      </c>
      <c r="H320" s="16">
        <f>AVERAGE(ReturnData!H320:H330)</f>
        <v>2.5727272727272734E-3</v>
      </c>
      <c r="I320" s="16">
        <f>AVERAGE(ReturnData!I320:I330)</f>
        <v>1.1354545454545452E-2</v>
      </c>
      <c r="J320" s="16">
        <f>AVERAGE(ReturnData!J320:J330)</f>
        <v>-2.8954545454545455E-2</v>
      </c>
      <c r="K320" s="16">
        <f>AVERAGE(ReturnData!K320:K330)</f>
        <v>2.2227272727272731E-2</v>
      </c>
      <c r="L320" s="16">
        <f>AVERAGE(ReturnData!L320:L330)</f>
        <v>-5.3527272727272736E-2</v>
      </c>
      <c r="M320" s="16">
        <f>AVERAGE(ReturnData!M320:M330)</f>
        <v>1.1781818181818181E-2</v>
      </c>
      <c r="N320" s="16">
        <f>AVERAGE(ReturnData!N320:N330)</f>
        <v>3.0054545454545448E-2</v>
      </c>
      <c r="O320" s="16">
        <f>AVERAGE(ReturnData!O320:O330)</f>
        <v>3.2163636363636373E-2</v>
      </c>
      <c r="P320" s="16">
        <f>AVERAGE(ReturnData!P320:P330)</f>
        <v>3.9181818181818181E-3</v>
      </c>
      <c r="Q320" s="16">
        <f>AVERAGE(ReturnData!Q320:Q330)</f>
        <v>2.2127272727272721E-2</v>
      </c>
    </row>
    <row r="321" spans="1:17" x14ac:dyDescent="0.25">
      <c r="A321">
        <f>ReturnData!A333</f>
        <v>200108</v>
      </c>
      <c r="B321" s="16">
        <f>AVERAGE(ReturnData!B321:B331)</f>
        <v>9.8181818181818179E-4</v>
      </c>
      <c r="C321" s="16">
        <f>AVERAGE(ReturnData!C321:C331)</f>
        <v>2.2599999999999999E-2</v>
      </c>
      <c r="D321" s="16">
        <f>AVERAGE(ReturnData!D321:D331)</f>
        <v>1.0400000000000005E-2</v>
      </c>
      <c r="E321" s="16">
        <f>AVERAGE(ReturnData!E321:E331)</f>
        <v>2.1818181818181816E-2</v>
      </c>
      <c r="F321" s="16">
        <f>AVERAGE(ReturnData!F321:F331)</f>
        <v>1.0490909090909091E-2</v>
      </c>
      <c r="G321" s="16">
        <f>AVERAGE(ReturnData!G321:G331)</f>
        <v>4.6636363636363637E-3</v>
      </c>
      <c r="H321" s="16">
        <f>AVERAGE(ReturnData!H321:H331)</f>
        <v>5.0636363636363648E-3</v>
      </c>
      <c r="I321" s="16">
        <f>AVERAGE(ReturnData!I321:I331)</f>
        <v>9.7727272727272715E-3</v>
      </c>
      <c r="J321" s="16">
        <f>AVERAGE(ReturnData!J321:J331)</f>
        <v>-2.9954545454545452E-2</v>
      </c>
      <c r="K321" s="16">
        <f>AVERAGE(ReturnData!K321:K331)</f>
        <v>1.7454545454545459E-2</v>
      </c>
      <c r="L321" s="16">
        <f>AVERAGE(ReturnData!L321:L331)</f>
        <v>-5.2809090909090917E-2</v>
      </c>
      <c r="M321" s="16">
        <f>AVERAGE(ReturnData!M321:M331)</f>
        <v>1.1027272727272726E-2</v>
      </c>
      <c r="N321" s="16">
        <f>AVERAGE(ReturnData!N321:N331)</f>
        <v>1.4654545454545455E-2</v>
      </c>
      <c r="O321" s="16">
        <f>AVERAGE(ReturnData!O321:O331)</f>
        <v>2.2836363636363644E-2</v>
      </c>
      <c r="P321" s="16">
        <f>AVERAGE(ReturnData!P321:P331)</f>
        <v>4.381818181818182E-3</v>
      </c>
      <c r="Q321" s="16">
        <f>AVERAGE(ReturnData!Q321:Q331)</f>
        <v>1.4909090909090912E-2</v>
      </c>
    </row>
    <row r="322" spans="1:17" x14ac:dyDescent="0.25">
      <c r="A322">
        <f>ReturnData!A334</f>
        <v>200109</v>
      </c>
      <c r="B322" s="16">
        <f>AVERAGE(ReturnData!B322:B332)</f>
        <v>8.7454545454545458E-3</v>
      </c>
      <c r="C322" s="16">
        <f>AVERAGE(ReturnData!C322:C332)</f>
        <v>1.0118181818181818E-2</v>
      </c>
      <c r="D322" s="16">
        <f>AVERAGE(ReturnData!D322:D332)</f>
        <v>-4.0909090909090756E-4</v>
      </c>
      <c r="E322" s="16">
        <f>AVERAGE(ReturnData!E322:E332)</f>
        <v>2.1227272727272727E-2</v>
      </c>
      <c r="F322" s="16">
        <f>AVERAGE(ReturnData!F322:F332)</f>
        <v>3.9181818181818207E-3</v>
      </c>
      <c r="G322" s="16">
        <f>AVERAGE(ReturnData!G322:G332)</f>
        <v>-9.0000000000000052E-4</v>
      </c>
      <c r="H322" s="16">
        <f>AVERAGE(ReturnData!H322:H332)</f>
        <v>7.0636363636363657E-3</v>
      </c>
      <c r="I322" s="16">
        <f>AVERAGE(ReturnData!I322:I332)</f>
        <v>1.4418181818181818E-2</v>
      </c>
      <c r="J322" s="16">
        <f>AVERAGE(ReturnData!J322:J332)</f>
        <v>-5.4718181818181819E-2</v>
      </c>
      <c r="K322" s="16">
        <f>AVERAGE(ReturnData!K322:K332)</f>
        <v>7.8636363636363643E-3</v>
      </c>
      <c r="L322" s="16">
        <f>AVERAGE(ReturnData!L322:L332)</f>
        <v>-6.9463636363636366E-2</v>
      </c>
      <c r="M322" s="16">
        <f>AVERAGE(ReturnData!M322:M332)</f>
        <v>1.0663636363636363E-2</v>
      </c>
      <c r="N322" s="16">
        <f>AVERAGE(ReturnData!N322:N332)</f>
        <v>1.3354545454545457E-2</v>
      </c>
      <c r="O322" s="16">
        <f>AVERAGE(ReturnData!O322:O332)</f>
        <v>8.6636363636363681E-3</v>
      </c>
      <c r="P322" s="16">
        <f>AVERAGE(ReturnData!P322:P332)</f>
        <v>1.3318181818181814E-2</v>
      </c>
      <c r="Q322" s="16">
        <f>AVERAGE(ReturnData!Q322:Q332)</f>
        <v>5.1090909090909103E-3</v>
      </c>
    </row>
    <row r="323" spans="1:17" x14ac:dyDescent="0.25">
      <c r="A323">
        <f>ReturnData!A335</f>
        <v>200110</v>
      </c>
      <c r="B323" s="16">
        <f>AVERAGE(ReturnData!B323:B333)</f>
        <v>7.7272727272727267E-3</v>
      </c>
      <c r="C323" s="16">
        <f>AVERAGE(ReturnData!C323:C333)</f>
        <v>2.0172727272727276E-2</v>
      </c>
      <c r="D323" s="16">
        <f>AVERAGE(ReturnData!D323:D333)</f>
        <v>-9.0000000000000011E-3</v>
      </c>
      <c r="E323" s="16">
        <f>AVERAGE(ReturnData!E323:E333)</f>
        <v>1.6881818181818178E-2</v>
      </c>
      <c r="F323" s="16">
        <f>AVERAGE(ReturnData!F323:F333)</f>
        <v>1.5754545454545455E-2</v>
      </c>
      <c r="G323" s="16">
        <f>AVERAGE(ReturnData!G323:G333)</f>
        <v>9.7272727272727268E-4</v>
      </c>
      <c r="H323" s="16">
        <f>AVERAGE(ReturnData!H323:H333)</f>
        <v>-2.090909090909094E-4</v>
      </c>
      <c r="I323" s="16">
        <f>AVERAGE(ReturnData!I323:I333)</f>
        <v>8.2545454545454554E-3</v>
      </c>
      <c r="J323" s="16">
        <f>AVERAGE(ReturnData!J323:J333)</f>
        <v>-4.9181818181818188E-2</v>
      </c>
      <c r="K323" s="16">
        <f>AVERAGE(ReturnData!K323:K333)</f>
        <v>1.2127272727272726E-2</v>
      </c>
      <c r="L323" s="16">
        <f>AVERAGE(ReturnData!L323:L333)</f>
        <v>-6.1781818181818181E-2</v>
      </c>
      <c r="M323" s="16">
        <f>AVERAGE(ReturnData!M323:M333)</f>
        <v>3.1454545454545446E-3</v>
      </c>
      <c r="N323" s="16">
        <f>AVERAGE(ReturnData!N323:N333)</f>
        <v>6.1181818181818177E-3</v>
      </c>
      <c r="O323" s="16">
        <f>AVERAGE(ReturnData!O323:O333)</f>
        <v>8.090909090909111E-4</v>
      </c>
      <c r="P323" s="16">
        <f>AVERAGE(ReturnData!P323:P333)</f>
        <v>5.0181818181818183E-3</v>
      </c>
      <c r="Q323" s="16">
        <f>AVERAGE(ReturnData!Q323:Q333)</f>
        <v>-2.0818181818181803E-3</v>
      </c>
    </row>
    <row r="324" spans="1:17" x14ac:dyDescent="0.25">
      <c r="A324">
        <f>ReturnData!A336</f>
        <v>200111</v>
      </c>
      <c r="B324" s="16">
        <f>AVERAGE(ReturnData!B324:B334)</f>
        <v>-1.0454545454545439E-3</v>
      </c>
      <c r="C324" s="16">
        <f>AVERAGE(ReturnData!C324:C334)</f>
        <v>1.7790909090909093E-2</v>
      </c>
      <c r="D324" s="16">
        <f>AVERAGE(ReturnData!D324:D334)</f>
        <v>-1.1672727272727274E-2</v>
      </c>
      <c r="E324" s="16">
        <f>AVERAGE(ReturnData!E324:E334)</f>
        <v>-1.6090909090909109E-3</v>
      </c>
      <c r="F324" s="16">
        <f>AVERAGE(ReturnData!F324:F334)</f>
        <v>-2.1818181818181434E-4</v>
      </c>
      <c r="G324" s="16">
        <f>AVERAGE(ReturnData!G324:G334)</f>
        <v>-9.290909090909091E-3</v>
      </c>
      <c r="H324" s="16">
        <f>AVERAGE(ReturnData!H324:H334)</f>
        <v>-4.5090909090909096E-3</v>
      </c>
      <c r="I324" s="16">
        <f>AVERAGE(ReturnData!I324:I334)</f>
        <v>5.5454545454545405E-4</v>
      </c>
      <c r="J324" s="16">
        <f>AVERAGE(ReturnData!J324:J334)</f>
        <v>-5.8181818181818182E-2</v>
      </c>
      <c r="K324" s="16">
        <f>AVERAGE(ReturnData!K324:K334)</f>
        <v>-6.5454545454545435E-3</v>
      </c>
      <c r="L324" s="16">
        <f>AVERAGE(ReturnData!L324:L334)</f>
        <v>-7.8890909090909081E-2</v>
      </c>
      <c r="M324" s="16">
        <f>AVERAGE(ReturnData!M324:M334)</f>
        <v>-1.3754545454545457E-2</v>
      </c>
      <c r="N324" s="16">
        <f>AVERAGE(ReturnData!N324:N334)</f>
        <v>-2.0918181818181815E-2</v>
      </c>
      <c r="O324" s="16">
        <f>AVERAGE(ReturnData!O324:O334)</f>
        <v>-3.5272727272727261E-3</v>
      </c>
      <c r="P324" s="16">
        <f>AVERAGE(ReturnData!P324:P334)</f>
        <v>-4.1000000000000029E-3</v>
      </c>
      <c r="Q324" s="16">
        <f>AVERAGE(ReturnData!Q324:Q334)</f>
        <v>-6.7999999999999979E-3</v>
      </c>
    </row>
    <row r="325" spans="1:17" x14ac:dyDescent="0.25">
      <c r="A325">
        <f>ReturnData!A337</f>
        <v>200112</v>
      </c>
      <c r="B325" s="16">
        <f>AVERAGE(ReturnData!B325:B335)</f>
        <v>-3.8000000000000004E-3</v>
      </c>
      <c r="C325" s="16">
        <f>AVERAGE(ReturnData!C325:C335)</f>
        <v>1.4972727272727275E-2</v>
      </c>
      <c r="D325" s="16">
        <f>AVERAGE(ReturnData!D325:D335)</f>
        <v>-5.6090909090909099E-3</v>
      </c>
      <c r="E325" s="16">
        <f>AVERAGE(ReturnData!E325:E335)</f>
        <v>1.9000000000000002E-3</v>
      </c>
      <c r="F325" s="16">
        <f>AVERAGE(ReturnData!F325:F335)</f>
        <v>9.9636363636363672E-3</v>
      </c>
      <c r="G325" s="16">
        <f>AVERAGE(ReturnData!G325:G335)</f>
        <v>-7.2363636363636371E-3</v>
      </c>
      <c r="H325" s="16">
        <f>AVERAGE(ReturnData!H325:H335)</f>
        <v>-6.5272727272727279E-3</v>
      </c>
      <c r="I325" s="16">
        <f>AVERAGE(ReturnData!I325:I335)</f>
        <v>8.154545454545449E-3</v>
      </c>
      <c r="J325" s="16">
        <f>AVERAGE(ReturnData!J325:J335)</f>
        <v>-4.1718181818181814E-2</v>
      </c>
      <c r="K325" s="16">
        <f>AVERAGE(ReturnData!K325:K335)</f>
        <v>7.2181818181818189E-3</v>
      </c>
      <c r="L325" s="16">
        <f>AVERAGE(ReturnData!L325:L335)</f>
        <v>-4.0845454545454539E-2</v>
      </c>
      <c r="M325" s="16">
        <f>AVERAGE(ReturnData!M325:M335)</f>
        <v>-1.9545454545454536E-3</v>
      </c>
      <c r="N325" s="16">
        <f>AVERAGE(ReturnData!N325:N335)</f>
        <v>-1.6199999999999999E-2</v>
      </c>
      <c r="O325" s="16">
        <f>AVERAGE(ReturnData!O325:O335)</f>
        <v>-4.6090909090909082E-3</v>
      </c>
      <c r="P325" s="16">
        <f>AVERAGE(ReturnData!P325:P335)</f>
        <v>-2.5818181818181821E-3</v>
      </c>
      <c r="Q325" s="16">
        <f>AVERAGE(ReturnData!Q325:Q335)</f>
        <v>-3.4818181818181801E-3</v>
      </c>
    </row>
    <row r="326" spans="1:17" x14ac:dyDescent="0.25">
      <c r="A326">
        <f>ReturnData!A338</f>
        <v>200201</v>
      </c>
      <c r="B326" s="16">
        <f>AVERAGE(ReturnData!B326:B336)</f>
        <v>-5.1000000000000012E-3</v>
      </c>
      <c r="C326" s="16">
        <f>AVERAGE(ReturnData!C326:C336)</f>
        <v>5.7636363636363631E-3</v>
      </c>
      <c r="D326" s="16">
        <f>AVERAGE(ReturnData!D326:D336)</f>
        <v>-1.9627272727272726E-2</v>
      </c>
      <c r="E326" s="16">
        <f>AVERAGE(ReturnData!E326:E336)</f>
        <v>-1.3454545454545449E-3</v>
      </c>
      <c r="F326" s="16">
        <f>AVERAGE(ReturnData!F326:F336)</f>
        <v>1.1509090909090913E-2</v>
      </c>
      <c r="G326" s="16">
        <f>AVERAGE(ReturnData!G326:G336)</f>
        <v>-6.4454545454545433E-3</v>
      </c>
      <c r="H326" s="16">
        <f>AVERAGE(ReturnData!H326:H336)</f>
        <v>-6.8090909090909087E-3</v>
      </c>
      <c r="I326" s="16">
        <f>AVERAGE(ReturnData!I326:I336)</f>
        <v>1.0218181818181819E-2</v>
      </c>
      <c r="J326" s="16">
        <f>AVERAGE(ReturnData!J326:J336)</f>
        <v>-2.9163636363636371E-2</v>
      </c>
      <c r="K326" s="16">
        <f>AVERAGE(ReturnData!K326:K336)</f>
        <v>6.8000000000000031E-3</v>
      </c>
      <c r="L326" s="16">
        <f>AVERAGE(ReturnData!L326:L336)</f>
        <v>-1.6963636363636368E-2</v>
      </c>
      <c r="M326" s="16">
        <f>AVERAGE(ReturnData!M326:M336)</f>
        <v>1.4027272727272729E-2</v>
      </c>
      <c r="N326" s="16">
        <f>AVERAGE(ReturnData!N326:N336)</f>
        <v>-9.9272727272727273E-3</v>
      </c>
      <c r="O326" s="16">
        <f>AVERAGE(ReturnData!O326:O336)</f>
        <v>-1.2009090909090907E-2</v>
      </c>
      <c r="P326" s="16">
        <f>AVERAGE(ReturnData!P326:P336)</f>
        <v>4.4636363636363632E-3</v>
      </c>
      <c r="Q326" s="16">
        <f>AVERAGE(ReturnData!Q326:Q336)</f>
        <v>-6.3090909090909092E-3</v>
      </c>
    </row>
    <row r="327" spans="1:17" x14ac:dyDescent="0.25">
      <c r="A327">
        <f>ReturnData!A339</f>
        <v>200202</v>
      </c>
      <c r="B327" s="16">
        <f>AVERAGE(ReturnData!B327:B337)</f>
        <v>1.2454545454545468E-3</v>
      </c>
      <c r="C327" s="16">
        <f>AVERAGE(ReturnData!C327:C337)</f>
        <v>8.4272727272727294E-3</v>
      </c>
      <c r="D327" s="16">
        <f>AVERAGE(ReturnData!D327:D337)</f>
        <v>-1.1227272727272725E-2</v>
      </c>
      <c r="E327" s="16">
        <f>AVERAGE(ReturnData!E327:E337)</f>
        <v>1.590909090909091E-3</v>
      </c>
      <c r="F327" s="16">
        <f>AVERAGE(ReturnData!F327:F337)</f>
        <v>5.8545454545454543E-3</v>
      </c>
      <c r="G327" s="16">
        <f>AVERAGE(ReturnData!G327:G337)</f>
        <v>-2.9363636363636354E-3</v>
      </c>
      <c r="H327" s="16">
        <f>AVERAGE(ReturnData!H327:H337)</f>
        <v>-1.8090909090909101E-3</v>
      </c>
      <c r="I327" s="16">
        <f>AVERAGE(ReturnData!I327:I337)</f>
        <v>1.4127272727272726E-2</v>
      </c>
      <c r="J327" s="16">
        <f>AVERAGE(ReturnData!J327:J337)</f>
        <v>-3.7136363636363641E-2</v>
      </c>
      <c r="K327" s="16">
        <f>AVERAGE(ReturnData!K327:K337)</f>
        <v>1.1700000000000004E-2</v>
      </c>
      <c r="L327" s="16">
        <f>AVERAGE(ReturnData!L327:L337)</f>
        <v>-3.0554545454545456E-2</v>
      </c>
      <c r="M327" s="16">
        <f>AVERAGE(ReturnData!M327:M337)</f>
        <v>-1.2727272727272715E-4</v>
      </c>
      <c r="N327" s="16">
        <f>AVERAGE(ReturnData!N327:N337)</f>
        <v>-6.199999999999998E-3</v>
      </c>
      <c r="O327" s="16">
        <f>AVERAGE(ReturnData!O327:O337)</f>
        <v>1.4545454545454555E-3</v>
      </c>
      <c r="P327" s="16">
        <f>AVERAGE(ReturnData!P327:P337)</f>
        <v>5.6363636363636273E-4</v>
      </c>
      <c r="Q327" s="16">
        <f>AVERAGE(ReturnData!Q327:Q337)</f>
        <v>-2.9999999999999988E-3</v>
      </c>
    </row>
    <row r="328" spans="1:17" x14ac:dyDescent="0.25">
      <c r="A328">
        <f>ReturnData!A340</f>
        <v>200203</v>
      </c>
      <c r="B328" s="16">
        <f>AVERAGE(ReturnData!B328:B338)</f>
        <v>2.736363636363637E-3</v>
      </c>
      <c r="C328" s="16">
        <f>AVERAGE(ReturnData!C328:C338)</f>
        <v>3.7090909090909093E-3</v>
      </c>
      <c r="D328" s="16">
        <f>AVERAGE(ReturnData!D328:D338)</f>
        <v>-1.26E-2</v>
      </c>
      <c r="E328" s="16">
        <f>AVERAGE(ReturnData!E328:E338)</f>
        <v>1.5563636363636365E-2</v>
      </c>
      <c r="F328" s="16">
        <f>AVERAGE(ReturnData!F328:F338)</f>
        <v>6.9181818181818172E-3</v>
      </c>
      <c r="G328" s="16">
        <f>AVERAGE(ReturnData!G328:G338)</f>
        <v>-2.1545454545454533E-3</v>
      </c>
      <c r="H328" s="16">
        <f>AVERAGE(ReturnData!H328:H338)</f>
        <v>-2.4000000000000011E-3</v>
      </c>
      <c r="I328" s="16">
        <f>AVERAGE(ReturnData!I328:I338)</f>
        <v>1.8100000000000002E-2</v>
      </c>
      <c r="J328" s="16">
        <f>AVERAGE(ReturnData!J328:J338)</f>
        <v>-1.5690909090909092E-2</v>
      </c>
      <c r="K328" s="16">
        <f>AVERAGE(ReturnData!K328:K338)</f>
        <v>1.1154545454545457E-2</v>
      </c>
      <c r="L328" s="16">
        <f>AVERAGE(ReturnData!L328:L338)</f>
        <v>-1.5454545454545202E-4</v>
      </c>
      <c r="M328" s="16">
        <f>AVERAGE(ReturnData!M328:M338)</f>
        <v>2.9181818181818198E-3</v>
      </c>
      <c r="N328" s="16">
        <f>AVERAGE(ReturnData!N328:N338)</f>
        <v>1.7272727272727389E-4</v>
      </c>
      <c r="O328" s="16">
        <f>AVERAGE(ReturnData!O328:O338)</f>
        <v>-8.0909090909090913E-3</v>
      </c>
      <c r="P328" s="16">
        <f>AVERAGE(ReturnData!P328:P338)</f>
        <v>8.2818181818181819E-3</v>
      </c>
      <c r="Q328" s="16">
        <f>AVERAGE(ReturnData!Q328:Q338)</f>
        <v>4.3636363636363718E-4</v>
      </c>
    </row>
    <row r="329" spans="1:17" x14ac:dyDescent="0.25">
      <c r="A329">
        <f>ReturnData!A341</f>
        <v>200204</v>
      </c>
      <c r="B329" s="16">
        <f>AVERAGE(ReturnData!B329:B339)</f>
        <v>1.1363636363636364E-2</v>
      </c>
      <c r="C329" s="16">
        <f>AVERAGE(ReturnData!C329:C339)</f>
        <v>5.8272727272727287E-3</v>
      </c>
      <c r="D329" s="16">
        <f>AVERAGE(ReturnData!D329:D339)</f>
        <v>-6.5454545454545487E-3</v>
      </c>
      <c r="E329" s="16">
        <f>AVERAGE(ReturnData!E329:E339)</f>
        <v>1.6936363636363638E-2</v>
      </c>
      <c r="F329" s="16">
        <f>AVERAGE(ReturnData!F329:F339)</f>
        <v>1.4427272727272726E-2</v>
      </c>
      <c r="G329" s="16">
        <f>AVERAGE(ReturnData!G329:G339)</f>
        <v>5.8363636363636369E-3</v>
      </c>
      <c r="H329" s="16">
        <f>AVERAGE(ReturnData!H329:H339)</f>
        <v>5.0181818181818166E-3</v>
      </c>
      <c r="I329" s="16">
        <f>AVERAGE(ReturnData!I329:I339)</f>
        <v>1.9836363636363635E-2</v>
      </c>
      <c r="J329" s="16">
        <f>AVERAGE(ReturnData!J329:J339)</f>
        <v>-8.0545454545454549E-3</v>
      </c>
      <c r="K329" s="16">
        <f>AVERAGE(ReturnData!K329:K339)</f>
        <v>2.0100000000000003E-2</v>
      </c>
      <c r="L329" s="16">
        <f>AVERAGE(ReturnData!L329:L339)</f>
        <v>-7.8181818181817899E-4</v>
      </c>
      <c r="M329" s="16">
        <f>AVERAGE(ReturnData!M329:M339)</f>
        <v>7.1181818181818186E-3</v>
      </c>
      <c r="N329" s="16">
        <f>AVERAGE(ReturnData!N329:N339)</f>
        <v>1.01E-2</v>
      </c>
      <c r="O329" s="16">
        <f>AVERAGE(ReturnData!O329:O339)</f>
        <v>-9.5545454545454527E-3</v>
      </c>
      <c r="P329" s="16">
        <f>AVERAGE(ReturnData!P329:P339)</f>
        <v>1.1463636363636363E-2</v>
      </c>
      <c r="Q329" s="16">
        <f>AVERAGE(ReturnData!Q329:Q339)</f>
        <v>2.4454545454545475E-3</v>
      </c>
    </row>
    <row r="330" spans="1:17" x14ac:dyDescent="0.25">
      <c r="A330">
        <f>ReturnData!A342</f>
        <v>200205</v>
      </c>
      <c r="B330" s="16">
        <f>AVERAGE(ReturnData!B330:B340)</f>
        <v>1.6381818181818181E-2</v>
      </c>
      <c r="C330" s="16">
        <f>AVERAGE(ReturnData!C330:C340)</f>
        <v>7.190909090909089E-3</v>
      </c>
      <c r="D330" s="16">
        <f>AVERAGE(ReturnData!D330:D340)</f>
        <v>-8.62727272727273E-3</v>
      </c>
      <c r="E330" s="16">
        <f>AVERAGE(ReturnData!E330:E340)</f>
        <v>1.4500000000000001E-2</v>
      </c>
      <c r="F330" s="16">
        <f>AVERAGE(ReturnData!F330:F340)</f>
        <v>1.5763636363636365E-2</v>
      </c>
      <c r="G330" s="16">
        <f>AVERAGE(ReturnData!G330:G340)</f>
        <v>4.7000000000000019E-3</v>
      </c>
      <c r="H330" s="16">
        <f>AVERAGE(ReturnData!H330:H340)</f>
        <v>1.7636363636363631E-3</v>
      </c>
      <c r="I330" s="16">
        <f>AVERAGE(ReturnData!I330:I340)</f>
        <v>1.3818181818181815E-2</v>
      </c>
      <c r="J330" s="16">
        <f>AVERAGE(ReturnData!J330:J340)</f>
        <v>-1.468181818181818E-2</v>
      </c>
      <c r="K330" s="16">
        <f>AVERAGE(ReturnData!K330:K340)</f>
        <v>2.2645454545454548E-2</v>
      </c>
      <c r="L330" s="16">
        <f>AVERAGE(ReturnData!L330:L340)</f>
        <v>-7.1727272727272742E-3</v>
      </c>
      <c r="M330" s="16">
        <f>AVERAGE(ReturnData!M330:M340)</f>
        <v>6.0727272727272722E-3</v>
      </c>
      <c r="N330" s="16">
        <f>AVERAGE(ReturnData!N330:N340)</f>
        <v>5.8090909090909078E-3</v>
      </c>
      <c r="O330" s="16">
        <f>AVERAGE(ReturnData!O330:O340)</f>
        <v>-5.2363636363636388E-3</v>
      </c>
      <c r="P330" s="16">
        <f>AVERAGE(ReturnData!P330:P340)</f>
        <v>9.8727272727272743E-3</v>
      </c>
      <c r="Q330" s="16">
        <f>AVERAGE(ReturnData!Q330:Q340)</f>
        <v>4.3636363636363647E-3</v>
      </c>
    </row>
    <row r="331" spans="1:17" x14ac:dyDescent="0.25">
      <c r="A331">
        <f>ReturnData!A343</f>
        <v>200206</v>
      </c>
      <c r="B331" s="16">
        <f>AVERAGE(ReturnData!B331:B341)</f>
        <v>1.5609090909090911E-2</v>
      </c>
      <c r="C331" s="16">
        <f>AVERAGE(ReturnData!C331:C341)</f>
        <v>1.0999999999999994E-3</v>
      </c>
      <c r="D331" s="16">
        <f>AVERAGE(ReturnData!D331:D341)</f>
        <v>-1.2154545454545456E-2</v>
      </c>
      <c r="E331" s="16">
        <f>AVERAGE(ReturnData!E331:E341)</f>
        <v>1.441818181818182E-2</v>
      </c>
      <c r="F331" s="16">
        <f>AVERAGE(ReturnData!F331:F341)</f>
        <v>1.2190909090909091E-2</v>
      </c>
      <c r="G331" s="16">
        <f>AVERAGE(ReturnData!G331:G341)</f>
        <v>-8.1818181818181827E-4</v>
      </c>
      <c r="H331" s="16">
        <f>AVERAGE(ReturnData!H331:H341)</f>
        <v>-6.6454545454545455E-3</v>
      </c>
      <c r="I331" s="16">
        <f>AVERAGE(ReturnData!I331:I341)</f>
        <v>1.0090909090909088E-2</v>
      </c>
      <c r="J331" s="16">
        <f>AVERAGE(ReturnData!J331:J341)</f>
        <v>-2.1327272727272726E-2</v>
      </c>
      <c r="K331" s="16">
        <f>AVERAGE(ReturnData!K331:K341)</f>
        <v>2.0672727272727273E-2</v>
      </c>
      <c r="L331" s="16">
        <f>AVERAGE(ReturnData!L331:L341)</f>
        <v>-8.7181818181818176E-3</v>
      </c>
      <c r="M331" s="16">
        <f>AVERAGE(ReturnData!M331:M341)</f>
        <v>9.8454545454545444E-3</v>
      </c>
      <c r="N331" s="16">
        <f>AVERAGE(ReturnData!N331:N341)</f>
        <v>-7.8181818181818213E-4</v>
      </c>
      <c r="O331" s="16">
        <f>AVERAGE(ReturnData!O331:O341)</f>
        <v>-5.8272727272727287E-3</v>
      </c>
      <c r="P331" s="16">
        <f>AVERAGE(ReturnData!P331:P341)</f>
        <v>7.4181818181818186E-3</v>
      </c>
      <c r="Q331" s="16">
        <f>AVERAGE(ReturnData!Q331:Q341)</f>
        <v>2.7272727272730421E-5</v>
      </c>
    </row>
    <row r="332" spans="1:17" x14ac:dyDescent="0.25">
      <c r="A332">
        <f>ReturnData!A344</f>
        <v>200207</v>
      </c>
      <c r="B332" s="16">
        <f>AVERAGE(ReturnData!B332:B342)</f>
        <v>1.8554545454545456E-2</v>
      </c>
      <c r="C332" s="16">
        <f>AVERAGE(ReturnData!C332:C342)</f>
        <v>1.2136363636363638E-2</v>
      </c>
      <c r="D332" s="16">
        <f>AVERAGE(ReturnData!D332:D342)</f>
        <v>-6.4363636363636368E-3</v>
      </c>
      <c r="E332" s="16">
        <f>AVERAGE(ReturnData!E332:E342)</f>
        <v>1.4254545454545454E-2</v>
      </c>
      <c r="F332" s="16">
        <f>AVERAGE(ReturnData!F332:F342)</f>
        <v>1.1209090909090908E-2</v>
      </c>
      <c r="G332" s="16">
        <f>AVERAGE(ReturnData!G332:G342)</f>
        <v>3.3090909090909113E-3</v>
      </c>
      <c r="H332" s="16">
        <f>AVERAGE(ReturnData!H332:H342)</f>
        <v>-3.8181818181818178E-3</v>
      </c>
      <c r="I332" s="16">
        <f>AVERAGE(ReturnData!I332:I342)</f>
        <v>8.9727272727272728E-3</v>
      </c>
      <c r="J332" s="16">
        <f>AVERAGE(ReturnData!J332:J342)</f>
        <v>-1.4436363636363638E-2</v>
      </c>
      <c r="K332" s="16">
        <f>AVERAGE(ReturnData!K332:K342)</f>
        <v>1.9363636363636368E-2</v>
      </c>
      <c r="L332" s="16">
        <f>AVERAGE(ReturnData!L332:L342)</f>
        <v>-1.0472727272727271E-2</v>
      </c>
      <c r="M332" s="16">
        <f>AVERAGE(ReturnData!M332:M342)</f>
        <v>6.6454545454545481E-3</v>
      </c>
      <c r="N332" s="16">
        <f>AVERAGE(ReturnData!N332:N342)</f>
        <v>6.9636363636363637E-3</v>
      </c>
      <c r="O332" s="16">
        <f>AVERAGE(ReturnData!O332:O342)</f>
        <v>-6.6090909090909082E-3</v>
      </c>
      <c r="P332" s="16">
        <f>AVERAGE(ReturnData!P332:P342)</f>
        <v>9.7000000000000003E-3</v>
      </c>
      <c r="Q332" s="16">
        <f>AVERAGE(ReturnData!Q332:Q342)</f>
        <v>-7.4545454545454286E-4</v>
      </c>
    </row>
    <row r="333" spans="1:17" x14ac:dyDescent="0.25">
      <c r="A333">
        <f>ReturnData!A345</f>
        <v>200208</v>
      </c>
      <c r="B333" s="16">
        <f>AVERAGE(ReturnData!B333:B343)</f>
        <v>1.4363636363636367E-2</v>
      </c>
      <c r="C333" s="16">
        <f>AVERAGE(ReturnData!C333:C343)</f>
        <v>1.2181818181818183E-2</v>
      </c>
      <c r="D333" s="16">
        <f>AVERAGE(ReturnData!D333:D343)</f>
        <v>-4.390909090909092E-3</v>
      </c>
      <c r="E333" s="16">
        <f>AVERAGE(ReturnData!E333:E343)</f>
        <v>1.1236363636363635E-2</v>
      </c>
      <c r="F333" s="16">
        <f>AVERAGE(ReturnData!F333:F343)</f>
        <v>8.3545454545454548E-3</v>
      </c>
      <c r="G333" s="16">
        <f>AVERAGE(ReturnData!G333:G343)</f>
        <v>5.1363636363636368E-3</v>
      </c>
      <c r="H333" s="16">
        <f>AVERAGE(ReturnData!H333:H343)</f>
        <v>-1.5663636363636362E-2</v>
      </c>
      <c r="I333" s="16">
        <f>AVERAGE(ReturnData!I333:I343)</f>
        <v>1.9999999999999752E-4</v>
      </c>
      <c r="J333" s="16">
        <f>AVERAGE(ReturnData!J333:J343)</f>
        <v>-1.7263636363636363E-2</v>
      </c>
      <c r="K333" s="16">
        <f>AVERAGE(ReturnData!K333:K343)</f>
        <v>1.8672727272727278E-2</v>
      </c>
      <c r="L333" s="16">
        <f>AVERAGE(ReturnData!L333:L343)</f>
        <v>-2.1327272727272726E-2</v>
      </c>
      <c r="M333" s="16">
        <f>AVERAGE(ReturnData!M333:M343)</f>
        <v>-5.5545454545454535E-3</v>
      </c>
      <c r="N333" s="16">
        <f>AVERAGE(ReturnData!N333:N343)</f>
        <v>5.4181818181818185E-3</v>
      </c>
      <c r="O333" s="16">
        <f>AVERAGE(ReturnData!O333:O343)</f>
        <v>-8.4000000000000012E-3</v>
      </c>
      <c r="P333" s="16">
        <f>AVERAGE(ReturnData!P333:P343)</f>
        <v>1.4454545454545458E-3</v>
      </c>
      <c r="Q333" s="16">
        <f>AVERAGE(ReturnData!Q333:Q343)</f>
        <v>-4.518181818181817E-3</v>
      </c>
    </row>
    <row r="334" spans="1:17" x14ac:dyDescent="0.25">
      <c r="A334">
        <f>ReturnData!A346</f>
        <v>200209</v>
      </c>
      <c r="B334" s="16">
        <f>AVERAGE(ReturnData!B334:B344)</f>
        <v>2.9727272727272723E-3</v>
      </c>
      <c r="C334" s="16">
        <f>AVERAGE(ReturnData!C334:C344)</f>
        <v>-4.0181818181818174E-3</v>
      </c>
      <c r="D334" s="16">
        <f>AVERAGE(ReturnData!D334:D344)</f>
        <v>-1.0909090909090912E-2</v>
      </c>
      <c r="E334" s="16">
        <f>AVERAGE(ReturnData!E334:E344)</f>
        <v>4.4181818181818176E-3</v>
      </c>
      <c r="F334" s="16">
        <f>AVERAGE(ReturnData!F334:F344)</f>
        <v>-1.4545454545454547E-3</v>
      </c>
      <c r="G334" s="16">
        <f>AVERAGE(ReturnData!G334:G344)</f>
        <v>-2.3000000000000017E-3</v>
      </c>
      <c r="H334" s="16">
        <f>AVERAGE(ReturnData!H334:H344)</f>
        <v>-1.4754545454545452E-2</v>
      </c>
      <c r="I334" s="16">
        <f>AVERAGE(ReturnData!I334:I344)</f>
        <v>-7.9000000000000008E-3</v>
      </c>
      <c r="J334" s="16">
        <f>AVERAGE(ReturnData!J334:J344)</f>
        <v>-3.0172727272727271E-2</v>
      </c>
      <c r="K334" s="16">
        <f>AVERAGE(ReturnData!K334:K344)</f>
        <v>6.9545454545454502E-3</v>
      </c>
      <c r="L334" s="16">
        <f>AVERAGE(ReturnData!L334:L344)</f>
        <v>-2.0881818181818182E-2</v>
      </c>
      <c r="M334" s="16">
        <f>AVERAGE(ReturnData!M334:M344)</f>
        <v>-4.8454545454545452E-3</v>
      </c>
      <c r="N334" s="16">
        <f>AVERAGE(ReturnData!N334:N344)</f>
        <v>2.3000000000000004E-3</v>
      </c>
      <c r="O334" s="16">
        <f>AVERAGE(ReturnData!O334:O344)</f>
        <v>-1.9899999999999998E-2</v>
      </c>
      <c r="P334" s="16">
        <f>AVERAGE(ReturnData!P334:P344)</f>
        <v>-1.6727272727272702E-3</v>
      </c>
      <c r="Q334" s="16">
        <f>AVERAGE(ReturnData!Q334:Q344)</f>
        <v>-5.9818181818181819E-3</v>
      </c>
    </row>
    <row r="335" spans="1:17" x14ac:dyDescent="0.25">
      <c r="A335">
        <f>ReturnData!A347</f>
        <v>200210</v>
      </c>
      <c r="B335" s="16">
        <f>AVERAGE(ReturnData!B335:B345)</f>
        <v>5.3454545454545447E-3</v>
      </c>
      <c r="C335" s="16">
        <f>AVERAGE(ReturnData!C335:C345)</f>
        <v>7.4636363636363667E-3</v>
      </c>
      <c r="D335" s="16">
        <f>AVERAGE(ReturnData!D335:D345)</f>
        <v>-4.5272727272727279E-3</v>
      </c>
      <c r="E335" s="16">
        <f>AVERAGE(ReturnData!E335:E345)</f>
        <v>1.9245454545454545E-2</v>
      </c>
      <c r="F335" s="16">
        <f>AVERAGE(ReturnData!F335:F345)</f>
        <v>1.7145454545454544E-2</v>
      </c>
      <c r="G335" s="16">
        <f>AVERAGE(ReturnData!G335:G345)</f>
        <v>7.6454545454545464E-3</v>
      </c>
      <c r="H335" s="16">
        <f>AVERAGE(ReturnData!H335:H345)</f>
        <v>-1.3518181818181818E-2</v>
      </c>
      <c r="I335" s="16">
        <f>AVERAGE(ReturnData!I335:I345)</f>
        <v>7.1818181818181833E-3</v>
      </c>
      <c r="J335" s="16">
        <f>AVERAGE(ReturnData!J335:J345)</f>
        <v>-1.456363636363636E-2</v>
      </c>
      <c r="K335" s="16">
        <f>AVERAGE(ReturnData!K335:K345)</f>
        <v>2.4990909090909088E-2</v>
      </c>
      <c r="L335" s="16">
        <f>AVERAGE(ReturnData!L335:L345)</f>
        <v>-1.9545454545454575E-3</v>
      </c>
      <c r="M335" s="16">
        <f>AVERAGE(ReturnData!M335:M345)</f>
        <v>8.8181818181818205E-3</v>
      </c>
      <c r="N335" s="16">
        <f>AVERAGE(ReturnData!N335:N345)</f>
        <v>1.4890909090909083E-2</v>
      </c>
      <c r="O335" s="16">
        <f>AVERAGE(ReturnData!O335:O345)</f>
        <v>-1.0818181818181821E-2</v>
      </c>
      <c r="P335" s="16">
        <f>AVERAGE(ReturnData!P335:P345)</f>
        <v>6.7454545454545458E-3</v>
      </c>
      <c r="Q335" s="16">
        <f>AVERAGE(ReturnData!Q335:Q345)</f>
        <v>1.2545454545454548E-3</v>
      </c>
    </row>
    <row r="336" spans="1:17" x14ac:dyDescent="0.25">
      <c r="A336">
        <f>ReturnData!A348</f>
        <v>200211</v>
      </c>
      <c r="B336" s="16">
        <f>AVERAGE(ReturnData!B336:B346)</f>
        <v>-1.7272727272727326E-4</v>
      </c>
      <c r="C336" s="16">
        <f>AVERAGE(ReturnData!C336:C346)</f>
        <v>-1.3636363636363611E-3</v>
      </c>
      <c r="D336" s="16">
        <f>AVERAGE(ReturnData!D336:D346)</f>
        <v>-1.4181818181818184E-2</v>
      </c>
      <c r="E336" s="16">
        <f>AVERAGE(ReturnData!E336:E346)</f>
        <v>7.1181818181818186E-3</v>
      </c>
      <c r="F336" s="16">
        <f>AVERAGE(ReturnData!F336:F346)</f>
        <v>1.172727272727271E-3</v>
      </c>
      <c r="G336" s="16">
        <f>AVERAGE(ReturnData!G336:G346)</f>
        <v>-5.0000000000000001E-3</v>
      </c>
      <c r="H336" s="16">
        <f>AVERAGE(ReturnData!H336:H346)</f>
        <v>-2.1090909090909091E-2</v>
      </c>
      <c r="I336" s="16">
        <f>AVERAGE(ReturnData!I336:I346)</f>
        <v>-6.7636363636363666E-3</v>
      </c>
      <c r="J336" s="16">
        <f>AVERAGE(ReturnData!J336:J346)</f>
        <v>-3.3563636363636358E-2</v>
      </c>
      <c r="K336" s="16">
        <f>AVERAGE(ReturnData!K336:K346)</f>
        <v>1.0799999999999997E-2</v>
      </c>
      <c r="L336" s="16">
        <f>AVERAGE(ReturnData!L336:L346)</f>
        <v>-3.3718181818181821E-2</v>
      </c>
      <c r="M336" s="16">
        <f>AVERAGE(ReturnData!M336:M346)</f>
        <v>-5.9090909090908769E-4</v>
      </c>
      <c r="N336" s="16">
        <f>AVERAGE(ReturnData!N336:N346)</f>
        <v>4.1636363636363659E-3</v>
      </c>
      <c r="O336" s="16">
        <f>AVERAGE(ReturnData!O336:O346)</f>
        <v>-2.2372727272727273E-2</v>
      </c>
      <c r="P336" s="16">
        <f>AVERAGE(ReturnData!P336:P346)</f>
        <v>-5.0818181818181839E-3</v>
      </c>
      <c r="Q336" s="16">
        <f>AVERAGE(ReturnData!Q336:Q346)</f>
        <v>-6.827272727272727E-3</v>
      </c>
    </row>
    <row r="337" spans="1:17" x14ac:dyDescent="0.25">
      <c r="A337">
        <f>ReturnData!A349</f>
        <v>200212</v>
      </c>
      <c r="B337" s="16">
        <f>AVERAGE(ReturnData!B337:B347)</f>
        <v>3.6545454545454546E-3</v>
      </c>
      <c r="C337" s="16">
        <f>AVERAGE(ReturnData!C337:C347)</f>
        <v>-6.7090909090909085E-3</v>
      </c>
      <c r="D337" s="16">
        <f>AVERAGE(ReturnData!D337:D347)</f>
        <v>-5.9000000000000033E-3</v>
      </c>
      <c r="E337" s="16">
        <f>AVERAGE(ReturnData!E337:E347)</f>
        <v>6.4727272727272715E-3</v>
      </c>
      <c r="F337" s="16">
        <f>AVERAGE(ReturnData!F337:F347)</f>
        <v>-1.1909090909090897E-3</v>
      </c>
      <c r="G337" s="16">
        <f>AVERAGE(ReturnData!G337:G347)</f>
        <v>-9.9545454545454555E-3</v>
      </c>
      <c r="H337" s="16">
        <f>AVERAGE(ReturnData!H337:H347)</f>
        <v>-1.7881818181818183E-2</v>
      </c>
      <c r="I337" s="16">
        <f>AVERAGE(ReturnData!I337:I347)</f>
        <v>-1.6981818181818181E-2</v>
      </c>
      <c r="J337" s="16">
        <f>AVERAGE(ReturnData!J337:J347)</f>
        <v>-4.2045454545454546E-2</v>
      </c>
      <c r="K337" s="16">
        <f>AVERAGE(ReturnData!K337:K347)</f>
        <v>4.5636363636363626E-3</v>
      </c>
      <c r="L337" s="16">
        <f>AVERAGE(ReturnData!L337:L347)</f>
        <v>-3.776363636363636E-2</v>
      </c>
      <c r="M337" s="16">
        <f>AVERAGE(ReturnData!M337:M347)</f>
        <v>-2.0209090909090909E-2</v>
      </c>
      <c r="N337" s="16">
        <f>AVERAGE(ReturnData!N337:N347)</f>
        <v>-2.8545454545454525E-3</v>
      </c>
      <c r="O337" s="16">
        <f>AVERAGE(ReturnData!O337:O347)</f>
        <v>-2.1536363636363635E-2</v>
      </c>
      <c r="P337" s="16">
        <f>AVERAGE(ReturnData!P337:P347)</f>
        <v>-9.1181818181818204E-3</v>
      </c>
      <c r="Q337" s="16">
        <f>AVERAGE(ReturnData!Q337:Q347)</f>
        <v>-6.4636363636363632E-3</v>
      </c>
    </row>
    <row r="338" spans="1:17" x14ac:dyDescent="0.25">
      <c r="A338">
        <f>ReturnData!A350</f>
        <v>200301</v>
      </c>
      <c r="B338" s="16">
        <f>AVERAGE(ReturnData!B338:B348)</f>
        <v>3.9999999999999883E-4</v>
      </c>
      <c r="C338" s="16">
        <f>AVERAGE(ReturnData!C338:C348)</f>
        <v>-6.3090909090909057E-3</v>
      </c>
      <c r="D338" s="16">
        <f>AVERAGE(ReturnData!D338:D348)</f>
        <v>-8.32727272727273E-3</v>
      </c>
      <c r="E338" s="16">
        <f>AVERAGE(ReturnData!E338:E348)</f>
        <v>5.0999999999999978E-3</v>
      </c>
      <c r="F338" s="16">
        <f>AVERAGE(ReturnData!F338:F348)</f>
        <v>4.0363636363636357E-3</v>
      </c>
      <c r="G338" s="16">
        <f>AVERAGE(ReturnData!G338:G348)</f>
        <v>-4.5454545454545492E-5</v>
      </c>
      <c r="H338" s="16">
        <f>AVERAGE(ReturnData!H338:H348)</f>
        <v>-1.3381818181818182E-2</v>
      </c>
      <c r="I338" s="16">
        <f>AVERAGE(ReturnData!I338:I348)</f>
        <v>-2.3681818181818182E-2</v>
      </c>
      <c r="J338" s="16">
        <f>AVERAGE(ReturnData!J338:J348)</f>
        <v>-2.3136363636363632E-2</v>
      </c>
      <c r="K338" s="16">
        <f>AVERAGE(ReturnData!K338:K348)</f>
        <v>3.3818181818181803E-3</v>
      </c>
      <c r="L338" s="16">
        <f>AVERAGE(ReturnData!L338:L348)</f>
        <v>-1.8281818181818173E-2</v>
      </c>
      <c r="M338" s="16">
        <f>AVERAGE(ReturnData!M338:M348)</f>
        <v>-8.3454545454545431E-3</v>
      </c>
      <c r="N338" s="16">
        <f>AVERAGE(ReturnData!N338:N348)</f>
        <v>-2.9090909090909085E-3</v>
      </c>
      <c r="O338" s="16">
        <f>AVERAGE(ReturnData!O338:O348)</f>
        <v>-2.3781818181818182E-2</v>
      </c>
      <c r="P338" s="16">
        <f>AVERAGE(ReturnData!P338:P348)</f>
        <v>-9.0090909090909093E-3</v>
      </c>
      <c r="Q338" s="16">
        <f>AVERAGE(ReturnData!Q338:Q348)</f>
        <v>-6.400000000000002E-3</v>
      </c>
    </row>
    <row r="339" spans="1:17" x14ac:dyDescent="0.25">
      <c r="A339">
        <f>ReturnData!A351</f>
        <v>200302</v>
      </c>
      <c r="B339" s="16">
        <f>AVERAGE(ReturnData!B339:B349)</f>
        <v>-5.272727272727279E-4</v>
      </c>
      <c r="C339" s="16">
        <f>AVERAGE(ReturnData!C339:C349)</f>
        <v>4.7545454545454583E-3</v>
      </c>
      <c r="D339" s="16">
        <f>AVERAGE(ReturnData!D339:D349)</f>
        <v>-5.0545454545454574E-3</v>
      </c>
      <c r="E339" s="16">
        <f>AVERAGE(ReturnData!E339:E349)</f>
        <v>-4.1272727272727286E-3</v>
      </c>
      <c r="F339" s="16">
        <f>AVERAGE(ReturnData!F339:F349)</f>
        <v>-2.1727272727272724E-3</v>
      </c>
      <c r="G339" s="16">
        <f>AVERAGE(ReturnData!G339:G349)</f>
        <v>-2.7636363636363657E-3</v>
      </c>
      <c r="H339" s="16">
        <f>AVERAGE(ReturnData!H339:H349)</f>
        <v>-1.5781818181818182E-2</v>
      </c>
      <c r="I339" s="16">
        <f>AVERAGE(ReturnData!I339:I349)</f>
        <v>-2.816363636363637E-2</v>
      </c>
      <c r="J339" s="16">
        <f>AVERAGE(ReturnData!J339:J349)</f>
        <v>-3.2245454545454549E-2</v>
      </c>
      <c r="K339" s="16">
        <f>AVERAGE(ReturnData!K339:K349)</f>
        <v>1.1545454545454532E-3</v>
      </c>
      <c r="L339" s="16">
        <f>AVERAGE(ReturnData!L339:L349)</f>
        <v>-3.5518181818181824E-2</v>
      </c>
      <c r="M339" s="16">
        <f>AVERAGE(ReturnData!M339:M349)</f>
        <v>-1.8190909090909091E-2</v>
      </c>
      <c r="N339" s="16">
        <f>AVERAGE(ReturnData!N339:N349)</f>
        <v>-9.6727272727272703E-3</v>
      </c>
      <c r="O339" s="16">
        <f>AVERAGE(ReturnData!O339:O349)</f>
        <v>-1.6345454545454548E-2</v>
      </c>
      <c r="P339" s="16">
        <f>AVERAGE(ReturnData!P339:P349)</f>
        <v>-1.9181818181818185E-2</v>
      </c>
      <c r="Q339" s="16">
        <f>AVERAGE(ReturnData!Q339:Q349)</f>
        <v>-9.0363636363636375E-3</v>
      </c>
    </row>
    <row r="340" spans="1:17" x14ac:dyDescent="0.25">
      <c r="A340">
        <f>ReturnData!A352</f>
        <v>200303</v>
      </c>
      <c r="B340" s="16">
        <f>AVERAGE(ReturnData!B340:B350)</f>
        <v>-7.9000000000000008E-3</v>
      </c>
      <c r="C340" s="16">
        <f>AVERAGE(ReturnData!C340:C350)</f>
        <v>-1.6545454545454483E-3</v>
      </c>
      <c r="D340" s="16">
        <f>AVERAGE(ReturnData!D340:D350)</f>
        <v>-1.2200000000000004E-2</v>
      </c>
      <c r="E340" s="16">
        <f>AVERAGE(ReturnData!E340:E350)</f>
        <v>-8.136363636363636E-3</v>
      </c>
      <c r="F340" s="16">
        <f>AVERAGE(ReturnData!F340:F350)</f>
        <v>-1.1072727272727272E-2</v>
      </c>
      <c r="G340" s="16">
        <f>AVERAGE(ReturnData!G340:G350)</f>
        <v>-1.2063636363636361E-2</v>
      </c>
      <c r="H340" s="16">
        <f>AVERAGE(ReturnData!H340:H350)</f>
        <v>-1.8045454545454545E-2</v>
      </c>
      <c r="I340" s="16">
        <f>AVERAGE(ReturnData!I340:I350)</f>
        <v>-3.5818181818181818E-2</v>
      </c>
      <c r="J340" s="16">
        <f>AVERAGE(ReturnData!J340:J350)</f>
        <v>-3.6590909090909091E-2</v>
      </c>
      <c r="K340" s="16">
        <f>AVERAGE(ReturnData!K340:K350)</f>
        <v>-1.179090909090909E-2</v>
      </c>
      <c r="L340" s="16">
        <f>AVERAGE(ReturnData!L340:L350)</f>
        <v>-2.578181818181818E-2</v>
      </c>
      <c r="M340" s="16">
        <f>AVERAGE(ReturnData!M340:M350)</f>
        <v>-2.3672727272727269E-2</v>
      </c>
      <c r="N340" s="16">
        <f>AVERAGE(ReturnData!N340:N350)</f>
        <v>-1.889090909090909E-2</v>
      </c>
      <c r="O340" s="16">
        <f>AVERAGE(ReturnData!O340:O350)</f>
        <v>-1.8981818181818187E-2</v>
      </c>
      <c r="P340" s="16">
        <f>AVERAGE(ReturnData!P340:P350)</f>
        <v>-2.3390909090909094E-2</v>
      </c>
      <c r="Q340" s="16">
        <f>AVERAGE(ReturnData!Q340:Q350)</f>
        <v>-9.4818181818181833E-3</v>
      </c>
    </row>
    <row r="341" spans="1:17" x14ac:dyDescent="0.25">
      <c r="A341">
        <f>ReturnData!A353</f>
        <v>200304</v>
      </c>
      <c r="B341" s="16">
        <f>AVERAGE(ReturnData!B341:B351)</f>
        <v>-1.4927272727272728E-2</v>
      </c>
      <c r="C341" s="16">
        <f>AVERAGE(ReturnData!C341:C351)</f>
        <v>-1.2927272727272725E-2</v>
      </c>
      <c r="D341" s="16">
        <f>AVERAGE(ReturnData!D341:D351)</f>
        <v>-1.7536363636363631E-2</v>
      </c>
      <c r="E341" s="16">
        <f>AVERAGE(ReturnData!E341:E351)</f>
        <v>-1.4918181818181815E-2</v>
      </c>
      <c r="F341" s="16">
        <f>AVERAGE(ReturnData!F341:F351)</f>
        <v>-1.7018181818181818E-2</v>
      </c>
      <c r="G341" s="16">
        <f>AVERAGE(ReturnData!G341:G351)</f>
        <v>-2.0381818181818182E-2</v>
      </c>
      <c r="H341" s="16">
        <f>AVERAGE(ReturnData!H341:H351)</f>
        <v>-2.0418181818181814E-2</v>
      </c>
      <c r="I341" s="16">
        <f>AVERAGE(ReturnData!I341:I351)</f>
        <v>-3.040909090909091E-2</v>
      </c>
      <c r="J341" s="16">
        <f>AVERAGE(ReturnData!J341:J351)</f>
        <v>-4.0036363636363634E-2</v>
      </c>
      <c r="K341" s="16">
        <f>AVERAGE(ReturnData!K341:K351)</f>
        <v>-2.1700000000000001E-2</v>
      </c>
      <c r="L341" s="16">
        <f>AVERAGE(ReturnData!L341:L351)</f>
        <v>-3.142727272727272E-2</v>
      </c>
      <c r="M341" s="16">
        <f>AVERAGE(ReturnData!M341:M351)</f>
        <v>-3.5390909090909084E-2</v>
      </c>
      <c r="N341" s="16">
        <f>AVERAGE(ReturnData!N341:N351)</f>
        <v>-2.7127272727272726E-2</v>
      </c>
      <c r="O341" s="16">
        <f>AVERAGE(ReturnData!O341:O351)</f>
        <v>-3.1936363636363638E-2</v>
      </c>
      <c r="P341" s="16">
        <f>AVERAGE(ReturnData!P341:P351)</f>
        <v>-2.8000000000000004E-2</v>
      </c>
      <c r="Q341" s="16">
        <f>AVERAGE(ReturnData!Q341:Q351)</f>
        <v>-1.8090909090909088E-2</v>
      </c>
    </row>
    <row r="342" spans="1:17" x14ac:dyDescent="0.25">
      <c r="A342">
        <f>ReturnData!A354</f>
        <v>200305</v>
      </c>
      <c r="B342" s="16">
        <f>AVERAGE(ReturnData!B342:B352)</f>
        <v>-1.7390909090909092E-2</v>
      </c>
      <c r="C342" s="16">
        <f>AVERAGE(ReturnData!C342:C352)</f>
        <v>-1.5018181818181814E-2</v>
      </c>
      <c r="D342" s="16">
        <f>AVERAGE(ReturnData!D342:D352)</f>
        <v>-1.1636363636363637E-2</v>
      </c>
      <c r="E342" s="16">
        <f>AVERAGE(ReturnData!E342:E352)</f>
        <v>-1.3909090909090904E-2</v>
      </c>
      <c r="F342" s="16">
        <f>AVERAGE(ReturnData!F342:F352)</f>
        <v>-1.8599999999999995E-2</v>
      </c>
      <c r="G342" s="16">
        <f>AVERAGE(ReturnData!G342:G352)</f>
        <v>-1.2127272727272726E-2</v>
      </c>
      <c r="H342" s="16">
        <f>AVERAGE(ReturnData!H342:H352)</f>
        <v>-1.1736363636363635E-2</v>
      </c>
      <c r="I342" s="16">
        <f>AVERAGE(ReturnData!I342:I352)</f>
        <v>-2.7972727272727274E-2</v>
      </c>
      <c r="J342" s="16">
        <f>AVERAGE(ReturnData!J342:J352)</f>
        <v>-3.6527272727272721E-2</v>
      </c>
      <c r="K342" s="16">
        <f>AVERAGE(ReturnData!K342:K352)</f>
        <v>-2.5454545454545455E-2</v>
      </c>
      <c r="L342" s="16">
        <f>AVERAGE(ReturnData!L342:L352)</f>
        <v>-2.7245454545454548E-2</v>
      </c>
      <c r="M342" s="16">
        <f>AVERAGE(ReturnData!M342:M352)</f>
        <v>-3.8345454545454537E-2</v>
      </c>
      <c r="N342" s="16">
        <f>AVERAGE(ReturnData!N342:N352)</f>
        <v>-2.3318181818181818E-2</v>
      </c>
      <c r="O342" s="16">
        <f>AVERAGE(ReturnData!O342:O352)</f>
        <v>-2.7645454545454549E-2</v>
      </c>
      <c r="P342" s="16">
        <f>AVERAGE(ReturnData!P342:P352)</f>
        <v>-2.1100000000000004E-2</v>
      </c>
      <c r="Q342" s="16">
        <f>AVERAGE(ReturnData!Q342:Q352)</f>
        <v>-1.6899999999999998E-2</v>
      </c>
    </row>
    <row r="343" spans="1:17" x14ac:dyDescent="0.25">
      <c r="A343">
        <f>ReturnData!A355</f>
        <v>200306</v>
      </c>
      <c r="B343" s="16">
        <f>AVERAGE(ReturnData!B343:B353)</f>
        <v>-1.4563636363636364E-2</v>
      </c>
      <c r="C343" s="16">
        <f>AVERAGE(ReturnData!C343:C353)</f>
        <v>-1.5836363636363635E-2</v>
      </c>
      <c r="D343" s="16">
        <f>AVERAGE(ReturnData!D343:D353)</f>
        <v>-1.089090909090909E-2</v>
      </c>
      <c r="E343" s="16">
        <f>AVERAGE(ReturnData!E343:E353)</f>
        <v>-5.2727272727272701E-3</v>
      </c>
      <c r="F343" s="16">
        <f>AVERAGE(ReturnData!F343:F353)</f>
        <v>-1.164545454545454E-2</v>
      </c>
      <c r="G343" s="16">
        <f>AVERAGE(ReturnData!G343:G353)</f>
        <v>-4.5363636363636361E-3</v>
      </c>
      <c r="H343" s="16">
        <f>AVERAGE(ReturnData!H343:H353)</f>
        <v>-7.045454545454544E-3</v>
      </c>
      <c r="I343" s="16">
        <f>AVERAGE(ReturnData!I343:I353)</f>
        <v>-1.6299999999999995E-2</v>
      </c>
      <c r="J343" s="16">
        <f>AVERAGE(ReturnData!J343:J353)</f>
        <v>-2.7490909090909087E-2</v>
      </c>
      <c r="K343" s="16">
        <f>AVERAGE(ReturnData!K343:K353)</f>
        <v>-1.5363636363636368E-2</v>
      </c>
      <c r="L343" s="16">
        <f>AVERAGE(ReturnData!L343:L353)</f>
        <v>-1.4136363636363643E-2</v>
      </c>
      <c r="M343" s="16">
        <f>AVERAGE(ReturnData!M343:M353)</f>
        <v>-2.4418181818181815E-2</v>
      </c>
      <c r="N343" s="16">
        <f>AVERAGE(ReturnData!N343:N353)</f>
        <v>-1.4672727272727271E-2</v>
      </c>
      <c r="O343" s="16">
        <f>AVERAGE(ReturnData!O343:O353)</f>
        <v>-1.4718181818181825E-2</v>
      </c>
      <c r="P343" s="16">
        <f>AVERAGE(ReturnData!P343:P353)</f>
        <v>-1.2572727272727279E-2</v>
      </c>
      <c r="Q343" s="16">
        <f>AVERAGE(ReturnData!Q343:Q353)</f>
        <v>-6.6454545454545429E-3</v>
      </c>
    </row>
    <row r="344" spans="1:17" x14ac:dyDescent="0.25">
      <c r="A344">
        <f>ReturnData!A356</f>
        <v>200307</v>
      </c>
      <c r="B344" s="16">
        <f>AVERAGE(ReturnData!B344:B354)</f>
        <v>-6.2363636363636362E-3</v>
      </c>
      <c r="C344" s="16">
        <f>AVERAGE(ReturnData!C344:C354)</f>
        <v>4.7272727272727293E-3</v>
      </c>
      <c r="D344" s="16">
        <f>AVERAGE(ReturnData!D344:D354)</f>
        <v>-3.0818181818181791E-3</v>
      </c>
      <c r="E344" s="16">
        <f>AVERAGE(ReturnData!E344:E354)</f>
        <v>2.2727272727272874E-4</v>
      </c>
      <c r="F344" s="16">
        <f>AVERAGE(ReturnData!F344:F354)</f>
        <v>-3.0272727272727226E-3</v>
      </c>
      <c r="G344" s="16">
        <f>AVERAGE(ReturnData!G344:G354)</f>
        <v>-2.4545454545454536E-3</v>
      </c>
      <c r="H344" s="16">
        <f>AVERAGE(ReturnData!H344:H354)</f>
        <v>5.518181818181817E-3</v>
      </c>
      <c r="I344" s="16">
        <f>AVERAGE(ReturnData!I344:I354)</f>
        <v>-2.5454545454545465E-3</v>
      </c>
      <c r="J344" s="16">
        <f>AVERAGE(ReturnData!J344:J354)</f>
        <v>-1.0736363636363627E-2</v>
      </c>
      <c r="K344" s="16">
        <f>AVERAGE(ReturnData!K344:K354)</f>
        <v>-1.0763636363636369E-2</v>
      </c>
      <c r="L344" s="16">
        <f>AVERAGE(ReturnData!L344:L354)</f>
        <v>1.1318181818181818E-2</v>
      </c>
      <c r="M344" s="16">
        <f>AVERAGE(ReturnData!M344:M354)</f>
        <v>-1.4899999999999991E-2</v>
      </c>
      <c r="N344" s="16">
        <f>AVERAGE(ReturnData!N344:N354)</f>
        <v>-9.6090909090909057E-3</v>
      </c>
      <c r="O344" s="16">
        <f>AVERAGE(ReturnData!O344:O354)</f>
        <v>-2.4545454545454745E-4</v>
      </c>
      <c r="P344" s="16">
        <f>AVERAGE(ReturnData!P344:P354)</f>
        <v>-6.8727272727272777E-3</v>
      </c>
      <c r="Q344" s="16">
        <f>AVERAGE(ReturnData!Q344:Q354)</f>
        <v>2.8363636363636364E-3</v>
      </c>
    </row>
    <row r="345" spans="1:17" x14ac:dyDescent="0.25">
      <c r="A345">
        <f>ReturnData!A357</f>
        <v>200308</v>
      </c>
      <c r="B345" s="16">
        <f>AVERAGE(ReturnData!B345:B355)</f>
        <v>1.963636363636364E-3</v>
      </c>
      <c r="C345" s="16">
        <f>AVERAGE(ReturnData!C345:C355)</f>
        <v>2.3018181818181823E-2</v>
      </c>
      <c r="D345" s="16">
        <f>AVERAGE(ReturnData!D345:D355)</f>
        <v>6.7454545454545458E-3</v>
      </c>
      <c r="E345" s="16">
        <f>AVERAGE(ReturnData!E345:E355)</f>
        <v>1.0436363636363636E-2</v>
      </c>
      <c r="F345" s="16">
        <f>AVERAGE(ReturnData!F345:F355)</f>
        <v>4.8909090909090925E-3</v>
      </c>
      <c r="G345" s="16">
        <f>AVERAGE(ReturnData!G345:G355)</f>
        <v>4.7636363636363623E-3</v>
      </c>
      <c r="H345" s="16">
        <f>AVERAGE(ReturnData!H345:H355)</f>
        <v>1.1663636363636364E-2</v>
      </c>
      <c r="I345" s="16">
        <f>AVERAGE(ReturnData!I345:I355)</f>
        <v>1.000909090909091E-2</v>
      </c>
      <c r="J345" s="16">
        <f>AVERAGE(ReturnData!J345:J355)</f>
        <v>9.745454545454545E-3</v>
      </c>
      <c r="K345" s="16">
        <f>AVERAGE(ReturnData!K345:K355)</f>
        <v>2.6363636363636363E-3</v>
      </c>
      <c r="L345" s="16">
        <f>AVERAGE(ReturnData!L345:L355)</f>
        <v>1.9945454545454544E-2</v>
      </c>
      <c r="M345" s="16">
        <f>AVERAGE(ReturnData!M345:M355)</f>
        <v>-2.7545454545454518E-3</v>
      </c>
      <c r="N345" s="16">
        <f>AVERAGE(ReturnData!N345:N355)</f>
        <v>1.0909090909090717E-4</v>
      </c>
      <c r="O345" s="16">
        <f>AVERAGE(ReturnData!O345:O355)</f>
        <v>1.1454545454545455E-2</v>
      </c>
      <c r="P345" s="16">
        <f>AVERAGE(ReturnData!P345:P355)</f>
        <v>6.4909090909090889E-3</v>
      </c>
      <c r="Q345" s="16">
        <f>AVERAGE(ReturnData!Q345:Q355)</f>
        <v>9.8272727272727296E-3</v>
      </c>
    </row>
    <row r="346" spans="1:17" x14ac:dyDescent="0.25">
      <c r="A346">
        <f>ReturnData!A358</f>
        <v>200309</v>
      </c>
      <c r="B346" s="16">
        <f>AVERAGE(ReturnData!B346:B356)</f>
        <v>1.0545454545454549E-3</v>
      </c>
      <c r="C346" s="16">
        <f>AVERAGE(ReturnData!C346:C356)</f>
        <v>2.1954545454545452E-2</v>
      </c>
      <c r="D346" s="16">
        <f>AVERAGE(ReturnData!D346:D356)</f>
        <v>3.9454545454545463E-3</v>
      </c>
      <c r="E346" s="16">
        <f>AVERAGE(ReturnData!E346:E356)</f>
        <v>1.600909090909091E-2</v>
      </c>
      <c r="F346" s="16">
        <f>AVERAGE(ReturnData!F346:F356)</f>
        <v>4.1909090909090915E-3</v>
      </c>
      <c r="G346" s="16">
        <f>AVERAGE(ReturnData!G346:G356)</f>
        <v>1.029090909090909E-2</v>
      </c>
      <c r="H346" s="16">
        <f>AVERAGE(ReturnData!H346:H356)</f>
        <v>6.3545454545454539E-3</v>
      </c>
      <c r="I346" s="16">
        <f>AVERAGE(ReturnData!I346:I356)</f>
        <v>8.2454545454545437E-3</v>
      </c>
      <c r="J346" s="16">
        <f>AVERAGE(ReturnData!J346:J356)</f>
        <v>2.0472727272727274E-2</v>
      </c>
      <c r="K346" s="16">
        <f>AVERAGE(ReturnData!K346:K356)</f>
        <v>5.909090909090909E-3</v>
      </c>
      <c r="L346" s="16">
        <f>AVERAGE(ReturnData!L346:L356)</f>
        <v>3.1490909090909083E-2</v>
      </c>
      <c r="M346" s="16">
        <f>AVERAGE(ReturnData!M346:M356)</f>
        <v>4.0454545454545491E-3</v>
      </c>
      <c r="N346" s="16">
        <f>AVERAGE(ReturnData!N346:N356)</f>
        <v>7.4909090909090889E-3</v>
      </c>
      <c r="O346" s="16">
        <f>AVERAGE(ReturnData!O346:O356)</f>
        <v>3.6727272727272733E-3</v>
      </c>
      <c r="P346" s="16">
        <f>AVERAGE(ReturnData!P346:P356)</f>
        <v>9.972727272727272E-3</v>
      </c>
      <c r="Q346" s="16">
        <f>AVERAGE(ReturnData!Q346:Q356)</f>
        <v>1.1736363636363639E-2</v>
      </c>
    </row>
    <row r="347" spans="1:17" x14ac:dyDescent="0.25">
      <c r="A347">
        <f>ReturnData!A359</f>
        <v>200310</v>
      </c>
      <c r="B347" s="16">
        <f>AVERAGE(ReturnData!B347:B357)</f>
        <v>4.9090909090909107E-3</v>
      </c>
      <c r="C347" s="16">
        <f>AVERAGE(ReturnData!C347:C357)</f>
        <v>3.6790909090909096E-2</v>
      </c>
      <c r="D347" s="16">
        <f>AVERAGE(ReturnData!D347:D357)</f>
        <v>1.6954545454545458E-2</v>
      </c>
      <c r="E347" s="16">
        <f>AVERAGE(ReturnData!E347:E357)</f>
        <v>2.6200000000000001E-2</v>
      </c>
      <c r="F347" s="16">
        <f>AVERAGE(ReturnData!F347:F357)</f>
        <v>1.8263636363636364E-2</v>
      </c>
      <c r="G347" s="16">
        <f>AVERAGE(ReturnData!G347:G357)</f>
        <v>2.1581818181818178E-2</v>
      </c>
      <c r="H347" s="16">
        <f>AVERAGE(ReturnData!H347:H357)</f>
        <v>1.0845454545454547E-2</v>
      </c>
      <c r="I347" s="16">
        <f>AVERAGE(ReturnData!I347:I357)</f>
        <v>2.5081818181818181E-2</v>
      </c>
      <c r="J347" s="16">
        <f>AVERAGE(ReturnData!J347:J357)</f>
        <v>4.1463636363636362E-2</v>
      </c>
      <c r="K347" s="16">
        <f>AVERAGE(ReturnData!K347:K357)</f>
        <v>1.7218181818181817E-2</v>
      </c>
      <c r="L347" s="16">
        <f>AVERAGE(ReturnData!L347:L357)</f>
        <v>5.3663636363636358E-2</v>
      </c>
      <c r="M347" s="16">
        <f>AVERAGE(ReturnData!M347:M357)</f>
        <v>2.0536363636363637E-2</v>
      </c>
      <c r="N347" s="16">
        <f>AVERAGE(ReturnData!N347:N357)</f>
        <v>1.6736363636363636E-2</v>
      </c>
      <c r="O347" s="16">
        <f>AVERAGE(ReturnData!O347:O357)</f>
        <v>1.5272727272727271E-2</v>
      </c>
      <c r="P347" s="16">
        <f>AVERAGE(ReturnData!P347:P357)</f>
        <v>2.5181818181818184E-2</v>
      </c>
      <c r="Q347" s="16">
        <f>AVERAGE(ReturnData!Q347:Q357)</f>
        <v>2.072727272727273E-2</v>
      </c>
    </row>
    <row r="348" spans="1:17" x14ac:dyDescent="0.25">
      <c r="A348">
        <f>ReturnData!A360</f>
        <v>200311</v>
      </c>
      <c r="B348" s="16">
        <f>AVERAGE(ReturnData!B348:B358)</f>
        <v>1.0454545454545458E-3</v>
      </c>
      <c r="C348" s="16">
        <f>AVERAGE(ReturnData!C348:C358)</f>
        <v>4.2445454545454557E-2</v>
      </c>
      <c r="D348" s="16">
        <f>AVERAGE(ReturnData!D348:D358)</f>
        <v>1.2136363636363638E-2</v>
      </c>
      <c r="E348" s="16">
        <f>AVERAGE(ReturnData!E348:E358)</f>
        <v>1.670909090909091E-2</v>
      </c>
      <c r="F348" s="16">
        <f>AVERAGE(ReturnData!F348:F358)</f>
        <v>9.5545454545454562E-3</v>
      </c>
      <c r="G348" s="16">
        <f>AVERAGE(ReturnData!G348:G358)</f>
        <v>1.1063636363636364E-2</v>
      </c>
      <c r="H348" s="16">
        <f>AVERAGE(ReturnData!H348:H358)</f>
        <v>6.463636363636365E-3</v>
      </c>
      <c r="I348" s="16">
        <f>AVERAGE(ReturnData!I348:I358)</f>
        <v>1.948181818181818E-2</v>
      </c>
      <c r="J348" s="16">
        <f>AVERAGE(ReturnData!J348:J358)</f>
        <v>3.2754545454545453E-2</v>
      </c>
      <c r="K348" s="16">
        <f>AVERAGE(ReturnData!K348:K358)</f>
        <v>1.229090909090909E-2</v>
      </c>
      <c r="L348" s="16">
        <f>AVERAGE(ReturnData!L348:L358)</f>
        <v>3.6545454545454541E-2</v>
      </c>
      <c r="M348" s="16">
        <f>AVERAGE(ReturnData!M348:M358)</f>
        <v>2.0881818181818182E-2</v>
      </c>
      <c r="N348" s="16">
        <f>AVERAGE(ReturnData!N348:N358)</f>
        <v>1.2227272727272726E-2</v>
      </c>
      <c r="O348" s="16">
        <f>AVERAGE(ReturnData!O348:O358)</f>
        <v>1.9336363636363634E-2</v>
      </c>
      <c r="P348" s="16">
        <f>AVERAGE(ReturnData!P348:P358)</f>
        <v>1.4845454545454544E-2</v>
      </c>
      <c r="Q348" s="16">
        <f>AVERAGE(ReturnData!Q348:Q358)</f>
        <v>1.4654545454545455E-2</v>
      </c>
    </row>
    <row r="349" spans="1:17" x14ac:dyDescent="0.25">
      <c r="A349">
        <f>ReturnData!A361</f>
        <v>200312</v>
      </c>
      <c r="B349" s="16">
        <f>AVERAGE(ReturnData!B349:B359)</f>
        <v>6.463636363636365E-3</v>
      </c>
      <c r="C349" s="16">
        <f>AVERAGE(ReturnData!C349:C359)</f>
        <v>4.998181818181819E-2</v>
      </c>
      <c r="D349" s="16">
        <f>AVERAGE(ReturnData!D349:D359)</f>
        <v>1.0863636363636364E-2</v>
      </c>
      <c r="E349" s="16">
        <f>AVERAGE(ReturnData!E349:E359)</f>
        <v>2.1172727272727274E-2</v>
      </c>
      <c r="F349" s="16">
        <f>AVERAGE(ReturnData!F349:F359)</f>
        <v>8.5181818181818154E-3</v>
      </c>
      <c r="G349" s="16">
        <f>AVERAGE(ReturnData!G349:G359)</f>
        <v>8.1727272727272742E-3</v>
      </c>
      <c r="H349" s="16">
        <f>AVERAGE(ReturnData!H349:H359)</f>
        <v>6.0272727272727275E-3</v>
      </c>
      <c r="I349" s="16">
        <f>AVERAGE(ReturnData!I349:I359)</f>
        <v>3.0627272727272725E-2</v>
      </c>
      <c r="J349" s="16">
        <f>AVERAGE(ReturnData!J349:J359)</f>
        <v>3.3690909090909098E-2</v>
      </c>
      <c r="K349" s="16">
        <f>AVERAGE(ReturnData!K349:K359)</f>
        <v>1.7490909090909088E-2</v>
      </c>
      <c r="L349" s="16">
        <f>AVERAGE(ReturnData!L349:L359)</f>
        <v>3.0927272727272723E-2</v>
      </c>
      <c r="M349" s="16">
        <f>AVERAGE(ReturnData!M349:M359)</f>
        <v>1.7236363636363636E-2</v>
      </c>
      <c r="N349" s="16">
        <f>AVERAGE(ReturnData!N349:N359)</f>
        <v>1.7427272727272729E-2</v>
      </c>
      <c r="O349" s="16">
        <f>AVERAGE(ReturnData!O349:O359)</f>
        <v>1.9281818181818181E-2</v>
      </c>
      <c r="P349" s="16">
        <f>AVERAGE(ReturnData!P349:P359)</f>
        <v>1.900909090909091E-2</v>
      </c>
      <c r="Q349" s="16">
        <f>AVERAGE(ReturnData!Q349:Q359)</f>
        <v>1.8054545454545455E-2</v>
      </c>
    </row>
    <row r="350" spans="1:17" x14ac:dyDescent="0.25">
      <c r="A350">
        <f>ReturnData!A362</f>
        <v>200401</v>
      </c>
      <c r="B350" s="16">
        <f>AVERAGE(ReturnData!B350:B360)</f>
        <v>9.8000000000000014E-3</v>
      </c>
      <c r="C350" s="16">
        <f>AVERAGE(ReturnData!C350:C360)</f>
        <v>4.7436363636363638E-2</v>
      </c>
      <c r="D350" s="16">
        <f>AVERAGE(ReturnData!D350:D360)</f>
        <v>1.0763636363636364E-2</v>
      </c>
      <c r="E350" s="16">
        <f>AVERAGE(ReturnData!E350:E360)</f>
        <v>2.8290909090909089E-2</v>
      </c>
      <c r="F350" s="16">
        <f>AVERAGE(ReturnData!F350:F360)</f>
        <v>1.3454545454545453E-2</v>
      </c>
      <c r="G350" s="16">
        <f>AVERAGE(ReturnData!G350:G360)</f>
        <v>1.5018181818181819E-2</v>
      </c>
      <c r="H350" s="16">
        <f>AVERAGE(ReturnData!H350:H360)</f>
        <v>1.0672727272727273E-2</v>
      </c>
      <c r="I350" s="16">
        <f>AVERAGE(ReturnData!I350:I360)</f>
        <v>3.6499999999999998E-2</v>
      </c>
      <c r="J350" s="16">
        <f>AVERAGE(ReturnData!J350:J360)</f>
        <v>4.6263636363636368E-2</v>
      </c>
      <c r="K350" s="16">
        <f>AVERAGE(ReturnData!K350:K360)</f>
        <v>2.4509090909090911E-2</v>
      </c>
      <c r="L350" s="16">
        <f>AVERAGE(ReturnData!L350:L360)</f>
        <v>4.7399999999999998E-2</v>
      </c>
      <c r="M350" s="16">
        <f>AVERAGE(ReturnData!M350:M360)</f>
        <v>2.7336363636363634E-2</v>
      </c>
      <c r="N350" s="16">
        <f>AVERAGE(ReturnData!N350:N360)</f>
        <v>1.7336363636363636E-2</v>
      </c>
      <c r="O350" s="16">
        <f>AVERAGE(ReturnData!O350:O360)</f>
        <v>1.6654545454545453E-2</v>
      </c>
      <c r="P350" s="16">
        <f>AVERAGE(ReturnData!P350:P360)</f>
        <v>2.5981818181818182E-2</v>
      </c>
      <c r="Q350" s="16">
        <f>AVERAGE(ReturnData!Q350:Q360)</f>
        <v>2.2790909090909094E-2</v>
      </c>
    </row>
    <row r="351" spans="1:17" x14ac:dyDescent="0.25">
      <c r="A351">
        <f>ReturnData!A363</f>
        <v>200402</v>
      </c>
      <c r="B351" s="16">
        <f>AVERAGE(ReturnData!B351:B361)</f>
        <v>1.7036363636363638E-2</v>
      </c>
      <c r="C351" s="16">
        <f>AVERAGE(ReturnData!C351:C361)</f>
        <v>5.7390909090909097E-2</v>
      </c>
      <c r="D351" s="16">
        <f>AVERAGE(ReturnData!D351:D361)</f>
        <v>2.5127272727272724E-2</v>
      </c>
      <c r="E351" s="16">
        <f>AVERAGE(ReturnData!E351:E361)</f>
        <v>3.3099999999999997E-2</v>
      </c>
      <c r="F351" s="16">
        <f>AVERAGE(ReturnData!F351:F361)</f>
        <v>2.001818181818182E-2</v>
      </c>
      <c r="G351" s="16">
        <f>AVERAGE(ReturnData!G351:G361)</f>
        <v>2.9100000000000004E-2</v>
      </c>
      <c r="H351" s="16">
        <f>AVERAGE(ReturnData!H351:H361)</f>
        <v>1.6854545454545455E-2</v>
      </c>
      <c r="I351" s="16">
        <f>AVERAGE(ReturnData!I351:I361)</f>
        <v>4.3290909090909095E-2</v>
      </c>
      <c r="J351" s="16">
        <f>AVERAGE(ReturnData!J351:J361)</f>
        <v>6.0272727272727276E-2</v>
      </c>
      <c r="K351" s="16">
        <f>AVERAGE(ReturnData!K351:K361)</f>
        <v>3.7154545454545447E-2</v>
      </c>
      <c r="L351" s="16">
        <f>AVERAGE(ReturnData!L351:L361)</f>
        <v>4.993636363636364E-2</v>
      </c>
      <c r="M351" s="16">
        <f>AVERAGE(ReturnData!M351:M361)</f>
        <v>4.1381818181818186E-2</v>
      </c>
      <c r="N351" s="16">
        <f>AVERAGE(ReturnData!N351:N361)</f>
        <v>2.7109090909090913E-2</v>
      </c>
      <c r="O351" s="16">
        <f>AVERAGE(ReturnData!O351:O361)</f>
        <v>2.4945454545454545E-2</v>
      </c>
      <c r="P351" s="16">
        <f>AVERAGE(ReturnData!P351:P361)</f>
        <v>2.7109090909090913E-2</v>
      </c>
      <c r="Q351" s="16">
        <f>AVERAGE(ReturnData!Q351:Q361)</f>
        <v>2.8000000000000001E-2</v>
      </c>
    </row>
    <row r="352" spans="1:17" x14ac:dyDescent="0.25">
      <c r="A352">
        <f>ReturnData!A364</f>
        <v>200403</v>
      </c>
      <c r="B352" s="16">
        <f>AVERAGE(ReturnData!B352:B362)</f>
        <v>2.0154545454545456E-2</v>
      </c>
      <c r="C352" s="16">
        <f>AVERAGE(ReturnData!C352:C362)</f>
        <v>5.1972727272727282E-2</v>
      </c>
      <c r="D352" s="16">
        <f>AVERAGE(ReturnData!D352:D362)</f>
        <v>2.3754545454545452E-2</v>
      </c>
      <c r="E352" s="16">
        <f>AVERAGE(ReturnData!E352:E362)</f>
        <v>3.4545454545454539E-2</v>
      </c>
      <c r="F352" s="16">
        <f>AVERAGE(ReturnData!F352:F362)</f>
        <v>2.4272727272727276E-2</v>
      </c>
      <c r="G352" s="16">
        <f>AVERAGE(ReturnData!G352:G362)</f>
        <v>3.1445454545454547E-2</v>
      </c>
      <c r="H352" s="16">
        <f>AVERAGE(ReturnData!H352:H362)</f>
        <v>2.0872727272727272E-2</v>
      </c>
      <c r="I352" s="16">
        <f>AVERAGE(ReturnData!I352:I362)</f>
        <v>3.7145454545454544E-2</v>
      </c>
      <c r="J352" s="16">
        <f>AVERAGE(ReturnData!J352:J362)</f>
        <v>5.8272727272727275E-2</v>
      </c>
      <c r="K352" s="16">
        <f>AVERAGE(ReturnData!K352:K362)</f>
        <v>3.7063636363636361E-2</v>
      </c>
      <c r="L352" s="16">
        <f>AVERAGE(ReturnData!L352:L362)</f>
        <v>4.9090909090909081E-2</v>
      </c>
      <c r="M352" s="16">
        <f>AVERAGE(ReturnData!M352:M362)</f>
        <v>4.4299999999999999E-2</v>
      </c>
      <c r="N352" s="16">
        <f>AVERAGE(ReturnData!N352:N362)</f>
        <v>3.1172727272727265E-2</v>
      </c>
      <c r="O352" s="16">
        <f>AVERAGE(ReturnData!O352:O362)</f>
        <v>3.0290909090909087E-2</v>
      </c>
      <c r="P352" s="16">
        <f>AVERAGE(ReturnData!P352:P362)</f>
        <v>2.9672727272727274E-2</v>
      </c>
      <c r="Q352" s="16">
        <f>AVERAGE(ReturnData!Q352:Q362)</f>
        <v>3.4054545454545455E-2</v>
      </c>
    </row>
    <row r="353" spans="1:17" x14ac:dyDescent="0.25">
      <c r="A353">
        <f>ReturnData!A365</f>
        <v>200404</v>
      </c>
      <c r="B353" s="16">
        <f>AVERAGE(ReturnData!B353:B363)</f>
        <v>2.4409090909090912E-2</v>
      </c>
      <c r="C353" s="16">
        <f>AVERAGE(ReturnData!C353:C363)</f>
        <v>6.0590909090909098E-2</v>
      </c>
      <c r="D353" s="16">
        <f>AVERAGE(ReturnData!D353:D363)</f>
        <v>2.642727272727273E-2</v>
      </c>
      <c r="E353" s="16">
        <f>AVERAGE(ReturnData!E353:E363)</f>
        <v>3.5772727272727275E-2</v>
      </c>
      <c r="F353" s="16">
        <f>AVERAGE(ReturnData!F353:F363)</f>
        <v>2.5909090909090913E-2</v>
      </c>
      <c r="G353" s="16">
        <f>AVERAGE(ReturnData!G353:G363)</f>
        <v>3.0436363636363629E-2</v>
      </c>
      <c r="H353" s="16">
        <f>AVERAGE(ReturnData!H353:H363)</f>
        <v>2.0081818181818183E-2</v>
      </c>
      <c r="I353" s="16">
        <f>AVERAGE(ReturnData!I353:I363)</f>
        <v>3.9854545454545462E-2</v>
      </c>
      <c r="J353" s="16">
        <f>AVERAGE(ReturnData!J353:J363)</f>
        <v>6.7000000000000004E-2</v>
      </c>
      <c r="K353" s="16">
        <f>AVERAGE(ReturnData!K353:K363)</f>
        <v>4.1427272727272729E-2</v>
      </c>
      <c r="L353" s="16">
        <f>AVERAGE(ReturnData!L353:L363)</f>
        <v>4.8809090909090906E-2</v>
      </c>
      <c r="M353" s="16">
        <f>AVERAGE(ReturnData!M353:M363)</f>
        <v>4.6299999999999987E-2</v>
      </c>
      <c r="N353" s="16">
        <f>AVERAGE(ReturnData!N353:N363)</f>
        <v>3.0163636363636361E-2</v>
      </c>
      <c r="O353" s="16">
        <f>AVERAGE(ReturnData!O353:O363)</f>
        <v>2.8290909090909092E-2</v>
      </c>
      <c r="P353" s="16">
        <f>AVERAGE(ReturnData!P353:P363)</f>
        <v>3.1290909090909091E-2</v>
      </c>
      <c r="Q353" s="16">
        <f>AVERAGE(ReturnData!Q353:Q363)</f>
        <v>3.6509090909090915E-2</v>
      </c>
    </row>
    <row r="354" spans="1:17" x14ac:dyDescent="0.25">
      <c r="A354">
        <f>ReturnData!A366</f>
        <v>200405</v>
      </c>
      <c r="B354" s="16">
        <f>AVERAGE(ReturnData!B354:B364)</f>
        <v>2.1718181818181817E-2</v>
      </c>
      <c r="C354" s="16">
        <f>AVERAGE(ReturnData!C354:C364)</f>
        <v>5.9009090909090921E-2</v>
      </c>
      <c r="D354" s="16">
        <f>AVERAGE(ReturnData!D354:D364)</f>
        <v>2.6727272727272731E-2</v>
      </c>
      <c r="E354" s="16">
        <f>AVERAGE(ReturnData!E354:E364)</f>
        <v>3.0536363636363639E-2</v>
      </c>
      <c r="F354" s="16">
        <f>AVERAGE(ReturnData!F354:F364)</f>
        <v>1.7081818181818181E-2</v>
      </c>
      <c r="G354" s="16">
        <f>AVERAGE(ReturnData!G354:G364)</f>
        <v>1.9800000000000002E-2</v>
      </c>
      <c r="H354" s="16">
        <f>AVERAGE(ReturnData!H354:H364)</f>
        <v>1.3245454545454548E-2</v>
      </c>
      <c r="I354" s="16">
        <f>AVERAGE(ReturnData!I354:I364)</f>
        <v>3.3454545454545459E-2</v>
      </c>
      <c r="J354" s="16">
        <f>AVERAGE(ReturnData!J354:J364)</f>
        <v>5.3609090909090898E-2</v>
      </c>
      <c r="K354" s="16">
        <f>AVERAGE(ReturnData!K354:K364)</f>
        <v>3.731818181818182E-2</v>
      </c>
      <c r="L354" s="16">
        <f>AVERAGE(ReturnData!L354:L364)</f>
        <v>3.6972727272727275E-2</v>
      </c>
      <c r="M354" s="16">
        <f>AVERAGE(ReturnData!M354:M364)</f>
        <v>2.9672727272727274E-2</v>
      </c>
      <c r="N354" s="16">
        <f>AVERAGE(ReturnData!N354:N364)</f>
        <v>1.9436363636363637E-2</v>
      </c>
      <c r="O354" s="16">
        <f>AVERAGE(ReturnData!O354:O364)</f>
        <v>2.2681818181818181E-2</v>
      </c>
      <c r="P354" s="16">
        <f>AVERAGE(ReturnData!P354:P364)</f>
        <v>2.2745454545454544E-2</v>
      </c>
      <c r="Q354" s="16">
        <f>AVERAGE(ReturnData!Q354:Q364)</f>
        <v>2.577272727272727E-2</v>
      </c>
    </row>
    <row r="355" spans="1:17" x14ac:dyDescent="0.25">
      <c r="A355">
        <f>ReturnData!A367</f>
        <v>200406</v>
      </c>
      <c r="B355" s="16">
        <f>AVERAGE(ReturnData!B355:B365)</f>
        <v>1.6936363636363638E-2</v>
      </c>
      <c r="C355" s="16">
        <f>AVERAGE(ReturnData!C355:C365)</f>
        <v>3.3527272727272732E-2</v>
      </c>
      <c r="D355" s="16">
        <f>AVERAGE(ReturnData!D355:D365)</f>
        <v>2.1427272727272729E-2</v>
      </c>
      <c r="E355" s="16">
        <f>AVERAGE(ReturnData!E355:E365)</f>
        <v>2.524545454545455E-2</v>
      </c>
      <c r="F355" s="16">
        <f>AVERAGE(ReturnData!F355:F365)</f>
        <v>9.3727272727272722E-3</v>
      </c>
      <c r="G355" s="16">
        <f>AVERAGE(ReturnData!G355:G365)</f>
        <v>1.8354545454545453E-2</v>
      </c>
      <c r="H355" s="16">
        <f>AVERAGE(ReturnData!H355:H365)</f>
        <v>1.3227272727272726E-2</v>
      </c>
      <c r="I355" s="16">
        <f>AVERAGE(ReturnData!I355:I365)</f>
        <v>1.9890909090909091E-2</v>
      </c>
      <c r="J355" s="16">
        <f>AVERAGE(ReturnData!J355:J365)</f>
        <v>3.3763636363636371E-2</v>
      </c>
      <c r="K355" s="16">
        <f>AVERAGE(ReturnData!K355:K365)</f>
        <v>3.267272727272727E-2</v>
      </c>
      <c r="L355" s="16">
        <f>AVERAGE(ReturnData!L355:L365)</f>
        <v>1.9436363636363637E-2</v>
      </c>
      <c r="M355" s="16">
        <f>AVERAGE(ReturnData!M355:M365)</f>
        <v>3.1072727272727266E-2</v>
      </c>
      <c r="N355" s="16">
        <f>AVERAGE(ReturnData!N355:N365)</f>
        <v>1.5336363636363638E-2</v>
      </c>
      <c r="O355" s="16">
        <f>AVERAGE(ReturnData!O355:O365)</f>
        <v>1.0245454545454545E-2</v>
      </c>
      <c r="P355" s="16">
        <f>AVERAGE(ReturnData!P355:P365)</f>
        <v>1.8227272727272727E-2</v>
      </c>
      <c r="Q355" s="16">
        <f>AVERAGE(ReturnData!Q355:Q365)</f>
        <v>1.6654545454545453E-2</v>
      </c>
    </row>
    <row r="356" spans="1:17" x14ac:dyDescent="0.25">
      <c r="A356">
        <f>ReturnData!A368</f>
        <v>200407</v>
      </c>
      <c r="B356" s="16">
        <f>AVERAGE(ReturnData!B356:B366)</f>
        <v>1.6172727272727273E-2</v>
      </c>
      <c r="C356" s="16">
        <f>AVERAGE(ReturnData!C356:C366)</f>
        <v>3.3418181818181819E-2</v>
      </c>
      <c r="D356" s="16">
        <f>AVERAGE(ReturnData!D356:D366)</f>
        <v>2.2827272727272727E-2</v>
      </c>
      <c r="E356" s="16">
        <f>AVERAGE(ReturnData!E356:E366)</f>
        <v>2.5681818181818184E-2</v>
      </c>
      <c r="F356" s="16">
        <f>AVERAGE(ReturnData!F356:F366)</f>
        <v>1.1727272727272727E-2</v>
      </c>
      <c r="G356" s="16">
        <f>AVERAGE(ReturnData!G356:G366)</f>
        <v>2.0372727272727278E-2</v>
      </c>
      <c r="H356" s="16">
        <f>AVERAGE(ReturnData!H356:H366)</f>
        <v>7.6272727272727265E-3</v>
      </c>
      <c r="I356" s="16">
        <f>AVERAGE(ReturnData!I356:I366)</f>
        <v>2.1109090909090907E-2</v>
      </c>
      <c r="J356" s="16">
        <f>AVERAGE(ReturnData!J356:J366)</f>
        <v>3.7127272727272738E-2</v>
      </c>
      <c r="K356" s="16">
        <f>AVERAGE(ReturnData!K356:K366)</f>
        <v>3.2472727272727278E-2</v>
      </c>
      <c r="L356" s="16">
        <f>AVERAGE(ReturnData!L356:L366)</f>
        <v>2.4527272727272727E-2</v>
      </c>
      <c r="M356" s="16">
        <f>AVERAGE(ReturnData!M356:M366)</f>
        <v>2.8436363636363635E-2</v>
      </c>
      <c r="N356" s="16">
        <f>AVERAGE(ReturnData!N356:N366)</f>
        <v>1.4536363636363635E-2</v>
      </c>
      <c r="O356" s="16">
        <f>AVERAGE(ReturnData!O356:O366)</f>
        <v>1.0709090909090909E-2</v>
      </c>
      <c r="P356" s="16">
        <f>AVERAGE(ReturnData!P356:P366)</f>
        <v>1.5154545454545454E-2</v>
      </c>
      <c r="Q356" s="16">
        <f>AVERAGE(ReturnData!Q356:Q366)</f>
        <v>1.7500000000000002E-2</v>
      </c>
    </row>
    <row r="357" spans="1:17" x14ac:dyDescent="0.25">
      <c r="A357">
        <f>ReturnData!A369</f>
        <v>200408</v>
      </c>
      <c r="B357" s="16">
        <f>AVERAGE(ReturnData!B357:B367)</f>
        <v>1.7545454545454545E-2</v>
      </c>
      <c r="C357" s="16">
        <f>AVERAGE(ReturnData!C357:C367)</f>
        <v>3.1281818181818188E-2</v>
      </c>
      <c r="D357" s="16">
        <f>AVERAGE(ReturnData!D357:D367)</f>
        <v>2.9972727272727272E-2</v>
      </c>
      <c r="E357" s="16">
        <f>AVERAGE(ReturnData!E357:E367)</f>
        <v>2.5045454545454541E-2</v>
      </c>
      <c r="F357" s="16">
        <f>AVERAGE(ReturnData!F357:F367)</f>
        <v>1.169090909090909E-2</v>
      </c>
      <c r="G357" s="16">
        <f>AVERAGE(ReturnData!G357:G367)</f>
        <v>1.834545454545455E-2</v>
      </c>
      <c r="H357" s="16">
        <f>AVERAGE(ReturnData!H357:H367)</f>
        <v>9.9999999999999967E-3</v>
      </c>
      <c r="I357" s="16">
        <f>AVERAGE(ReturnData!I357:I367)</f>
        <v>2.128181818181818E-2</v>
      </c>
      <c r="J357" s="16">
        <f>AVERAGE(ReturnData!J357:J367)</f>
        <v>3.9345454545454552E-2</v>
      </c>
      <c r="K357" s="16">
        <f>AVERAGE(ReturnData!K357:K367)</f>
        <v>3.1454545454545457E-2</v>
      </c>
      <c r="L357" s="16">
        <f>AVERAGE(ReturnData!L357:L367)</f>
        <v>1.8163636363636358E-2</v>
      </c>
      <c r="M357" s="16">
        <f>AVERAGE(ReturnData!M357:M367)</f>
        <v>2.58E-2</v>
      </c>
      <c r="N357" s="16">
        <f>AVERAGE(ReturnData!N357:N367)</f>
        <v>1.8254545454545454E-2</v>
      </c>
      <c r="O357" s="16">
        <f>AVERAGE(ReturnData!O357:O367)</f>
        <v>1.7236363636363636E-2</v>
      </c>
      <c r="P357" s="16">
        <f>AVERAGE(ReturnData!P357:P367)</f>
        <v>1.0836363636363635E-2</v>
      </c>
      <c r="Q357" s="16">
        <f>AVERAGE(ReturnData!Q357:Q367)</f>
        <v>1.4036363636363637E-2</v>
      </c>
    </row>
    <row r="358" spans="1:17" x14ac:dyDescent="0.25">
      <c r="A358">
        <f>ReturnData!A370</f>
        <v>200409</v>
      </c>
      <c r="B358" s="16">
        <f>AVERAGE(ReturnData!B358:B368)</f>
        <v>1.1772727272727273E-2</v>
      </c>
      <c r="C358" s="16">
        <f>AVERAGE(ReturnData!C358:C368)</f>
        <v>2.4918181818181818E-2</v>
      </c>
      <c r="D358" s="16">
        <f>AVERAGE(ReturnData!D358:D368)</f>
        <v>2.7436363636363637E-2</v>
      </c>
      <c r="E358" s="16">
        <f>AVERAGE(ReturnData!E358:E368)</f>
        <v>1.5854545454545451E-2</v>
      </c>
      <c r="F358" s="16">
        <f>AVERAGE(ReturnData!F358:F368)</f>
        <v>2.0363636363636365E-3</v>
      </c>
      <c r="G358" s="16">
        <f>AVERAGE(ReturnData!G358:G368)</f>
        <v>1.3863636363636363E-2</v>
      </c>
      <c r="H358" s="16">
        <f>AVERAGE(ReturnData!H358:H368)</f>
        <v>6.8090909090909044E-3</v>
      </c>
      <c r="I358" s="16">
        <f>AVERAGE(ReturnData!I358:I368)</f>
        <v>1.1999999999999999E-2</v>
      </c>
      <c r="J358" s="16">
        <f>AVERAGE(ReturnData!J358:J368)</f>
        <v>3.4972727272727273E-2</v>
      </c>
      <c r="K358" s="16">
        <f>AVERAGE(ReturnData!K358:K368)</f>
        <v>2.3545454545454546E-2</v>
      </c>
      <c r="L358" s="16">
        <f>AVERAGE(ReturnData!L358:L368)</f>
        <v>2.3818181818181807E-3</v>
      </c>
      <c r="M358" s="16">
        <f>AVERAGE(ReturnData!M358:M368)</f>
        <v>1.3918181818181819E-2</v>
      </c>
      <c r="N358" s="16">
        <f>AVERAGE(ReturnData!N358:N368)</f>
        <v>1.3254545454545456E-2</v>
      </c>
      <c r="O358" s="16">
        <f>AVERAGE(ReturnData!O358:O368)</f>
        <v>1.6454545454545454E-2</v>
      </c>
      <c r="P358" s="16">
        <f>AVERAGE(ReturnData!P358:P368)</f>
        <v>2.045454545454546E-3</v>
      </c>
      <c r="Q358" s="16">
        <f>AVERAGE(ReturnData!Q358:Q368)</f>
        <v>1.2418181818181821E-2</v>
      </c>
    </row>
    <row r="359" spans="1:17" x14ac:dyDescent="0.25">
      <c r="A359">
        <f>ReturnData!A371</f>
        <v>200410</v>
      </c>
      <c r="B359" s="16">
        <f>AVERAGE(ReturnData!B359:B369)</f>
        <v>1.1418181818181817E-2</v>
      </c>
      <c r="C359" s="16">
        <f>AVERAGE(ReturnData!C359:C369)</f>
        <v>2.8318181818181819E-2</v>
      </c>
      <c r="D359" s="16">
        <f>AVERAGE(ReturnData!D359:D369)</f>
        <v>2.8172727272727273E-2</v>
      </c>
      <c r="E359" s="16">
        <f>AVERAGE(ReturnData!E359:E369)</f>
        <v>1.7418181818181815E-2</v>
      </c>
      <c r="F359" s="16">
        <f>AVERAGE(ReturnData!F359:F369)</f>
        <v>8.60909090909091E-3</v>
      </c>
      <c r="G359" s="16">
        <f>AVERAGE(ReturnData!G359:G369)</f>
        <v>2.2172727272727275E-2</v>
      </c>
      <c r="H359" s="16">
        <f>AVERAGE(ReturnData!H359:H369)</f>
        <v>7.418181818181816E-3</v>
      </c>
      <c r="I359" s="16">
        <f>AVERAGE(ReturnData!I359:I369)</f>
        <v>1.770909090909091E-2</v>
      </c>
      <c r="J359" s="16">
        <f>AVERAGE(ReturnData!J359:J369)</f>
        <v>3.7600000000000001E-2</v>
      </c>
      <c r="K359" s="16">
        <f>AVERAGE(ReturnData!K359:K369)</f>
        <v>2.5836363636363636E-2</v>
      </c>
      <c r="L359" s="16">
        <f>AVERAGE(ReturnData!L359:L369)</f>
        <v>5.7272727272727022E-4</v>
      </c>
      <c r="M359" s="16">
        <f>AVERAGE(ReturnData!M359:M369)</f>
        <v>1.5263636363636366E-2</v>
      </c>
      <c r="N359" s="16">
        <f>AVERAGE(ReturnData!N359:N369)</f>
        <v>1.6472727272727274E-2</v>
      </c>
      <c r="O359" s="16">
        <f>AVERAGE(ReturnData!O359:O369)</f>
        <v>1.6281818181818179E-2</v>
      </c>
      <c r="P359" s="16">
        <f>AVERAGE(ReturnData!P359:P369)</f>
        <v>5.4363636363636385E-3</v>
      </c>
      <c r="Q359" s="16">
        <f>AVERAGE(ReturnData!Q359:Q369)</f>
        <v>1.4727272727272729E-2</v>
      </c>
    </row>
    <row r="360" spans="1:17" x14ac:dyDescent="0.25">
      <c r="A360">
        <f>ReturnData!A372</f>
        <v>200411</v>
      </c>
      <c r="B360" s="16">
        <f>AVERAGE(ReturnData!B360:B370)</f>
        <v>4.1545454545454524E-3</v>
      </c>
      <c r="C360" s="16">
        <f>AVERAGE(ReturnData!C360:C370)</f>
        <v>2.2136363636363635E-2</v>
      </c>
      <c r="D360" s="16">
        <f>AVERAGE(ReturnData!D360:D370)</f>
        <v>3.4800000000000005E-2</v>
      </c>
      <c r="E360" s="16">
        <f>AVERAGE(ReturnData!E360:E370)</f>
        <v>9.9999999999999985E-3</v>
      </c>
      <c r="F360" s="16">
        <f>AVERAGE(ReturnData!F360:F370)</f>
        <v>4.7545454545454549E-3</v>
      </c>
      <c r="G360" s="16">
        <f>AVERAGE(ReturnData!G360:G370)</f>
        <v>2.0281818181818179E-2</v>
      </c>
      <c r="H360" s="16">
        <f>AVERAGE(ReturnData!H360:H370)</f>
        <v>2.3181818181818152E-3</v>
      </c>
      <c r="I360" s="16">
        <f>AVERAGE(ReturnData!I360:I370)</f>
        <v>1.1972727272727272E-2</v>
      </c>
      <c r="J360" s="16">
        <f>AVERAGE(ReturnData!J360:J370)</f>
        <v>2.7281818181818181E-2</v>
      </c>
      <c r="K360" s="16">
        <f>AVERAGE(ReturnData!K360:K370)</f>
        <v>1.9563636363636363E-2</v>
      </c>
      <c r="L360" s="16">
        <f>AVERAGE(ReturnData!L360:L370)</f>
        <v>-9.0181818181818158E-3</v>
      </c>
      <c r="M360" s="16">
        <f>AVERAGE(ReturnData!M360:M370)</f>
        <v>9.8090909090909114E-3</v>
      </c>
      <c r="N360" s="16">
        <f>AVERAGE(ReturnData!N360:N370)</f>
        <v>9.9272727272727273E-3</v>
      </c>
      <c r="O360" s="16">
        <f>AVERAGE(ReturnData!O360:O370)</f>
        <v>1.6163636363636359E-2</v>
      </c>
      <c r="P360" s="16">
        <f>AVERAGE(ReturnData!P360:P370)</f>
        <v>-5.3636363636363593E-4</v>
      </c>
      <c r="Q360" s="16">
        <f>AVERAGE(ReturnData!Q360:Q370)</f>
        <v>8.5090909090909123E-3</v>
      </c>
    </row>
    <row r="361" spans="1:17" x14ac:dyDescent="0.25">
      <c r="A361">
        <f>ReturnData!A373</f>
        <v>200412</v>
      </c>
      <c r="B361" s="16">
        <f>AVERAGE(ReturnData!B361:B371)</f>
        <v>4.4727272727272714E-3</v>
      </c>
      <c r="C361" s="16">
        <f>AVERAGE(ReturnData!C361:C371)</f>
        <v>1.2699999999999999E-2</v>
      </c>
      <c r="D361" s="16">
        <f>AVERAGE(ReturnData!D361:D371)</f>
        <v>3.4809090909090908E-2</v>
      </c>
      <c r="E361" s="16">
        <f>AVERAGE(ReturnData!E361:E371)</f>
        <v>1.1972727272727272E-2</v>
      </c>
      <c r="F361" s="16">
        <f>AVERAGE(ReturnData!F361:F371)</f>
        <v>3.654545454545455E-3</v>
      </c>
      <c r="G361" s="16">
        <f>AVERAGE(ReturnData!G361:G371)</f>
        <v>1.7909090909090909E-2</v>
      </c>
      <c r="H361" s="16">
        <f>AVERAGE(ReturnData!H361:H371)</f>
        <v>-1.6000000000000016E-3</v>
      </c>
      <c r="I361" s="16">
        <f>AVERAGE(ReturnData!I361:I371)</f>
        <v>1.229090909090909E-2</v>
      </c>
      <c r="J361" s="16">
        <f>AVERAGE(ReturnData!J361:J371)</f>
        <v>2.0754545454545449E-2</v>
      </c>
      <c r="K361" s="16">
        <f>AVERAGE(ReturnData!K361:K371)</f>
        <v>2.0154545454545453E-2</v>
      </c>
      <c r="L361" s="16">
        <f>AVERAGE(ReturnData!L361:L371)</f>
        <v>-8.1818181818181807E-3</v>
      </c>
      <c r="M361" s="16">
        <f>AVERAGE(ReturnData!M361:M371)</f>
        <v>4.6909090909090902E-3</v>
      </c>
      <c r="N361" s="16">
        <f>AVERAGE(ReturnData!N361:N371)</f>
        <v>1.2918181818181818E-2</v>
      </c>
      <c r="O361" s="16">
        <f>AVERAGE(ReturnData!O361:O371)</f>
        <v>1.9154545454545452E-2</v>
      </c>
      <c r="P361" s="16">
        <f>AVERAGE(ReturnData!P361:P371)</f>
        <v>2.2272727272727275E-3</v>
      </c>
      <c r="Q361" s="16">
        <f>AVERAGE(ReturnData!Q361:Q371)</f>
        <v>8.2000000000000007E-3</v>
      </c>
    </row>
    <row r="362" spans="1:17" x14ac:dyDescent="0.25">
      <c r="A362">
        <f>ReturnData!A374</f>
        <v>200501</v>
      </c>
      <c r="B362" s="16">
        <f>AVERAGE(ReturnData!B362:B372)</f>
        <v>3.436363636363635E-3</v>
      </c>
      <c r="C362" s="16">
        <f>AVERAGE(ReturnData!C362:C372)</f>
        <v>1.4054545454545457E-2</v>
      </c>
      <c r="D362" s="16">
        <f>AVERAGE(ReturnData!D362:D372)</f>
        <v>2.8309090909090909E-2</v>
      </c>
      <c r="E362" s="16">
        <f>AVERAGE(ReturnData!E362:E372)</f>
        <v>1.4945454545454545E-2</v>
      </c>
      <c r="F362" s="16">
        <f>AVERAGE(ReturnData!F362:F372)</f>
        <v>9.3363636363636374E-3</v>
      </c>
      <c r="G362" s="16">
        <f>AVERAGE(ReturnData!G362:G372)</f>
        <v>1.719090909090909E-2</v>
      </c>
      <c r="H362" s="16">
        <f>AVERAGE(ReturnData!H362:H372)</f>
        <v>-4.9636363636363645E-3</v>
      </c>
      <c r="I362" s="16">
        <f>AVERAGE(ReturnData!I362:I372)</f>
        <v>1.5354545454545454E-2</v>
      </c>
      <c r="J362" s="16">
        <f>AVERAGE(ReturnData!J362:J372)</f>
        <v>2.2863636363636364E-2</v>
      </c>
      <c r="K362" s="16">
        <f>AVERAGE(ReturnData!K362:K372)</f>
        <v>2.2636363636363635E-2</v>
      </c>
      <c r="L362" s="16">
        <f>AVERAGE(ReturnData!L362:L372)</f>
        <v>-3.4181818181818163E-3</v>
      </c>
      <c r="M362" s="16">
        <f>AVERAGE(ReturnData!M362:M372)</f>
        <v>-1.2727272727272839E-4</v>
      </c>
      <c r="N362" s="16">
        <f>AVERAGE(ReturnData!N362:N372)</f>
        <v>1.3772727272727275E-2</v>
      </c>
      <c r="O362" s="16">
        <f>AVERAGE(ReturnData!O362:O372)</f>
        <v>1.828181818181818E-2</v>
      </c>
      <c r="P362" s="16">
        <f>AVERAGE(ReturnData!P362:P372)</f>
        <v>7.8545454545454543E-3</v>
      </c>
      <c r="Q362" s="16">
        <f>AVERAGE(ReturnData!Q362:Q372)</f>
        <v>8.6727272727272747E-3</v>
      </c>
    </row>
    <row r="363" spans="1:17" x14ac:dyDescent="0.25">
      <c r="A363">
        <f>ReturnData!A375</f>
        <v>200502</v>
      </c>
      <c r="B363" s="16">
        <f>AVERAGE(ReturnData!B363:B373)</f>
        <v>8.2181818181818172E-3</v>
      </c>
      <c r="C363" s="16">
        <f>AVERAGE(ReturnData!C363:C373)</f>
        <v>1.9845454545454541E-2</v>
      </c>
      <c r="D363" s="16">
        <f>AVERAGE(ReturnData!D363:D373)</f>
        <v>2.5936363636363643E-2</v>
      </c>
      <c r="E363" s="16">
        <f>AVERAGE(ReturnData!E363:E373)</f>
        <v>2.1390909090909089E-2</v>
      </c>
      <c r="F363" s="16">
        <f>AVERAGE(ReturnData!F363:F373)</f>
        <v>9.6363636363636374E-3</v>
      </c>
      <c r="G363" s="16">
        <f>AVERAGE(ReturnData!G363:G373)</f>
        <v>2.1036363636363634E-2</v>
      </c>
      <c r="H363" s="16">
        <f>AVERAGE(ReturnData!H363:H373)</f>
        <v>-1.3000000000000006E-3</v>
      </c>
      <c r="I363" s="16">
        <f>AVERAGE(ReturnData!I363:I373)</f>
        <v>2.1700000000000001E-2</v>
      </c>
      <c r="J363" s="16">
        <f>AVERAGE(ReturnData!J363:J373)</f>
        <v>2.1254545454545457E-2</v>
      </c>
      <c r="K363" s="16">
        <f>AVERAGE(ReturnData!K363:K373)</f>
        <v>2.5572727272727271E-2</v>
      </c>
      <c r="L363" s="16">
        <f>AVERAGE(ReturnData!L363:L373)</f>
        <v>-3.0545454545454526E-3</v>
      </c>
      <c r="M363" s="16">
        <f>AVERAGE(ReturnData!M363:M373)</f>
        <v>6.363636363636363E-3</v>
      </c>
      <c r="N363" s="16">
        <f>AVERAGE(ReturnData!N363:N373)</f>
        <v>1.6927272727272732E-2</v>
      </c>
      <c r="O363" s="16">
        <f>AVERAGE(ReturnData!O363:O373)</f>
        <v>1.8809090909090911E-2</v>
      </c>
      <c r="P363" s="16">
        <f>AVERAGE(ReturnData!P363:P373)</f>
        <v>1.0454545454545456E-2</v>
      </c>
      <c r="Q363" s="16">
        <f>AVERAGE(ReturnData!Q363:Q373)</f>
        <v>9.3909090909090921E-3</v>
      </c>
    </row>
    <row r="364" spans="1:17" x14ac:dyDescent="0.25">
      <c r="A364">
        <f>ReturnData!A376</f>
        <v>200503</v>
      </c>
      <c r="B364" s="16">
        <f>AVERAGE(ReturnData!B364:B374)</f>
        <v>3.6363636363636372E-3</v>
      </c>
      <c r="C364" s="16">
        <f>AVERAGE(ReturnData!C364:C374)</f>
        <v>1.32E-2</v>
      </c>
      <c r="D364" s="16">
        <f>AVERAGE(ReturnData!D364:D374)</f>
        <v>2.4545454545454547E-2</v>
      </c>
      <c r="E364" s="16">
        <f>AVERAGE(ReturnData!E364:E374)</f>
        <v>1.3436363636363635E-2</v>
      </c>
      <c r="F364" s="16">
        <f>AVERAGE(ReturnData!F364:F374)</f>
        <v>3.6909090909090919E-3</v>
      </c>
      <c r="G364" s="16">
        <f>AVERAGE(ReturnData!G364:G374)</f>
        <v>1.7236363636363636E-2</v>
      </c>
      <c r="H364" s="16">
        <f>AVERAGE(ReturnData!H364:H374)</f>
        <v>-6.7454545454545458E-3</v>
      </c>
      <c r="I364" s="16">
        <f>AVERAGE(ReturnData!I364:I374)</f>
        <v>1.778181818181818E-2</v>
      </c>
      <c r="J364" s="16">
        <f>AVERAGE(ReturnData!J364:J374)</f>
        <v>1.5127272727272729E-2</v>
      </c>
      <c r="K364" s="16">
        <f>AVERAGE(ReturnData!K364:K374)</f>
        <v>1.9081818181818179E-2</v>
      </c>
      <c r="L364" s="16">
        <f>AVERAGE(ReturnData!L364:L374)</f>
        <v>-4.9636363636363636E-3</v>
      </c>
      <c r="M364" s="16">
        <f>AVERAGE(ReturnData!M364:M374)</f>
        <v>-2.6363636363636487E-4</v>
      </c>
      <c r="N364" s="16">
        <f>AVERAGE(ReturnData!N364:N374)</f>
        <v>1.3554545454545456E-2</v>
      </c>
      <c r="O364" s="16">
        <f>AVERAGE(ReturnData!O364:O374)</f>
        <v>1.8490909090909089E-2</v>
      </c>
      <c r="P364" s="16">
        <f>AVERAGE(ReturnData!P364:P374)</f>
        <v>3.036363636363637E-3</v>
      </c>
      <c r="Q364" s="16">
        <f>AVERAGE(ReturnData!Q364:Q374)</f>
        <v>4.854545454545456E-3</v>
      </c>
    </row>
    <row r="365" spans="1:17" x14ac:dyDescent="0.25">
      <c r="A365">
        <f>ReturnData!A377</f>
        <v>200504</v>
      </c>
      <c r="B365" s="16">
        <f>AVERAGE(ReturnData!B365:B375)</f>
        <v>2.6272727272727277E-3</v>
      </c>
      <c r="C365" s="16">
        <f>AVERAGE(ReturnData!C365:C375)</f>
        <v>1.9918181818181818E-2</v>
      </c>
      <c r="D365" s="16">
        <f>AVERAGE(ReturnData!D365:D375)</f>
        <v>4.236363636363636E-2</v>
      </c>
      <c r="E365" s="16">
        <f>AVERAGE(ReturnData!E365:E375)</f>
        <v>1.3100000000000001E-2</v>
      </c>
      <c r="F365" s="16">
        <f>AVERAGE(ReturnData!F365:F375)</f>
        <v>6.4272727272727285E-3</v>
      </c>
      <c r="G365" s="16">
        <f>AVERAGE(ReturnData!G365:G375)</f>
        <v>2.6672727272727272E-2</v>
      </c>
      <c r="H365" s="16">
        <f>AVERAGE(ReturnData!H365:H375)</f>
        <v>-2.2727272727272811E-4</v>
      </c>
      <c r="I365" s="16">
        <f>AVERAGE(ReturnData!I365:I375)</f>
        <v>1.7400000000000002E-2</v>
      </c>
      <c r="J365" s="16">
        <f>AVERAGE(ReturnData!J365:J375)</f>
        <v>2.8154545454545456E-2</v>
      </c>
      <c r="K365" s="16">
        <f>AVERAGE(ReturnData!K365:K375)</f>
        <v>1.6290909090909092E-2</v>
      </c>
      <c r="L365" s="16">
        <f>AVERAGE(ReturnData!L365:L375)</f>
        <v>-3.3636363636363529E-4</v>
      </c>
      <c r="M365" s="16">
        <f>AVERAGE(ReturnData!M365:M375)</f>
        <v>2.336363636363636E-3</v>
      </c>
      <c r="N365" s="16">
        <f>AVERAGE(ReturnData!N365:N375)</f>
        <v>1.8527272727272729E-2</v>
      </c>
      <c r="O365" s="16">
        <f>AVERAGE(ReturnData!O365:O375)</f>
        <v>1.9600000000000003E-2</v>
      </c>
      <c r="P365" s="16">
        <f>AVERAGE(ReturnData!P365:P375)</f>
        <v>3.7272727272727275E-3</v>
      </c>
      <c r="Q365" s="16">
        <f>AVERAGE(ReturnData!Q365:Q375)</f>
        <v>5.2454545454545471E-3</v>
      </c>
    </row>
    <row r="366" spans="1:17" x14ac:dyDescent="0.25">
      <c r="A366">
        <f>ReturnData!A378</f>
        <v>200505</v>
      </c>
      <c r="B366" s="16">
        <f>AVERAGE(ReturnData!B366:B376)</f>
        <v>2.7272727272727422E-5</v>
      </c>
      <c r="C366" s="16">
        <f>AVERAGE(ReturnData!C366:C376)</f>
        <v>2.7472727272727274E-2</v>
      </c>
      <c r="D366" s="16">
        <f>AVERAGE(ReturnData!D366:D376)</f>
        <v>3.6818181818181812E-2</v>
      </c>
      <c r="E366" s="16">
        <f>AVERAGE(ReturnData!E366:E376)</f>
        <v>1.3263636363636366E-2</v>
      </c>
      <c r="F366" s="16">
        <f>AVERAGE(ReturnData!F366:F376)</f>
        <v>7.4727272727272732E-3</v>
      </c>
      <c r="G366" s="16">
        <f>AVERAGE(ReturnData!G366:G376)</f>
        <v>2.5409090909090905E-2</v>
      </c>
      <c r="H366" s="16">
        <f>AVERAGE(ReturnData!H366:H376)</f>
        <v>-3.2090909090909101E-3</v>
      </c>
      <c r="I366" s="16">
        <f>AVERAGE(ReturnData!I366:I376)</f>
        <v>1.8718181818181821E-2</v>
      </c>
      <c r="J366" s="16">
        <f>AVERAGE(ReturnData!J366:J376)</f>
        <v>2.921818181818182E-2</v>
      </c>
      <c r="K366" s="16">
        <f>AVERAGE(ReturnData!K366:K376)</f>
        <v>1.5063636363636364E-2</v>
      </c>
      <c r="L366" s="16">
        <f>AVERAGE(ReturnData!L366:L376)</f>
        <v>3.6636363636363646E-3</v>
      </c>
      <c r="M366" s="16">
        <f>AVERAGE(ReturnData!M366:M376)</f>
        <v>-8.6545454545454547E-3</v>
      </c>
      <c r="N366" s="16">
        <f>AVERAGE(ReturnData!N366:N376)</f>
        <v>1.7936363636363639E-2</v>
      </c>
      <c r="O366" s="16">
        <f>AVERAGE(ReturnData!O366:O376)</f>
        <v>2.3390909090909087E-2</v>
      </c>
      <c r="P366" s="16">
        <f>AVERAGE(ReturnData!P366:P376)</f>
        <v>7.5000000000000006E-3</v>
      </c>
      <c r="Q366" s="16">
        <f>AVERAGE(ReturnData!Q366:Q376)</f>
        <v>6.3181818181818191E-3</v>
      </c>
    </row>
    <row r="367" spans="1:17" x14ac:dyDescent="0.25">
      <c r="A367">
        <f>ReturnData!A379</f>
        <v>200506</v>
      </c>
      <c r="B367" s="16">
        <f>AVERAGE(ReturnData!B367:B377)</f>
        <v>6.5454545454545485E-4</v>
      </c>
      <c r="C367" s="16">
        <f>AVERAGE(ReturnData!C367:C377)</f>
        <v>1.43E-2</v>
      </c>
      <c r="D367" s="16">
        <f>AVERAGE(ReturnData!D367:D377)</f>
        <v>3.1263636363636355E-2</v>
      </c>
      <c r="E367" s="16">
        <f>AVERAGE(ReturnData!E367:E377)</f>
        <v>6.8181818181818196E-3</v>
      </c>
      <c r="F367" s="16">
        <f>AVERAGE(ReturnData!F367:F377)</f>
        <v>-1.8818181818181815E-3</v>
      </c>
      <c r="G367" s="16">
        <f>AVERAGE(ReturnData!G367:G377)</f>
        <v>1.8090909090909092E-2</v>
      </c>
      <c r="H367" s="16">
        <f>AVERAGE(ReturnData!H367:H377)</f>
        <v>9.0000000000000019E-4</v>
      </c>
      <c r="I367" s="16">
        <f>AVERAGE(ReturnData!I367:I377)</f>
        <v>1.2681818181818183E-2</v>
      </c>
      <c r="J367" s="16">
        <f>AVERAGE(ReturnData!J367:J377)</f>
        <v>1.4890909090909092E-2</v>
      </c>
      <c r="K367" s="16">
        <f>AVERAGE(ReturnData!K367:K377)</f>
        <v>1.3618181818181819E-2</v>
      </c>
      <c r="L367" s="16">
        <f>AVERAGE(ReturnData!L367:L377)</f>
        <v>-5.8818181818181773E-3</v>
      </c>
      <c r="M367" s="16">
        <f>AVERAGE(ReturnData!M367:M377)</f>
        <v>-1.6736363636363636E-2</v>
      </c>
      <c r="N367" s="16">
        <f>AVERAGE(ReturnData!N367:N377)</f>
        <v>1.3118181818181819E-2</v>
      </c>
      <c r="O367" s="16">
        <f>AVERAGE(ReturnData!O367:O377)</f>
        <v>2.4190909090909093E-2</v>
      </c>
      <c r="P367" s="16">
        <f>AVERAGE(ReturnData!P367:P377)</f>
        <v>2.3181818181818195E-3</v>
      </c>
      <c r="Q367" s="16">
        <f>AVERAGE(ReturnData!Q367:Q377)</f>
        <v>4.0909090909090912E-3</v>
      </c>
    </row>
    <row r="368" spans="1:17" x14ac:dyDescent="0.25">
      <c r="A368">
        <f>ReturnData!A380</f>
        <v>200507</v>
      </c>
      <c r="B368" s="16">
        <f>AVERAGE(ReturnData!B368:B378)</f>
        <v>1.863636363636364E-3</v>
      </c>
      <c r="C368" s="16">
        <f>AVERAGE(ReturnData!C368:C378)</f>
        <v>1.5245454545454541E-2</v>
      </c>
      <c r="D368" s="16">
        <f>AVERAGE(ReturnData!D368:D378)</f>
        <v>2.8154545454545453E-2</v>
      </c>
      <c r="E368" s="16">
        <f>AVERAGE(ReturnData!E368:E378)</f>
        <v>8.9272727272727299E-3</v>
      </c>
      <c r="F368" s="16">
        <f>AVERAGE(ReturnData!F368:F378)</f>
        <v>1.9090909090909133E-4</v>
      </c>
      <c r="G368" s="16">
        <f>AVERAGE(ReturnData!G368:G378)</f>
        <v>1.3190909090909086E-2</v>
      </c>
      <c r="H368" s="16">
        <f>AVERAGE(ReturnData!H368:H378)</f>
        <v>2.6090909090909099E-3</v>
      </c>
      <c r="I368" s="16">
        <f>AVERAGE(ReturnData!I368:I378)</f>
        <v>1.9136363636363635E-2</v>
      </c>
      <c r="J368" s="16">
        <f>AVERAGE(ReturnData!J368:J378)</f>
        <v>6.5727272727272752E-3</v>
      </c>
      <c r="K368" s="16">
        <f>AVERAGE(ReturnData!K368:K378)</f>
        <v>1.1481818181818183E-2</v>
      </c>
      <c r="L368" s="16">
        <f>AVERAGE(ReturnData!L368:L378)</f>
        <v>8.7272727272727632E-4</v>
      </c>
      <c r="M368" s="16">
        <f>AVERAGE(ReturnData!M368:M378)</f>
        <v>-1.2299999999999998E-2</v>
      </c>
      <c r="N368" s="16">
        <f>AVERAGE(ReturnData!N368:N378)</f>
        <v>1.1045454545454546E-2</v>
      </c>
      <c r="O368" s="16">
        <f>AVERAGE(ReturnData!O368:O378)</f>
        <v>2.3854545454545458E-2</v>
      </c>
      <c r="P368" s="16">
        <f>AVERAGE(ReturnData!P368:P378)</f>
        <v>8.3090909090909118E-3</v>
      </c>
      <c r="Q368" s="16">
        <f>AVERAGE(ReturnData!Q368:Q378)</f>
        <v>6.6181818181818182E-3</v>
      </c>
    </row>
    <row r="369" spans="1:17" x14ac:dyDescent="0.25">
      <c r="A369">
        <f>ReturnData!A381</f>
        <v>200508</v>
      </c>
      <c r="B369" s="16">
        <f>AVERAGE(ReturnData!B369:B379)</f>
        <v>5.7000000000000002E-3</v>
      </c>
      <c r="C369" s="16">
        <f>AVERAGE(ReturnData!C369:C379)</f>
        <v>1.9199999999999998E-2</v>
      </c>
      <c r="D369" s="16">
        <f>AVERAGE(ReturnData!D369:D379)</f>
        <v>3.0290909090909091E-2</v>
      </c>
      <c r="E369" s="16">
        <f>AVERAGE(ReturnData!E369:E379)</f>
        <v>1.8300000000000004E-2</v>
      </c>
      <c r="F369" s="16">
        <f>AVERAGE(ReturnData!F369:F379)</f>
        <v>6.9999999999999975E-3</v>
      </c>
      <c r="G369" s="16">
        <f>AVERAGE(ReturnData!G369:G379)</f>
        <v>1.5327272727272724E-2</v>
      </c>
      <c r="H369" s="16">
        <f>AVERAGE(ReturnData!H369:H379)</f>
        <v>7.2909090909090918E-3</v>
      </c>
      <c r="I369" s="16">
        <f>AVERAGE(ReturnData!I369:I379)</f>
        <v>2.4945454545454545E-2</v>
      </c>
      <c r="J369" s="16">
        <f>AVERAGE(ReturnData!J369:J379)</f>
        <v>4.0090909090909127E-3</v>
      </c>
      <c r="K369" s="16">
        <f>AVERAGE(ReturnData!K369:K379)</f>
        <v>1.5981818181818184E-2</v>
      </c>
      <c r="L369" s="16">
        <f>AVERAGE(ReturnData!L369:L379)</f>
        <v>8.7090909090909111E-3</v>
      </c>
      <c r="M369" s="16">
        <f>AVERAGE(ReturnData!M369:M379)</f>
        <v>-5.31818181818182E-3</v>
      </c>
      <c r="N369" s="16">
        <f>AVERAGE(ReturnData!N369:N379)</f>
        <v>1.1563636363636366E-2</v>
      </c>
      <c r="O369" s="16">
        <f>AVERAGE(ReturnData!O369:O379)</f>
        <v>2.7945454545454548E-2</v>
      </c>
      <c r="P369" s="16">
        <f>AVERAGE(ReturnData!P369:P379)</f>
        <v>1.2854545454545454E-2</v>
      </c>
      <c r="Q369" s="16">
        <f>AVERAGE(ReturnData!Q369:Q379)</f>
        <v>1.0909090909090908E-2</v>
      </c>
    </row>
    <row r="370" spans="1:17" x14ac:dyDescent="0.25">
      <c r="A370">
        <f>ReturnData!A382</f>
        <v>200509</v>
      </c>
      <c r="B370" s="16">
        <f>AVERAGE(ReturnData!B370:B380)</f>
        <v>7.2363636363636371E-3</v>
      </c>
      <c r="C370" s="16">
        <f>AVERAGE(ReturnData!C370:C380)</f>
        <v>2.579090909090909E-2</v>
      </c>
      <c r="D370" s="16">
        <f>AVERAGE(ReturnData!D370:D380)</f>
        <v>3.6772727272727262E-2</v>
      </c>
      <c r="E370" s="16">
        <f>AVERAGE(ReturnData!E370:E380)</f>
        <v>2.1018181818181821E-2</v>
      </c>
      <c r="F370" s="16">
        <f>AVERAGE(ReturnData!F370:F380)</f>
        <v>6.6272727272727264E-3</v>
      </c>
      <c r="G370" s="16">
        <f>AVERAGE(ReturnData!G370:G380)</f>
        <v>1.6945454545454541E-2</v>
      </c>
      <c r="H370" s="16">
        <f>AVERAGE(ReturnData!H370:H380)</f>
        <v>6.2545454545454562E-3</v>
      </c>
      <c r="I370" s="16">
        <f>AVERAGE(ReturnData!I370:I380)</f>
        <v>2.9590909090909091E-2</v>
      </c>
      <c r="J370" s="16">
        <f>AVERAGE(ReturnData!J370:J380)</f>
        <v>1.6209090909090909E-2</v>
      </c>
      <c r="K370" s="16">
        <f>AVERAGE(ReturnData!K370:K380)</f>
        <v>2.1700000000000004E-2</v>
      </c>
      <c r="L370" s="16">
        <f>AVERAGE(ReturnData!L370:L380)</f>
        <v>2.0272727272727272E-2</v>
      </c>
      <c r="M370" s="16">
        <f>AVERAGE(ReturnData!M370:M380)</f>
        <v>4.1000000000000012E-3</v>
      </c>
      <c r="N370" s="16">
        <f>AVERAGE(ReturnData!N370:N380)</f>
        <v>1.6545454545454547E-2</v>
      </c>
      <c r="O370" s="16">
        <f>AVERAGE(ReturnData!O370:O380)</f>
        <v>2.7327272727272724E-2</v>
      </c>
      <c r="P370" s="16">
        <f>AVERAGE(ReturnData!P370:P380)</f>
        <v>1.9127272727272729E-2</v>
      </c>
      <c r="Q370" s="16">
        <f>AVERAGE(ReturnData!Q370:Q380)</f>
        <v>9.6545454545454556E-3</v>
      </c>
    </row>
    <row r="371" spans="1:17" x14ac:dyDescent="0.25">
      <c r="A371">
        <f>ReturnData!A383</f>
        <v>200510</v>
      </c>
      <c r="B371" s="16">
        <f>AVERAGE(ReturnData!B371:B381)</f>
        <v>9.3545454545454557E-3</v>
      </c>
      <c r="C371" s="16">
        <f>AVERAGE(ReturnData!C371:C381)</f>
        <v>2.4363636363636365E-2</v>
      </c>
      <c r="D371" s="16">
        <f>AVERAGE(ReturnData!D371:D381)</f>
        <v>3.3881818181818173E-2</v>
      </c>
      <c r="E371" s="16">
        <f>AVERAGE(ReturnData!E371:E381)</f>
        <v>1.5409090909090912E-2</v>
      </c>
      <c r="F371" s="16">
        <f>AVERAGE(ReturnData!F371:F381)</f>
        <v>5.2727272727272627E-4</v>
      </c>
      <c r="G371" s="16">
        <f>AVERAGE(ReturnData!G371:G381)</f>
        <v>7.1636363636363607E-3</v>
      </c>
      <c r="H371" s="16">
        <f>AVERAGE(ReturnData!H371:H381)</f>
        <v>1.0145454545454546E-2</v>
      </c>
      <c r="I371" s="16">
        <f>AVERAGE(ReturnData!I371:I381)</f>
        <v>2.1145454545454547E-2</v>
      </c>
      <c r="J371" s="16">
        <f>AVERAGE(ReturnData!J371:J381)</f>
        <v>8.3727272727272747E-3</v>
      </c>
      <c r="K371" s="16">
        <f>AVERAGE(ReturnData!K371:K381)</f>
        <v>1.6100000000000003E-2</v>
      </c>
      <c r="L371" s="16">
        <f>AVERAGE(ReturnData!L371:L381)</f>
        <v>1.6945454545454545E-2</v>
      </c>
      <c r="M371" s="16">
        <f>AVERAGE(ReturnData!M371:M381)</f>
        <v>-7.999999999999983E-4</v>
      </c>
      <c r="N371" s="16">
        <f>AVERAGE(ReturnData!N371:N381)</f>
        <v>1.2763636363636364E-2</v>
      </c>
      <c r="O371" s="16">
        <f>AVERAGE(ReturnData!O371:O381)</f>
        <v>2.7209090909090908E-2</v>
      </c>
      <c r="P371" s="16">
        <f>AVERAGE(ReturnData!P371:P381)</f>
        <v>1.1072727272727272E-2</v>
      </c>
      <c r="Q371" s="16">
        <f>AVERAGE(ReturnData!Q371:Q381)</f>
        <v>8.2272727272727289E-3</v>
      </c>
    </row>
    <row r="372" spans="1:17" x14ac:dyDescent="0.25">
      <c r="A372">
        <f>ReturnData!A384</f>
        <v>200511</v>
      </c>
      <c r="B372" s="16">
        <f>AVERAGE(ReturnData!B372:B382)</f>
        <v>7.0363636363636375E-3</v>
      </c>
      <c r="C372" s="16">
        <f>AVERAGE(ReturnData!C372:C382)</f>
        <v>3.6772727272727269E-2</v>
      </c>
      <c r="D372" s="16">
        <f>AVERAGE(ReturnData!D372:D382)</f>
        <v>3.9845454545454545E-2</v>
      </c>
      <c r="E372" s="16">
        <f>AVERAGE(ReturnData!E372:E382)</f>
        <v>8.2272727272727306E-3</v>
      </c>
      <c r="F372" s="16">
        <f>AVERAGE(ReturnData!F372:F382)</f>
        <v>-2.4181818181818176E-3</v>
      </c>
      <c r="G372" s="16">
        <f>AVERAGE(ReturnData!G372:G382)</f>
        <v>5.336363636363633E-3</v>
      </c>
      <c r="H372" s="16">
        <f>AVERAGE(ReturnData!H372:H382)</f>
        <v>1.1945454545454544E-2</v>
      </c>
      <c r="I372" s="16">
        <f>AVERAGE(ReturnData!I372:I382)</f>
        <v>2.0009090909090907E-2</v>
      </c>
      <c r="J372" s="16">
        <f>AVERAGE(ReturnData!J372:J382)</f>
        <v>1.4463636363636366E-2</v>
      </c>
      <c r="K372" s="16">
        <f>AVERAGE(ReturnData!K372:K382)</f>
        <v>8.2727272727272719E-3</v>
      </c>
      <c r="L372" s="16">
        <f>AVERAGE(ReturnData!L372:L382)</f>
        <v>1.3309090909090915E-2</v>
      </c>
      <c r="M372" s="16">
        <f>AVERAGE(ReturnData!M372:M382)</f>
        <v>-3.5363636363636361E-3</v>
      </c>
      <c r="N372" s="16">
        <f>AVERAGE(ReturnData!N372:N382)</f>
        <v>1.2763636363636364E-2</v>
      </c>
      <c r="O372" s="16">
        <f>AVERAGE(ReturnData!O372:O382)</f>
        <v>2.7336363636363638E-2</v>
      </c>
      <c r="P372" s="16">
        <f>AVERAGE(ReturnData!P372:P382)</f>
        <v>6.8727272727272751E-3</v>
      </c>
      <c r="Q372" s="16">
        <f>AVERAGE(ReturnData!Q372:Q382)</f>
        <v>8.7272727272727276E-3</v>
      </c>
    </row>
    <row r="373" spans="1:17" x14ac:dyDescent="0.25">
      <c r="A373">
        <f>ReturnData!A385</f>
        <v>200512</v>
      </c>
      <c r="B373" s="16">
        <f>AVERAGE(ReturnData!B373:B383)</f>
        <v>3.9363636363636371E-3</v>
      </c>
      <c r="C373" s="16">
        <f>AVERAGE(ReturnData!C373:C383)</f>
        <v>2.2609090909090909E-2</v>
      </c>
      <c r="D373" s="16">
        <f>AVERAGE(ReturnData!D373:D383)</f>
        <v>2.4872727272727269E-2</v>
      </c>
      <c r="E373" s="16">
        <f>AVERAGE(ReturnData!E373:E383)</f>
        <v>1.8181818181818197E-3</v>
      </c>
      <c r="F373" s="16">
        <f>AVERAGE(ReturnData!F373:F383)</f>
        <v>-1.3145454545454545E-2</v>
      </c>
      <c r="G373" s="16">
        <f>AVERAGE(ReturnData!G373:G383)</f>
        <v>-4.9090909090909263E-4</v>
      </c>
      <c r="H373" s="16">
        <f>AVERAGE(ReturnData!H373:H383)</f>
        <v>7.7181818181818185E-3</v>
      </c>
      <c r="I373" s="16">
        <f>AVERAGE(ReturnData!I373:I383)</f>
        <v>1.2E-2</v>
      </c>
      <c r="J373" s="16">
        <f>AVERAGE(ReturnData!J373:J383)</f>
        <v>-1.2636363636363624E-3</v>
      </c>
      <c r="K373" s="16">
        <f>AVERAGE(ReturnData!K373:K383)</f>
        <v>-3.5818181818181804E-3</v>
      </c>
      <c r="L373" s="16">
        <f>AVERAGE(ReturnData!L373:L383)</f>
        <v>4.2454545454545462E-3</v>
      </c>
      <c r="M373" s="16">
        <f>AVERAGE(ReturnData!M373:M383)</f>
        <v>-1.3618181818181817E-2</v>
      </c>
      <c r="N373" s="16">
        <f>AVERAGE(ReturnData!N373:N383)</f>
        <v>6.3545454545454539E-3</v>
      </c>
      <c r="O373" s="16">
        <f>AVERAGE(ReturnData!O373:O383)</f>
        <v>1.6663636363636367E-2</v>
      </c>
      <c r="P373" s="16">
        <f>AVERAGE(ReturnData!P373:P383)</f>
        <v>6.0000000000000027E-3</v>
      </c>
      <c r="Q373" s="16">
        <f>AVERAGE(ReturnData!Q373:Q383)</f>
        <v>6.7909090909090914E-3</v>
      </c>
    </row>
    <row r="374" spans="1:17" x14ac:dyDescent="0.25">
      <c r="A374">
        <f>ReturnData!A386</f>
        <v>200601</v>
      </c>
      <c r="B374" s="16">
        <f>AVERAGE(ReturnData!B374:B384)</f>
        <v>4.5454545454545574E-5</v>
      </c>
      <c r="C374" s="16">
        <f>AVERAGE(ReturnData!C374:C384)</f>
        <v>2.989090909090909E-2</v>
      </c>
      <c r="D374" s="16">
        <f>AVERAGE(ReturnData!D374:D384)</f>
        <v>2.7863636363636365E-2</v>
      </c>
      <c r="E374" s="16">
        <f>AVERAGE(ReturnData!E374:E384)</f>
        <v>2.209090909090911E-3</v>
      </c>
      <c r="F374" s="16">
        <f>AVERAGE(ReturnData!F374:F384)</f>
        <v>-1.0381818181818181E-2</v>
      </c>
      <c r="G374" s="16">
        <f>AVERAGE(ReturnData!G374:G384)</f>
        <v>1.1818181818181715E-4</v>
      </c>
      <c r="H374" s="16">
        <f>AVERAGE(ReturnData!H374:H384)</f>
        <v>2.6181818181818181E-3</v>
      </c>
      <c r="I374" s="16">
        <f>AVERAGE(ReturnData!I374:I384)</f>
        <v>1.2218181818181816E-2</v>
      </c>
      <c r="J374" s="16">
        <f>AVERAGE(ReturnData!J374:J384)</f>
        <v>1.1963636363636364E-2</v>
      </c>
      <c r="K374" s="16">
        <f>AVERAGE(ReturnData!K374:K384)</f>
        <v>6.0000000000000081E-4</v>
      </c>
      <c r="L374" s="16">
        <f>AVERAGE(ReturnData!L374:L384)</f>
        <v>7.700000000000002E-3</v>
      </c>
      <c r="M374" s="16">
        <f>AVERAGE(ReturnData!M374:M384)</f>
        <v>-1.7299999999999999E-2</v>
      </c>
      <c r="N374" s="16">
        <f>AVERAGE(ReturnData!N374:N384)</f>
        <v>1.0018181818181818E-2</v>
      </c>
      <c r="O374" s="16">
        <f>AVERAGE(ReturnData!O374:O384)</f>
        <v>1.4199999999999997E-2</v>
      </c>
      <c r="P374" s="16">
        <f>AVERAGE(ReturnData!P374:P384)</f>
        <v>6.5363636363636379E-3</v>
      </c>
      <c r="Q374" s="16">
        <f>AVERAGE(ReturnData!Q374:Q384)</f>
        <v>7.0727272727272722E-3</v>
      </c>
    </row>
    <row r="375" spans="1:17" x14ac:dyDescent="0.25">
      <c r="A375">
        <f>ReturnData!A387</f>
        <v>200602</v>
      </c>
      <c r="B375" s="16">
        <f>AVERAGE(ReturnData!B375:B385)</f>
        <v>-8.9090909090909054E-4</v>
      </c>
      <c r="C375" s="16">
        <f>AVERAGE(ReturnData!C375:C385)</f>
        <v>3.5536363636363637E-2</v>
      </c>
      <c r="D375" s="16">
        <f>AVERAGE(ReturnData!D375:D385)</f>
        <v>2.5572727272727278E-2</v>
      </c>
      <c r="E375" s="16">
        <f>AVERAGE(ReturnData!E375:E385)</f>
        <v>4.6909090909090919E-3</v>
      </c>
      <c r="F375" s="16">
        <f>AVERAGE(ReturnData!F375:F385)</f>
        <v>-5.9818181818181828E-3</v>
      </c>
      <c r="G375" s="16">
        <f>AVERAGE(ReturnData!G375:G385)</f>
        <v>2.1636363636363624E-3</v>
      </c>
      <c r="H375" s="16">
        <f>AVERAGE(ReturnData!H375:H385)</f>
        <v>9.5363636363636362E-3</v>
      </c>
      <c r="I375" s="16">
        <f>AVERAGE(ReturnData!I375:I385)</f>
        <v>1.0190909090909089E-2</v>
      </c>
      <c r="J375" s="16">
        <f>AVERAGE(ReturnData!J375:J385)</f>
        <v>1.5654545454545456E-2</v>
      </c>
      <c r="K375" s="16">
        <f>AVERAGE(ReturnData!K375:K385)</f>
        <v>2.4000000000000007E-3</v>
      </c>
      <c r="L375" s="16">
        <f>AVERAGE(ReturnData!L375:L385)</f>
        <v>1.172727272727273E-2</v>
      </c>
      <c r="M375" s="16">
        <f>AVERAGE(ReturnData!M375:M385)</f>
        <v>-1.210909090909091E-2</v>
      </c>
      <c r="N375" s="16">
        <f>AVERAGE(ReturnData!N375:N385)</f>
        <v>1.5763636363636365E-2</v>
      </c>
      <c r="O375" s="16">
        <f>AVERAGE(ReturnData!O375:O385)</f>
        <v>1.3727272727272729E-2</v>
      </c>
      <c r="P375" s="16">
        <f>AVERAGE(ReturnData!P375:P385)</f>
        <v>6.1909090909090915E-3</v>
      </c>
      <c r="Q375" s="16">
        <f>AVERAGE(ReturnData!Q375:Q385)</f>
        <v>9.2363636363636363E-3</v>
      </c>
    </row>
    <row r="376" spans="1:17" x14ac:dyDescent="0.25">
      <c r="A376">
        <f>ReturnData!A388</f>
        <v>200603</v>
      </c>
      <c r="B376" s="16">
        <f>AVERAGE(ReturnData!B376:B386)</f>
        <v>-3.0909090909090909E-4</v>
      </c>
      <c r="C376" s="16">
        <f>AVERAGE(ReturnData!C376:C386)</f>
        <v>4.1318181818181816E-2</v>
      </c>
      <c r="D376" s="16">
        <f>AVERAGE(ReturnData!D376:D386)</f>
        <v>1.9163636363636362E-2</v>
      </c>
      <c r="E376" s="16">
        <f>AVERAGE(ReturnData!E376:E386)</f>
        <v>3.5272727272727287E-3</v>
      </c>
      <c r="F376" s="16">
        <f>AVERAGE(ReturnData!F376:F386)</f>
        <v>-2.145454545454545E-3</v>
      </c>
      <c r="G376" s="16">
        <f>AVERAGE(ReturnData!G376:G386)</f>
        <v>-2.9181818181818198E-3</v>
      </c>
      <c r="H376" s="16">
        <f>AVERAGE(ReturnData!H376:H386)</f>
        <v>8.0909090909090913E-3</v>
      </c>
      <c r="I376" s="16">
        <f>AVERAGE(ReturnData!I376:I386)</f>
        <v>1.3318181818181818E-2</v>
      </c>
      <c r="J376" s="16">
        <f>AVERAGE(ReturnData!J376:J386)</f>
        <v>2.0299999999999999E-2</v>
      </c>
      <c r="K376" s="16">
        <f>AVERAGE(ReturnData!K376:K386)</f>
        <v>6.6363636363636356E-3</v>
      </c>
      <c r="L376" s="16">
        <f>AVERAGE(ReturnData!L376:L386)</f>
        <v>1.3972727272727274E-2</v>
      </c>
      <c r="M376" s="16">
        <f>AVERAGE(ReturnData!M376:M386)</f>
        <v>-9.0090909090909076E-3</v>
      </c>
      <c r="N376" s="16">
        <f>AVERAGE(ReturnData!N376:N386)</f>
        <v>1.6299999999999999E-2</v>
      </c>
      <c r="O376" s="16">
        <f>AVERAGE(ReturnData!O376:O386)</f>
        <v>1.4336363636363637E-2</v>
      </c>
      <c r="P376" s="16">
        <f>AVERAGE(ReturnData!P376:P386)</f>
        <v>7.2545454545454554E-3</v>
      </c>
      <c r="Q376" s="16">
        <f>AVERAGE(ReturnData!Q376:Q386)</f>
        <v>1.0636363636363637E-2</v>
      </c>
    </row>
    <row r="377" spans="1:17" x14ac:dyDescent="0.25">
      <c r="A377">
        <f>ReturnData!A389</f>
        <v>200604</v>
      </c>
      <c r="B377" s="16">
        <f>AVERAGE(ReturnData!B377:B387)</f>
        <v>2E-3</v>
      </c>
      <c r="C377" s="16">
        <f>AVERAGE(ReturnData!C377:C387)</f>
        <v>3.8581818181818182E-2</v>
      </c>
      <c r="D377" s="16">
        <f>AVERAGE(ReturnData!D377:D387)</f>
        <v>1.4863636363636362E-2</v>
      </c>
      <c r="E377" s="16">
        <f>AVERAGE(ReturnData!E377:E387)</f>
        <v>6.1181818181818195E-3</v>
      </c>
      <c r="F377" s="16">
        <f>AVERAGE(ReturnData!F377:F387)</f>
        <v>2.8272727272727264E-3</v>
      </c>
      <c r="G377" s="16">
        <f>AVERAGE(ReturnData!G377:G387)</f>
        <v>-1.01818181818182E-3</v>
      </c>
      <c r="H377" s="16">
        <f>AVERAGE(ReturnData!H377:H387)</f>
        <v>8.6E-3</v>
      </c>
      <c r="I377" s="16">
        <f>AVERAGE(ReturnData!I377:I387)</f>
        <v>1.596363636363636E-2</v>
      </c>
      <c r="J377" s="16">
        <f>AVERAGE(ReturnData!J377:J387)</f>
        <v>2.4472727272727271E-2</v>
      </c>
      <c r="K377" s="16">
        <f>AVERAGE(ReturnData!K377:K387)</f>
        <v>1.3236363636363636E-2</v>
      </c>
      <c r="L377" s="16">
        <f>AVERAGE(ReturnData!L377:L387)</f>
        <v>1.720909090909091E-2</v>
      </c>
      <c r="M377" s="16">
        <f>AVERAGE(ReturnData!M377:M387)</f>
        <v>-3.163636363636362E-3</v>
      </c>
      <c r="N377" s="16">
        <f>AVERAGE(ReturnData!N377:N387)</f>
        <v>1.8354545454545453E-2</v>
      </c>
      <c r="O377" s="16">
        <f>AVERAGE(ReturnData!O377:O387)</f>
        <v>1.3981818181818184E-2</v>
      </c>
      <c r="P377" s="16">
        <f>AVERAGE(ReturnData!P377:P387)</f>
        <v>6.8454545454545461E-3</v>
      </c>
      <c r="Q377" s="16">
        <f>AVERAGE(ReturnData!Q377:Q387)</f>
        <v>1.5045454545454546E-2</v>
      </c>
    </row>
    <row r="378" spans="1:17" x14ac:dyDescent="0.25">
      <c r="A378">
        <f>ReturnData!A390</f>
        <v>200605</v>
      </c>
      <c r="B378" s="16">
        <f>AVERAGE(ReturnData!B378:B388)</f>
        <v>3.2090909090909097E-3</v>
      </c>
      <c r="C378" s="16">
        <f>AVERAGE(ReturnData!C378:C388)</f>
        <v>5.3036363636363638E-2</v>
      </c>
      <c r="D378" s="16">
        <f>AVERAGE(ReturnData!D378:D388)</f>
        <v>2.3554545454545453E-2</v>
      </c>
      <c r="E378" s="16">
        <f>AVERAGE(ReturnData!E378:E388)</f>
        <v>1.4227272727272729E-2</v>
      </c>
      <c r="F378" s="16">
        <f>AVERAGE(ReturnData!F378:F388)</f>
        <v>1.5290909090909089E-2</v>
      </c>
      <c r="G378" s="16">
        <f>AVERAGE(ReturnData!G378:G388)</f>
        <v>6.7363636363636376E-3</v>
      </c>
      <c r="H378" s="16">
        <f>AVERAGE(ReturnData!H378:H388)</f>
        <v>5.0181818181818183E-3</v>
      </c>
      <c r="I378" s="16">
        <f>AVERAGE(ReturnData!I378:I388)</f>
        <v>2.1181818181818177E-2</v>
      </c>
      <c r="J378" s="16">
        <f>AVERAGE(ReturnData!J378:J388)</f>
        <v>4.4518181818181818E-2</v>
      </c>
      <c r="K378" s="16">
        <f>AVERAGE(ReturnData!K378:K388)</f>
        <v>1.7018181818181818E-2</v>
      </c>
      <c r="L378" s="16">
        <f>AVERAGE(ReturnData!L378:L388)</f>
        <v>2.3936363636363641E-2</v>
      </c>
      <c r="M378" s="16">
        <f>AVERAGE(ReturnData!M378:M388)</f>
        <v>8.0636363636363648E-3</v>
      </c>
      <c r="N378" s="16">
        <f>AVERAGE(ReturnData!N378:N388)</f>
        <v>2.5427272727272729E-2</v>
      </c>
      <c r="O378" s="16">
        <f>AVERAGE(ReturnData!O378:O388)</f>
        <v>8.7363636363636376E-3</v>
      </c>
      <c r="P378" s="16">
        <f>AVERAGE(ReturnData!P378:P388)</f>
        <v>1.4354545454545455E-2</v>
      </c>
      <c r="Q378" s="16">
        <f>AVERAGE(ReturnData!Q378:Q388)</f>
        <v>1.6418181818181818E-2</v>
      </c>
    </row>
    <row r="379" spans="1:17" x14ac:dyDescent="0.25">
      <c r="A379">
        <f>ReturnData!A391</f>
        <v>200606</v>
      </c>
      <c r="B379" s="16">
        <f>AVERAGE(ReturnData!B379:B389)</f>
        <v>1.9909090909090905E-3</v>
      </c>
      <c r="C379" s="16">
        <f>AVERAGE(ReturnData!C379:C389)</f>
        <v>5.8827272727272735E-2</v>
      </c>
      <c r="D379" s="16">
        <f>AVERAGE(ReturnData!D379:D389)</f>
        <v>2.5645454545454548E-2</v>
      </c>
      <c r="E379" s="16">
        <f>AVERAGE(ReturnData!E379:E389)</f>
        <v>7.9272727272727272E-3</v>
      </c>
      <c r="F379" s="16">
        <f>AVERAGE(ReturnData!F379:F389)</f>
        <v>8.3272727272727266E-3</v>
      </c>
      <c r="G379" s="16">
        <f>AVERAGE(ReturnData!G379:G389)</f>
        <v>8.827272727272727E-3</v>
      </c>
      <c r="H379" s="16">
        <f>AVERAGE(ReturnData!H379:H389)</f>
        <v>3.4272727272727272E-3</v>
      </c>
      <c r="I379" s="16">
        <f>AVERAGE(ReturnData!I379:I389)</f>
        <v>1.3018181818181816E-2</v>
      </c>
      <c r="J379" s="16">
        <f>AVERAGE(ReturnData!J379:J389)</f>
        <v>5.1300000000000005E-2</v>
      </c>
      <c r="K379" s="16">
        <f>AVERAGE(ReturnData!K379:K389)</f>
        <v>1.2763636363636364E-2</v>
      </c>
      <c r="L379" s="16">
        <f>AVERAGE(ReturnData!L379:L389)</f>
        <v>1.659090909090909E-2</v>
      </c>
      <c r="M379" s="16">
        <f>AVERAGE(ReturnData!M379:M389)</f>
        <v>-1.4090909090909091E-3</v>
      </c>
      <c r="N379" s="16">
        <f>AVERAGE(ReturnData!N379:N389)</f>
        <v>2.2718181818181818E-2</v>
      </c>
      <c r="O379" s="16">
        <f>AVERAGE(ReturnData!O379:O389)</f>
        <v>8.9090909090909082E-3</v>
      </c>
      <c r="P379" s="16">
        <f>AVERAGE(ReturnData!P379:P389)</f>
        <v>7.8727272727272726E-3</v>
      </c>
      <c r="Q379" s="16">
        <f>AVERAGE(ReturnData!Q379:Q389)</f>
        <v>1.5927272727272727E-2</v>
      </c>
    </row>
    <row r="380" spans="1:17" x14ac:dyDescent="0.25">
      <c r="A380">
        <f>ReturnData!A392</f>
        <v>200607</v>
      </c>
      <c r="B380" s="16">
        <f>AVERAGE(ReturnData!B380:B390)</f>
        <v>7.3909090909090903E-3</v>
      </c>
      <c r="C380" s="16">
        <f>AVERAGE(ReturnData!C380:C390)</f>
        <v>4.6054545454545452E-2</v>
      </c>
      <c r="D380" s="16">
        <f>AVERAGE(ReturnData!D380:D390)</f>
        <v>1.7263636363636363E-2</v>
      </c>
      <c r="E380" s="16">
        <f>AVERAGE(ReturnData!E380:E390)</f>
        <v>1.0909090909090907E-4</v>
      </c>
      <c r="F380" s="16">
        <f>AVERAGE(ReturnData!F380:F390)</f>
        <v>3.8545454545454551E-3</v>
      </c>
      <c r="G380" s="16">
        <f>AVERAGE(ReturnData!G380:G390)</f>
        <v>7.4727272727272732E-3</v>
      </c>
      <c r="H380" s="16">
        <f>AVERAGE(ReturnData!H380:H390)</f>
        <v>2.6545454545454541E-3</v>
      </c>
      <c r="I380" s="16">
        <f>AVERAGE(ReturnData!I380:I390)</f>
        <v>4.8636363636363625E-3</v>
      </c>
      <c r="J380" s="16">
        <f>AVERAGE(ReturnData!J380:J390)</f>
        <v>4.986363636363636E-2</v>
      </c>
      <c r="K380" s="16">
        <f>AVERAGE(ReturnData!K380:K390)</f>
        <v>7.7363636363636376E-3</v>
      </c>
      <c r="L380" s="16">
        <f>AVERAGE(ReturnData!L380:L390)</f>
        <v>1.15E-2</v>
      </c>
      <c r="M380" s="16">
        <f>AVERAGE(ReturnData!M380:M390)</f>
        <v>-2.2454545454545466E-3</v>
      </c>
      <c r="N380" s="16">
        <f>AVERAGE(ReturnData!N380:N390)</f>
        <v>2.2390909090909093E-2</v>
      </c>
      <c r="O380" s="16">
        <f>AVERAGE(ReturnData!O380:O390)</f>
        <v>5.2181818181818197E-3</v>
      </c>
      <c r="P380" s="16">
        <f>AVERAGE(ReturnData!P380:P390)</f>
        <v>4.1909090909090924E-3</v>
      </c>
      <c r="Q380" s="16">
        <f>AVERAGE(ReturnData!Q380:Q390)</f>
        <v>1.0463636363636362E-2</v>
      </c>
    </row>
    <row r="381" spans="1:17" x14ac:dyDescent="0.25">
      <c r="A381">
        <f>ReturnData!A393</f>
        <v>200608</v>
      </c>
      <c r="B381" s="16">
        <f>AVERAGE(ReturnData!B381:B391)</f>
        <v>5.0909090909090913E-3</v>
      </c>
      <c r="C381" s="16">
        <f>AVERAGE(ReturnData!C381:C391)</f>
        <v>3.5136363636363639E-2</v>
      </c>
      <c r="D381" s="16">
        <f>AVERAGE(ReturnData!D381:D391)</f>
        <v>1.4781818181818184E-2</v>
      </c>
      <c r="E381" s="16">
        <f>AVERAGE(ReturnData!E381:E391)</f>
        <v>-2.4454545454545449E-3</v>
      </c>
      <c r="F381" s="16">
        <f>AVERAGE(ReturnData!F381:F391)</f>
        <v>1.7000000000000016E-3</v>
      </c>
      <c r="G381" s="16">
        <f>AVERAGE(ReturnData!G381:G391)</f>
        <v>2.145454545454545E-3</v>
      </c>
      <c r="H381" s="16">
        <f>AVERAGE(ReturnData!H381:H391)</f>
        <v>2.2454545454545453E-3</v>
      </c>
      <c r="I381" s="16">
        <f>AVERAGE(ReturnData!I381:I391)</f>
        <v>-8.0272727272727266E-3</v>
      </c>
      <c r="J381" s="16">
        <f>AVERAGE(ReturnData!J381:J391)</f>
        <v>4.0536363636363641E-2</v>
      </c>
      <c r="K381" s="16">
        <f>AVERAGE(ReturnData!K381:K391)</f>
        <v>9.6363636363636313E-4</v>
      </c>
      <c r="L381" s="16">
        <f>AVERAGE(ReturnData!L381:L391)</f>
        <v>3.6181818181818173E-3</v>
      </c>
      <c r="M381" s="16">
        <f>AVERAGE(ReturnData!M381:M391)</f>
        <v>-8.0454545454545483E-3</v>
      </c>
      <c r="N381" s="16">
        <f>AVERAGE(ReturnData!N381:N391)</f>
        <v>1.9736363636363635E-2</v>
      </c>
      <c r="O381" s="16">
        <f>AVERAGE(ReturnData!O381:O391)</f>
        <v>4.7000000000000011E-3</v>
      </c>
      <c r="P381" s="16">
        <f>AVERAGE(ReturnData!P381:P391)</f>
        <v>1.0181818181818193E-3</v>
      </c>
      <c r="Q381" s="16">
        <f>AVERAGE(ReturnData!Q381:Q391)</f>
        <v>8.5000000000000006E-3</v>
      </c>
    </row>
    <row r="382" spans="1:17" x14ac:dyDescent="0.25">
      <c r="A382">
        <f>ReturnData!A394</f>
        <v>200609</v>
      </c>
      <c r="B382" s="16">
        <f>AVERAGE(ReturnData!B382:B392)</f>
        <v>8.390909090909093E-3</v>
      </c>
      <c r="C382" s="16">
        <f>AVERAGE(ReturnData!C382:C392)</f>
        <v>2.5036363636363634E-2</v>
      </c>
      <c r="D382" s="16">
        <f>AVERAGE(ReturnData!D382:D392)</f>
        <v>1.4845454545454544E-2</v>
      </c>
      <c r="E382" s="16">
        <f>AVERAGE(ReturnData!E382:E392)</f>
        <v>-2.190909090909091E-3</v>
      </c>
      <c r="F382" s="16">
        <f>AVERAGE(ReturnData!F382:F392)</f>
        <v>1.3454545454545457E-3</v>
      </c>
      <c r="G382" s="16">
        <f>AVERAGE(ReturnData!G382:G392)</f>
        <v>3.7545454545454553E-3</v>
      </c>
      <c r="H382" s="16">
        <f>AVERAGE(ReturnData!H382:H392)</f>
        <v>6.3E-3</v>
      </c>
      <c r="I382" s="16">
        <f>AVERAGE(ReturnData!I382:I392)</f>
        <v>-1.0754545454545454E-2</v>
      </c>
      <c r="J382" s="16">
        <f>AVERAGE(ReturnData!J382:J392)</f>
        <v>3.7454545454545456E-2</v>
      </c>
      <c r="K382" s="16">
        <f>AVERAGE(ReturnData!K382:K392)</f>
        <v>-5.4545454545454623E-4</v>
      </c>
      <c r="L382" s="16">
        <f>AVERAGE(ReturnData!L382:L392)</f>
        <v>-8.18181818181829E-5</v>
      </c>
      <c r="M382" s="16">
        <f>AVERAGE(ReturnData!M382:M392)</f>
        <v>-5.6727272727272746E-3</v>
      </c>
      <c r="N382" s="16">
        <f>AVERAGE(ReturnData!N382:N392)</f>
        <v>1.5318181818181819E-2</v>
      </c>
      <c r="O382" s="16">
        <f>AVERAGE(ReturnData!O382:O392)</f>
        <v>7.9545454545454537E-3</v>
      </c>
      <c r="P382" s="16">
        <f>AVERAGE(ReturnData!P382:P392)</f>
        <v>2.6636363636363624E-3</v>
      </c>
      <c r="Q382" s="16">
        <f>AVERAGE(ReturnData!Q382:Q392)</f>
        <v>1.1072727272727274E-2</v>
      </c>
    </row>
    <row r="383" spans="1:17" x14ac:dyDescent="0.25">
      <c r="A383">
        <f>ReturnData!A395</f>
        <v>200610</v>
      </c>
      <c r="B383" s="16">
        <f>AVERAGE(ReturnData!B383:B393)</f>
        <v>1.0499999999999999E-2</v>
      </c>
      <c r="C383" s="16">
        <f>AVERAGE(ReturnData!C383:C393)</f>
        <v>1.1836363636363634E-2</v>
      </c>
      <c r="D383" s="16">
        <f>AVERAGE(ReturnData!D383:D393)</f>
        <v>5.4545454545454541E-3</v>
      </c>
      <c r="E383" s="16">
        <f>AVERAGE(ReturnData!E383:E393)</f>
        <v>3.9090909090909098E-3</v>
      </c>
      <c r="F383" s="16">
        <f>AVERAGE(ReturnData!F383:F393)</f>
        <v>8.0181818181818184E-3</v>
      </c>
      <c r="G383" s="16">
        <f>AVERAGE(ReturnData!G383:G393)</f>
        <v>8.6272727272727282E-3</v>
      </c>
      <c r="H383" s="16">
        <f>AVERAGE(ReturnData!H383:H393)</f>
        <v>9.8181818181818179E-3</v>
      </c>
      <c r="I383" s="16">
        <f>AVERAGE(ReturnData!I383:I393)</f>
        <v>-1.11E-2</v>
      </c>
      <c r="J383" s="16">
        <f>AVERAGE(ReturnData!J383:J393)</f>
        <v>3.2290909090909085E-2</v>
      </c>
      <c r="K383" s="16">
        <f>AVERAGE(ReturnData!K383:K393)</f>
        <v>4.681818181818182E-3</v>
      </c>
      <c r="L383" s="16">
        <f>AVERAGE(ReturnData!L383:L393)</f>
        <v>5.7727272727272714E-3</v>
      </c>
      <c r="M383" s="16">
        <f>AVERAGE(ReturnData!M383:M393)</f>
        <v>2.0545454545454543E-3</v>
      </c>
      <c r="N383" s="16">
        <f>AVERAGE(ReturnData!N383:N393)</f>
        <v>1.24E-2</v>
      </c>
      <c r="O383" s="16">
        <f>AVERAGE(ReturnData!O383:O393)</f>
        <v>6.0454545454545474E-3</v>
      </c>
      <c r="P383" s="16">
        <f>AVERAGE(ReturnData!P383:P393)</f>
        <v>6.9363636363636381E-3</v>
      </c>
      <c r="Q383" s="16">
        <f>AVERAGE(ReturnData!Q383:Q393)</f>
        <v>1.1363636363636364E-2</v>
      </c>
    </row>
    <row r="384" spans="1:17" x14ac:dyDescent="0.25">
      <c r="A384">
        <f>ReturnData!A396</f>
        <v>200611</v>
      </c>
      <c r="B384" s="16">
        <f>AVERAGE(ReturnData!B384:B394)</f>
        <v>1.1663636363636364E-2</v>
      </c>
      <c r="C384" s="16">
        <f>AVERAGE(ReturnData!C384:C394)</f>
        <v>9.8636363636363661E-3</v>
      </c>
      <c r="D384" s="16">
        <f>AVERAGE(ReturnData!D384:D394)</f>
        <v>1.1472727272727272E-2</v>
      </c>
      <c r="E384" s="16">
        <f>AVERAGE(ReturnData!E384:E394)</f>
        <v>1.4218181818181817E-2</v>
      </c>
      <c r="F384" s="16">
        <f>AVERAGE(ReturnData!F384:F394)</f>
        <v>1.5045454545454546E-2</v>
      </c>
      <c r="G384" s="16">
        <f>AVERAGE(ReturnData!G384:G394)</f>
        <v>8.3181818181818201E-3</v>
      </c>
      <c r="H384" s="16">
        <f>AVERAGE(ReturnData!H384:H394)</f>
        <v>1.3163636363636362E-2</v>
      </c>
      <c r="I384" s="16">
        <f>AVERAGE(ReturnData!I384:I394)</f>
        <v>-6.0909090909090913E-3</v>
      </c>
      <c r="J384" s="16">
        <f>AVERAGE(ReturnData!J384:J394)</f>
        <v>3.6381818181818175E-2</v>
      </c>
      <c r="K384" s="16">
        <f>AVERAGE(ReturnData!K384:K394)</f>
        <v>9.745454545454545E-3</v>
      </c>
      <c r="L384" s="16">
        <f>AVERAGE(ReturnData!L384:L394)</f>
        <v>1.1872727272727273E-2</v>
      </c>
      <c r="M384" s="16">
        <f>AVERAGE(ReturnData!M384:M394)</f>
        <v>1.0727272727272726E-2</v>
      </c>
      <c r="N384" s="16">
        <f>AVERAGE(ReturnData!N384:N394)</f>
        <v>1.6481818181818184E-2</v>
      </c>
      <c r="O384" s="16">
        <f>AVERAGE(ReturnData!O384:O394)</f>
        <v>1.0354545454545453E-2</v>
      </c>
      <c r="P384" s="16">
        <f>AVERAGE(ReturnData!P384:P394)</f>
        <v>1.0827272727272727E-2</v>
      </c>
      <c r="Q384" s="16">
        <f>AVERAGE(ReturnData!Q384:Q394)</f>
        <v>1.2336363636363635E-2</v>
      </c>
    </row>
    <row r="385" spans="1:17" x14ac:dyDescent="0.25">
      <c r="A385">
        <f>ReturnData!A397</f>
        <v>200612</v>
      </c>
      <c r="B385" s="16">
        <f>AVERAGE(ReturnData!B385:B395)</f>
        <v>1.1545454545454546E-2</v>
      </c>
      <c r="C385" s="16">
        <f>AVERAGE(ReturnData!C385:C395)</f>
        <v>1.4981818181818178E-2</v>
      </c>
      <c r="D385" s="16">
        <f>AVERAGE(ReturnData!D385:D395)</f>
        <v>1.5081818181818181E-2</v>
      </c>
      <c r="E385" s="16">
        <f>AVERAGE(ReturnData!E385:E395)</f>
        <v>1.5599999999999998E-2</v>
      </c>
      <c r="F385" s="16">
        <f>AVERAGE(ReturnData!F385:F395)</f>
        <v>1.5127272727272727E-2</v>
      </c>
      <c r="G385" s="16">
        <f>AVERAGE(ReturnData!G385:G395)</f>
        <v>1.0727272727272726E-2</v>
      </c>
      <c r="H385" s="16">
        <f>AVERAGE(ReturnData!H385:H395)</f>
        <v>1.4636363636363635E-2</v>
      </c>
      <c r="I385" s="16">
        <f>AVERAGE(ReturnData!I385:I395)</f>
        <v>-6.7454545454545467E-3</v>
      </c>
      <c r="J385" s="16">
        <f>AVERAGE(ReturnData!J385:J395)</f>
        <v>3.4763636363636358E-2</v>
      </c>
      <c r="K385" s="16">
        <f>AVERAGE(ReturnData!K385:K395)</f>
        <v>1.0509090909090911E-2</v>
      </c>
      <c r="L385" s="16">
        <f>AVERAGE(ReturnData!L385:L395)</f>
        <v>8.127272727272726E-3</v>
      </c>
      <c r="M385" s="16">
        <f>AVERAGE(ReturnData!M385:M395)</f>
        <v>1.4145454545454546E-2</v>
      </c>
      <c r="N385" s="16">
        <f>AVERAGE(ReturnData!N385:N395)</f>
        <v>1.5154545454545454E-2</v>
      </c>
      <c r="O385" s="16">
        <f>AVERAGE(ReturnData!O385:O395)</f>
        <v>1.5427272727272727E-2</v>
      </c>
      <c r="P385" s="16">
        <f>AVERAGE(ReturnData!P385:P395)</f>
        <v>1.0872727272727273E-2</v>
      </c>
      <c r="Q385" s="16">
        <f>AVERAGE(ReturnData!Q385:Q395)</f>
        <v>1.0090909090909091E-2</v>
      </c>
    </row>
    <row r="386" spans="1:17" x14ac:dyDescent="0.25">
      <c r="A386">
        <f>ReturnData!A398</f>
        <v>200701</v>
      </c>
      <c r="B386" s="16">
        <f>AVERAGE(ReturnData!B386:B396)</f>
        <v>1.3118181818181819E-2</v>
      </c>
      <c r="C386" s="16">
        <f>AVERAGE(ReturnData!C386:C396)</f>
        <v>1.6390909090909091E-2</v>
      </c>
      <c r="D386" s="16">
        <f>AVERAGE(ReturnData!D386:D396)</f>
        <v>2.2545454545454539E-2</v>
      </c>
      <c r="E386" s="16">
        <f>AVERAGE(ReturnData!E386:E396)</f>
        <v>1.9309090909090911E-2</v>
      </c>
      <c r="F386" s="16">
        <f>AVERAGE(ReturnData!F386:F396)</f>
        <v>1.61E-2</v>
      </c>
      <c r="G386" s="16">
        <f>AVERAGE(ReturnData!G386:G396)</f>
        <v>1.2854545454545454E-2</v>
      </c>
      <c r="H386" s="16">
        <f>AVERAGE(ReturnData!H386:H396)</f>
        <v>1.1427272727272725E-2</v>
      </c>
      <c r="I386" s="16">
        <f>AVERAGE(ReturnData!I386:I396)</f>
        <v>-1.7636363636363637E-3</v>
      </c>
      <c r="J386" s="16">
        <f>AVERAGE(ReturnData!J386:J396)</f>
        <v>3.9454545454545457E-2</v>
      </c>
      <c r="K386" s="16">
        <f>AVERAGE(ReturnData!K386:K396)</f>
        <v>1.4172727272727274E-2</v>
      </c>
      <c r="L386" s="16">
        <f>AVERAGE(ReturnData!L386:L396)</f>
        <v>1.2709090909090908E-2</v>
      </c>
      <c r="M386" s="16">
        <f>AVERAGE(ReturnData!M386:M396)</f>
        <v>1.6863636363636365E-2</v>
      </c>
      <c r="N386" s="16">
        <f>AVERAGE(ReturnData!N386:N396)</f>
        <v>1.6009090909090907E-2</v>
      </c>
      <c r="O386" s="16">
        <f>AVERAGE(ReturnData!O386:O396)</f>
        <v>1.7081818181818184E-2</v>
      </c>
      <c r="P386" s="16">
        <f>AVERAGE(ReturnData!P386:P396)</f>
        <v>9.4272727272727268E-3</v>
      </c>
      <c r="Q386" s="16">
        <f>AVERAGE(ReturnData!Q386:Q396)</f>
        <v>1.0654545454545453E-2</v>
      </c>
    </row>
    <row r="387" spans="1:17" x14ac:dyDescent="0.25">
      <c r="A387">
        <f>ReturnData!A399</f>
        <v>200702</v>
      </c>
      <c r="B387" s="16">
        <f>AVERAGE(ReturnData!B387:B397)</f>
        <v>1.4527272727272727E-2</v>
      </c>
      <c r="C387" s="16">
        <f>AVERAGE(ReturnData!C387:C397)</f>
        <v>-4.4909090909090905E-3</v>
      </c>
      <c r="D387" s="16">
        <f>AVERAGE(ReturnData!D387:D397)</f>
        <v>9.6545454545454521E-3</v>
      </c>
      <c r="E387" s="16">
        <f>AVERAGE(ReturnData!E387:E397)</f>
        <v>1.8627272727272728E-2</v>
      </c>
      <c r="F387" s="16">
        <f>AVERAGE(ReturnData!F387:F397)</f>
        <v>1.1763636363636365E-2</v>
      </c>
      <c r="G387" s="16">
        <f>AVERAGE(ReturnData!G387:G397)</f>
        <v>1.1127272727272727E-2</v>
      </c>
      <c r="H387" s="16">
        <f>AVERAGE(ReturnData!H387:H397)</f>
        <v>1.0245454545454544E-2</v>
      </c>
      <c r="I387" s="16">
        <f>AVERAGE(ReturnData!I387:I397)</f>
        <v>-5.554545454545457E-3</v>
      </c>
      <c r="J387" s="16">
        <f>AVERAGE(ReturnData!J387:J397)</f>
        <v>2.3427272727272727E-2</v>
      </c>
      <c r="K387" s="16">
        <f>AVERAGE(ReturnData!K387:K397)</f>
        <v>9.0181818181818175E-3</v>
      </c>
      <c r="L387" s="16">
        <f>AVERAGE(ReturnData!L387:L397)</f>
        <v>6.2909090909090892E-3</v>
      </c>
      <c r="M387" s="16">
        <f>AVERAGE(ReturnData!M387:M397)</f>
        <v>1.2790909090909091E-2</v>
      </c>
      <c r="N387" s="16">
        <f>AVERAGE(ReturnData!N387:N397)</f>
        <v>1.1545454545454546E-2</v>
      </c>
      <c r="O387" s="16">
        <f>AVERAGE(ReturnData!O387:O397)</f>
        <v>1.4990909090909093E-2</v>
      </c>
      <c r="P387" s="16">
        <f>AVERAGE(ReturnData!P387:P397)</f>
        <v>9.2363636363636346E-3</v>
      </c>
      <c r="Q387" s="16">
        <f>AVERAGE(ReturnData!Q387:Q397)</f>
        <v>1.2909090909090908E-2</v>
      </c>
    </row>
    <row r="388" spans="1:17" x14ac:dyDescent="0.25">
      <c r="A388">
        <f>ReturnData!A400</f>
        <v>200703</v>
      </c>
      <c r="B388" s="16">
        <f>AVERAGE(ReturnData!B388:B398)</f>
        <v>1.4172727272727274E-2</v>
      </c>
      <c r="C388" s="16">
        <f>AVERAGE(ReturnData!C388:C398)</f>
        <v>8.1454545454545443E-3</v>
      </c>
      <c r="D388" s="16">
        <f>AVERAGE(ReturnData!D388:D398)</f>
        <v>1.5781818181818182E-2</v>
      </c>
      <c r="E388" s="16">
        <f>AVERAGE(ReturnData!E388:E398)</f>
        <v>2.058181818181818E-2</v>
      </c>
      <c r="F388" s="16">
        <f>AVERAGE(ReturnData!F388:F398)</f>
        <v>1.1236363636363635E-2</v>
      </c>
      <c r="G388" s="16">
        <f>AVERAGE(ReturnData!G388:G398)</f>
        <v>1.4200000000000001E-2</v>
      </c>
      <c r="H388" s="16">
        <f>AVERAGE(ReturnData!H388:H398)</f>
        <v>1.1827272727272726E-2</v>
      </c>
      <c r="I388" s="16">
        <f>AVERAGE(ReturnData!I388:I398)</f>
        <v>-1.7090909090909127E-3</v>
      </c>
      <c r="J388" s="16">
        <f>AVERAGE(ReturnData!J388:J398)</f>
        <v>3.5109090909090909E-2</v>
      </c>
      <c r="K388" s="16">
        <f>AVERAGE(ReturnData!K388:K398)</f>
        <v>8.4090909090909077E-3</v>
      </c>
      <c r="L388" s="16">
        <f>AVERAGE(ReturnData!L388:L398)</f>
        <v>7.0545454545454548E-3</v>
      </c>
      <c r="M388" s="16">
        <f>AVERAGE(ReturnData!M388:M398)</f>
        <v>1.8372727272727273E-2</v>
      </c>
      <c r="N388" s="16">
        <f>AVERAGE(ReturnData!N388:N398)</f>
        <v>1.2636363636363635E-2</v>
      </c>
      <c r="O388" s="16">
        <f>AVERAGE(ReturnData!O388:O398)</f>
        <v>1.5254545454545458E-2</v>
      </c>
      <c r="P388" s="16">
        <f>AVERAGE(ReturnData!P388:P398)</f>
        <v>1.1599999999999999E-2</v>
      </c>
      <c r="Q388" s="16">
        <f>AVERAGE(ReturnData!Q388:Q398)</f>
        <v>1.1781818181818183E-2</v>
      </c>
    </row>
    <row r="389" spans="1:17" x14ac:dyDescent="0.25">
      <c r="A389">
        <f>ReturnData!A401</f>
        <v>200704</v>
      </c>
      <c r="B389" s="16">
        <f>AVERAGE(ReturnData!B389:B399)</f>
        <v>1.0981818181818183E-2</v>
      </c>
      <c r="C389" s="16">
        <f>AVERAGE(ReturnData!C389:C399)</f>
        <v>6.9272727272727264E-3</v>
      </c>
      <c r="D389" s="16">
        <f>AVERAGE(ReturnData!D389:D399)</f>
        <v>1.0154545454545454E-2</v>
      </c>
      <c r="E389" s="16">
        <f>AVERAGE(ReturnData!E389:E399)</f>
        <v>2.0745454545454543E-2</v>
      </c>
      <c r="F389" s="16">
        <f>AVERAGE(ReturnData!F389:F399)</f>
        <v>8.2363636363636372E-3</v>
      </c>
      <c r="G389" s="16">
        <f>AVERAGE(ReturnData!G389:G399)</f>
        <v>1.5290909090909093E-2</v>
      </c>
      <c r="H389" s="16">
        <f>AVERAGE(ReturnData!H389:H399)</f>
        <v>9.7636363636363615E-3</v>
      </c>
      <c r="I389" s="16">
        <f>AVERAGE(ReturnData!I389:I399)</f>
        <v>-4.5727272727272752E-3</v>
      </c>
      <c r="J389" s="16">
        <f>AVERAGE(ReturnData!J389:J399)</f>
        <v>2.6490909090909096E-2</v>
      </c>
      <c r="K389" s="16">
        <f>AVERAGE(ReturnData!K389:K399)</f>
        <v>4.7727272727272722E-3</v>
      </c>
      <c r="L389" s="16">
        <f>AVERAGE(ReturnData!L389:L399)</f>
        <v>4.1363636363636368E-3</v>
      </c>
      <c r="M389" s="16">
        <f>AVERAGE(ReturnData!M389:M399)</f>
        <v>1.6981818181818185E-2</v>
      </c>
      <c r="N389" s="16">
        <f>AVERAGE(ReturnData!N389:N399)</f>
        <v>8.0545454545454549E-3</v>
      </c>
      <c r="O389" s="16">
        <f>AVERAGE(ReturnData!O389:O399)</f>
        <v>2.2327272727272723E-2</v>
      </c>
      <c r="P389" s="16">
        <f>AVERAGE(ReturnData!P389:P399)</f>
        <v>8.9818181818181811E-3</v>
      </c>
      <c r="Q389" s="16">
        <f>AVERAGE(ReturnData!Q389:Q399)</f>
        <v>8.9181818181818182E-3</v>
      </c>
    </row>
    <row r="390" spans="1:17" x14ac:dyDescent="0.25">
      <c r="A390">
        <f>ReturnData!A402</f>
        <v>200705</v>
      </c>
      <c r="B390" s="16">
        <f>AVERAGE(ReturnData!B390:B400)</f>
        <v>1.2581818181818182E-2</v>
      </c>
      <c r="C390" s="16">
        <f>AVERAGE(ReturnData!C390:C400)</f>
        <v>-1.0545454545454593E-3</v>
      </c>
      <c r="D390" s="16">
        <f>AVERAGE(ReturnData!D390:D400)</f>
        <v>1.1763636363636363E-2</v>
      </c>
      <c r="E390" s="16">
        <f>AVERAGE(ReturnData!E390:E400)</f>
        <v>2.1481818181818182E-2</v>
      </c>
      <c r="F390" s="16">
        <f>AVERAGE(ReturnData!F390:F400)</f>
        <v>1.0509090909090907E-2</v>
      </c>
      <c r="G390" s="16">
        <f>AVERAGE(ReturnData!G390:G400)</f>
        <v>1.4772727272727271E-2</v>
      </c>
      <c r="H390" s="16">
        <f>AVERAGE(ReturnData!H390:H400)</f>
        <v>1.0909090909090908E-2</v>
      </c>
      <c r="I390" s="16">
        <f>AVERAGE(ReturnData!I390:I400)</f>
        <v>-7.3909090909090921E-3</v>
      </c>
      <c r="J390" s="16">
        <f>AVERAGE(ReturnData!J390:J400)</f>
        <v>2.525454545454546E-2</v>
      </c>
      <c r="K390" s="16">
        <f>AVERAGE(ReturnData!K390:K400)</f>
        <v>8.136363636363636E-3</v>
      </c>
      <c r="L390" s="16">
        <f>AVERAGE(ReturnData!L390:L400)</f>
        <v>3.3181818181818186E-3</v>
      </c>
      <c r="M390" s="16">
        <f>AVERAGE(ReturnData!M390:M400)</f>
        <v>1.8045454545454545E-2</v>
      </c>
      <c r="N390" s="16">
        <f>AVERAGE(ReturnData!N390:N400)</f>
        <v>6.1818181818181824E-3</v>
      </c>
      <c r="O390" s="16">
        <f>AVERAGE(ReturnData!O390:O400)</f>
        <v>2.458181818181818E-2</v>
      </c>
      <c r="P390" s="16">
        <f>AVERAGE(ReturnData!P390:P400)</f>
        <v>1.0945454545454545E-2</v>
      </c>
      <c r="Q390" s="16">
        <f>AVERAGE(ReturnData!Q390:Q400)</f>
        <v>6.0454545454545448E-3</v>
      </c>
    </row>
    <row r="391" spans="1:17" x14ac:dyDescent="0.25">
      <c r="A391">
        <f>ReturnData!A403</f>
        <v>200706</v>
      </c>
      <c r="B391" s="16">
        <f>AVERAGE(ReturnData!B391:B401)</f>
        <v>1.3272727272727271E-2</v>
      </c>
      <c r="C391" s="16">
        <f>AVERAGE(ReturnData!C391:C401)</f>
        <v>1.3863636363636361E-2</v>
      </c>
      <c r="D391" s="16">
        <f>AVERAGE(ReturnData!D391:D401)</f>
        <v>1.9372727272727274E-2</v>
      </c>
      <c r="E391" s="16">
        <f>AVERAGE(ReturnData!E391:E401)</f>
        <v>2.6318181818181817E-2</v>
      </c>
      <c r="F391" s="16">
        <f>AVERAGE(ReturnData!F391:F401)</f>
        <v>2.0545454545454547E-2</v>
      </c>
      <c r="G391" s="16">
        <f>AVERAGE(ReturnData!G391:G401)</f>
        <v>1.8454545454545456E-2</v>
      </c>
      <c r="H391" s="16">
        <f>AVERAGE(ReturnData!H391:H401)</f>
        <v>1.7536363636363631E-2</v>
      </c>
      <c r="I391" s="16">
        <f>AVERAGE(ReturnData!I391:I401)</f>
        <v>8.9090909090909021E-4</v>
      </c>
      <c r="J391" s="16">
        <f>AVERAGE(ReturnData!J391:J401)</f>
        <v>3.2463636363636361E-2</v>
      </c>
      <c r="K391" s="16">
        <f>AVERAGE(ReturnData!K391:K401)</f>
        <v>1.7081818181818184E-2</v>
      </c>
      <c r="L391" s="16">
        <f>AVERAGE(ReturnData!L391:L401)</f>
        <v>1.4572727272727272E-2</v>
      </c>
      <c r="M391" s="16">
        <f>AVERAGE(ReturnData!M391:M401)</f>
        <v>2.1609090909090908E-2</v>
      </c>
      <c r="N391" s="16">
        <f>AVERAGE(ReturnData!N391:N401)</f>
        <v>1.1536363636363638E-2</v>
      </c>
      <c r="O391" s="16">
        <f>AVERAGE(ReturnData!O391:O401)</f>
        <v>2.6799999999999994E-2</v>
      </c>
      <c r="P391" s="16">
        <f>AVERAGE(ReturnData!P391:P401)</f>
        <v>1.4563636363636362E-2</v>
      </c>
      <c r="Q391" s="16">
        <f>AVERAGE(ReturnData!Q391:Q401)</f>
        <v>1.2618181818181822E-2</v>
      </c>
    </row>
    <row r="392" spans="1:17" x14ac:dyDescent="0.25">
      <c r="A392">
        <f>ReturnData!A404</f>
        <v>200707</v>
      </c>
      <c r="B392" s="16">
        <f>AVERAGE(ReturnData!B392:B402)</f>
        <v>1.5900000000000001E-2</v>
      </c>
      <c r="C392" s="16">
        <f>AVERAGE(ReturnData!C392:C402)</f>
        <v>2.2136363636363635E-2</v>
      </c>
      <c r="D392" s="16">
        <f>AVERAGE(ReturnData!D392:D402)</f>
        <v>2.2936363636363633E-2</v>
      </c>
      <c r="E392" s="16">
        <f>AVERAGE(ReturnData!E392:E402)</f>
        <v>3.0827272727272727E-2</v>
      </c>
      <c r="F392" s="16">
        <f>AVERAGE(ReturnData!F392:F402)</f>
        <v>2.3327272727272728E-2</v>
      </c>
      <c r="G392" s="16">
        <f>AVERAGE(ReturnData!G392:G402)</f>
        <v>2.3863636363636365E-2</v>
      </c>
      <c r="H392" s="16">
        <f>AVERAGE(ReturnData!H392:H402)</f>
        <v>1.7736363636363637E-2</v>
      </c>
      <c r="I392" s="16">
        <f>AVERAGE(ReturnData!I392:I402)</f>
        <v>1.0163636363636363E-2</v>
      </c>
      <c r="J392" s="16">
        <f>AVERAGE(ReturnData!J392:J402)</f>
        <v>3.9399999999999998E-2</v>
      </c>
      <c r="K392" s="16">
        <f>AVERAGE(ReturnData!K392:K402)</f>
        <v>2.412727272727273E-2</v>
      </c>
      <c r="L392" s="16">
        <f>AVERAGE(ReturnData!L392:L402)</f>
        <v>2.073636363636364E-2</v>
      </c>
      <c r="M392" s="16">
        <f>AVERAGE(ReturnData!M392:M402)</f>
        <v>2.2763636363636361E-2</v>
      </c>
      <c r="N392" s="16">
        <f>AVERAGE(ReturnData!N392:N402)</f>
        <v>1.4390909090909093E-2</v>
      </c>
      <c r="O392" s="16">
        <f>AVERAGE(ReturnData!O392:O402)</f>
        <v>2.5700000000000001E-2</v>
      </c>
      <c r="P392" s="16">
        <f>AVERAGE(ReturnData!P392:P402)</f>
        <v>1.4927272727272728E-2</v>
      </c>
      <c r="Q392" s="16">
        <f>AVERAGE(ReturnData!Q392:Q402)</f>
        <v>1.5563636363636365E-2</v>
      </c>
    </row>
    <row r="393" spans="1:17" x14ac:dyDescent="0.25">
      <c r="A393">
        <f>ReturnData!A405</f>
        <v>200708</v>
      </c>
      <c r="B393" s="16">
        <f>AVERAGE(ReturnData!B393:B403)</f>
        <v>1.2727272727272728E-2</v>
      </c>
      <c r="C393" s="16">
        <f>AVERAGE(ReturnData!C393:C403)</f>
        <v>2.6000000000000002E-2</v>
      </c>
      <c r="D393" s="16">
        <f>AVERAGE(ReturnData!D393:D403)</f>
        <v>1.8763636363636364E-2</v>
      </c>
      <c r="E393" s="16">
        <f>AVERAGE(ReturnData!E393:E403)</f>
        <v>3.318181818181818E-2</v>
      </c>
      <c r="F393" s="16">
        <f>AVERAGE(ReturnData!F393:F403)</f>
        <v>2.3236363636363635E-2</v>
      </c>
      <c r="G393" s="16">
        <f>AVERAGE(ReturnData!G393:G403)</f>
        <v>2.9981818181818179E-2</v>
      </c>
      <c r="H393" s="16">
        <f>AVERAGE(ReturnData!H393:H403)</f>
        <v>1.0181818181818183E-2</v>
      </c>
      <c r="I393" s="16">
        <f>AVERAGE(ReturnData!I393:I403)</f>
        <v>1.239090909090909E-2</v>
      </c>
      <c r="J393" s="16">
        <f>AVERAGE(ReturnData!J393:J403)</f>
        <v>3.9990909090909084E-2</v>
      </c>
      <c r="K393" s="16">
        <f>AVERAGE(ReturnData!K393:K403)</f>
        <v>2.7454545454545454E-2</v>
      </c>
      <c r="L393" s="16">
        <f>AVERAGE(ReturnData!L393:L403)</f>
        <v>2.7072727272727273E-2</v>
      </c>
      <c r="M393" s="16">
        <f>AVERAGE(ReturnData!M393:M403)</f>
        <v>2.7690909090909089E-2</v>
      </c>
      <c r="N393" s="16">
        <f>AVERAGE(ReturnData!N393:N403)</f>
        <v>1.8590909090909092E-2</v>
      </c>
      <c r="O393" s="16">
        <f>AVERAGE(ReturnData!O393:O403)</f>
        <v>1.6918181818181818E-2</v>
      </c>
      <c r="P393" s="16">
        <f>AVERAGE(ReturnData!P393:P403)</f>
        <v>1.7236363636363636E-2</v>
      </c>
      <c r="Q393" s="16">
        <f>AVERAGE(ReturnData!Q393:Q403)</f>
        <v>1.0999999999999998E-2</v>
      </c>
    </row>
    <row r="394" spans="1:17" x14ac:dyDescent="0.25">
      <c r="A394">
        <f>ReturnData!A406</f>
        <v>200709</v>
      </c>
      <c r="B394" s="16">
        <f>AVERAGE(ReturnData!B394:B404)</f>
        <v>7.6181818181818165E-3</v>
      </c>
      <c r="C394" s="16">
        <f>AVERAGE(ReturnData!C394:C404)</f>
        <v>2.9390909090909089E-2</v>
      </c>
      <c r="D394" s="16">
        <f>AVERAGE(ReturnData!D394:D404)</f>
        <v>2.0881818181818182E-2</v>
      </c>
      <c r="E394" s="16">
        <f>AVERAGE(ReturnData!E394:E404)</f>
        <v>2.5527272727272732E-2</v>
      </c>
      <c r="F394" s="16">
        <f>AVERAGE(ReturnData!F394:F404)</f>
        <v>1.3890909090909091E-2</v>
      </c>
      <c r="G394" s="16">
        <f>AVERAGE(ReturnData!G394:G404)</f>
        <v>2.5736363636363644E-2</v>
      </c>
      <c r="H394" s="16">
        <f>AVERAGE(ReturnData!H394:H404)</f>
        <v>3.3090909090909104E-3</v>
      </c>
      <c r="I394" s="16">
        <f>AVERAGE(ReturnData!I394:I404)</f>
        <v>6.6363636363636347E-3</v>
      </c>
      <c r="J394" s="16">
        <f>AVERAGE(ReturnData!J394:J404)</f>
        <v>3.9918181818181818E-2</v>
      </c>
      <c r="K394" s="16">
        <f>AVERAGE(ReturnData!K394:K404)</f>
        <v>2.4272727272727276E-2</v>
      </c>
      <c r="L394" s="16">
        <f>AVERAGE(ReturnData!L394:L404)</f>
        <v>2.1300000000000003E-2</v>
      </c>
      <c r="M394" s="16">
        <f>AVERAGE(ReturnData!M394:M404)</f>
        <v>1.9327272727272728E-2</v>
      </c>
      <c r="N394" s="16">
        <f>AVERAGE(ReturnData!N394:N404)</f>
        <v>2.0054545454545457E-2</v>
      </c>
      <c r="O394" s="16">
        <f>AVERAGE(ReturnData!O394:O404)</f>
        <v>1.1463636363636363E-2</v>
      </c>
      <c r="P394" s="16">
        <f>AVERAGE(ReturnData!P394:P404)</f>
        <v>9.7818181818181815E-3</v>
      </c>
      <c r="Q394" s="16">
        <f>AVERAGE(ReturnData!Q394:Q404)</f>
        <v>2.7818181818181809E-3</v>
      </c>
    </row>
    <row r="395" spans="1:17" x14ac:dyDescent="0.25">
      <c r="A395">
        <f>ReturnData!A407</f>
        <v>200710</v>
      </c>
      <c r="B395" s="16">
        <f>AVERAGE(ReturnData!B395:B405)</f>
        <v>1.0263636363636364E-2</v>
      </c>
      <c r="C395" s="16">
        <f>AVERAGE(ReturnData!C395:C405)</f>
        <v>3.4590909090909096E-2</v>
      </c>
      <c r="D395" s="16">
        <f>AVERAGE(ReturnData!D395:D405)</f>
        <v>2.4381818181818175E-2</v>
      </c>
      <c r="E395" s="16">
        <f>AVERAGE(ReturnData!E395:E405)</f>
        <v>1.5327272727272722E-2</v>
      </c>
      <c r="F395" s="16">
        <f>AVERAGE(ReturnData!F395:F405)</f>
        <v>7.8999999999999973E-3</v>
      </c>
      <c r="G395" s="16">
        <f>AVERAGE(ReturnData!G395:G405)</f>
        <v>2.6118181818181822E-2</v>
      </c>
      <c r="H395" s="16">
        <f>AVERAGE(ReturnData!H395:H405)</f>
        <v>5.4181818181818185E-3</v>
      </c>
      <c r="I395" s="16">
        <f>AVERAGE(ReturnData!I395:I405)</f>
        <v>6.1454545454545434E-3</v>
      </c>
      <c r="J395" s="16">
        <f>AVERAGE(ReturnData!J395:J405)</f>
        <v>3.734545454545455E-2</v>
      </c>
      <c r="K395" s="16">
        <f>AVERAGE(ReturnData!K395:K405)</f>
        <v>2.4045454545454547E-2</v>
      </c>
      <c r="L395" s="16">
        <f>AVERAGE(ReturnData!L395:L405)</f>
        <v>2.2372727272727273E-2</v>
      </c>
      <c r="M395" s="16">
        <f>AVERAGE(ReturnData!M395:M405)</f>
        <v>1.3554545454545456E-2</v>
      </c>
      <c r="N395" s="16">
        <f>AVERAGE(ReturnData!N395:N405)</f>
        <v>1.5100000000000002E-2</v>
      </c>
      <c r="O395" s="16">
        <f>AVERAGE(ReturnData!O395:O405)</f>
        <v>1.5054545454545452E-2</v>
      </c>
      <c r="P395" s="16">
        <f>AVERAGE(ReturnData!P395:P405)</f>
        <v>4.7727272727272748E-3</v>
      </c>
      <c r="Q395" s="16">
        <f>AVERAGE(ReturnData!Q395:Q405)</f>
        <v>9.8181818181818179E-4</v>
      </c>
    </row>
    <row r="396" spans="1:17" x14ac:dyDescent="0.25">
      <c r="A396">
        <f>ReturnData!A408</f>
        <v>200711</v>
      </c>
      <c r="B396" s="16">
        <f>AVERAGE(ReturnData!B396:B406)</f>
        <v>1.5090909090909092E-2</v>
      </c>
      <c r="C396" s="16">
        <f>AVERAGE(ReturnData!C396:C406)</f>
        <v>3.6581818181818188E-2</v>
      </c>
      <c r="D396" s="16">
        <f>AVERAGE(ReturnData!D396:D406)</f>
        <v>2.691818181818182E-2</v>
      </c>
      <c r="E396" s="16">
        <f>AVERAGE(ReturnData!E396:E406)</f>
        <v>9.9818181818181802E-3</v>
      </c>
      <c r="F396" s="16">
        <f>AVERAGE(ReturnData!F396:F406)</f>
        <v>2.7272727272726792E-5</v>
      </c>
      <c r="G396" s="16">
        <f>AVERAGE(ReturnData!G396:G406)</f>
        <v>2.5645454545454548E-2</v>
      </c>
      <c r="H396" s="16">
        <f>AVERAGE(ReturnData!H396:H406)</f>
        <v>6.4181818181818194E-3</v>
      </c>
      <c r="I396" s="16">
        <f>AVERAGE(ReturnData!I396:I406)</f>
        <v>-3.981818181818181E-3</v>
      </c>
      <c r="J396" s="16">
        <f>AVERAGE(ReturnData!J396:J406)</f>
        <v>3.5063636363636359E-2</v>
      </c>
      <c r="K396" s="16">
        <f>AVERAGE(ReturnData!K396:K406)</f>
        <v>1.8354545454545457E-2</v>
      </c>
      <c r="L396" s="16">
        <f>AVERAGE(ReturnData!L396:L406)</f>
        <v>2.3381818181818184E-2</v>
      </c>
      <c r="M396" s="16">
        <f>AVERAGE(ReturnData!M396:M406)</f>
        <v>1.1909090909090913E-2</v>
      </c>
      <c r="N396" s="16">
        <f>AVERAGE(ReturnData!N396:N406)</f>
        <v>1.4400000000000001E-2</v>
      </c>
      <c r="O396" s="16">
        <f>AVERAGE(ReturnData!O396:O406)</f>
        <v>1.3399999999999997E-2</v>
      </c>
      <c r="P396" s="16">
        <f>AVERAGE(ReturnData!P396:P406)</f>
        <v>2.0272727272727278E-3</v>
      </c>
      <c r="Q396" s="16">
        <f>AVERAGE(ReturnData!Q396:Q406)</f>
        <v>8.7272727272727285E-4</v>
      </c>
    </row>
    <row r="397" spans="1:17" x14ac:dyDescent="0.25">
      <c r="A397">
        <f>ReturnData!A409</f>
        <v>200712</v>
      </c>
      <c r="B397" s="16">
        <f>AVERAGE(ReturnData!B397:B407)</f>
        <v>1.7127272727272727E-2</v>
      </c>
      <c r="C397" s="16">
        <f>AVERAGE(ReturnData!C397:C407)</f>
        <v>4.1263636363636363E-2</v>
      </c>
      <c r="D397" s="16">
        <f>AVERAGE(ReturnData!D397:D407)</f>
        <v>2.1254545454545457E-2</v>
      </c>
      <c r="E397" s="16">
        <f>AVERAGE(ReturnData!E397:E407)</f>
        <v>5.4090909090909085E-3</v>
      </c>
      <c r="F397" s="16">
        <f>AVERAGE(ReturnData!F397:F407)</f>
        <v>-1.4454545454545447E-3</v>
      </c>
      <c r="G397" s="16">
        <f>AVERAGE(ReturnData!G397:G407)</f>
        <v>2.6136363636363635E-2</v>
      </c>
      <c r="H397" s="16">
        <f>AVERAGE(ReturnData!H397:H407)</f>
        <v>7.972727272727272E-3</v>
      </c>
      <c r="I397" s="16">
        <f>AVERAGE(ReturnData!I397:I407)</f>
        <v>-7.1090909090909095E-3</v>
      </c>
      <c r="J397" s="16">
        <f>AVERAGE(ReturnData!J397:J407)</f>
        <v>2.9336363636363629E-2</v>
      </c>
      <c r="K397" s="16">
        <f>AVERAGE(ReturnData!K397:K407)</f>
        <v>1.7754545454545453E-2</v>
      </c>
      <c r="L397" s="16">
        <f>AVERAGE(ReturnData!L397:L407)</f>
        <v>2.2027272727272725E-2</v>
      </c>
      <c r="M397" s="16">
        <f>AVERAGE(ReturnData!M397:M407)</f>
        <v>1.2436363636363636E-2</v>
      </c>
      <c r="N397" s="16">
        <f>AVERAGE(ReturnData!N397:N407)</f>
        <v>1.2281818181818182E-2</v>
      </c>
      <c r="O397" s="16">
        <f>AVERAGE(ReturnData!O397:O407)</f>
        <v>1.6827272727272725E-2</v>
      </c>
      <c r="P397" s="16">
        <f>AVERAGE(ReturnData!P397:P407)</f>
        <v>5.400000000000002E-3</v>
      </c>
      <c r="Q397" s="16">
        <f>AVERAGE(ReturnData!Q397:Q407)</f>
        <v>-1.2727272727272724E-3</v>
      </c>
    </row>
    <row r="398" spans="1:17" x14ac:dyDescent="0.25">
      <c r="A398">
        <f>ReturnData!A410</f>
        <v>200801</v>
      </c>
      <c r="B398" s="16">
        <f>AVERAGE(ReturnData!B398:B408)</f>
        <v>1.6254545454545456E-2</v>
      </c>
      <c r="C398" s="16">
        <f>AVERAGE(ReturnData!C398:C408)</f>
        <v>3.9254545454545466E-2</v>
      </c>
      <c r="D398" s="16">
        <f>AVERAGE(ReturnData!D398:D408)</f>
        <v>1.8609090909090908E-2</v>
      </c>
      <c r="E398" s="16">
        <f>AVERAGE(ReturnData!E398:E408)</f>
        <v>-1.9363636363636362E-3</v>
      </c>
      <c r="F398" s="16">
        <f>AVERAGE(ReturnData!F398:F408)</f>
        <v>-7.5090909090909071E-3</v>
      </c>
      <c r="G398" s="16">
        <f>AVERAGE(ReturnData!G398:G408)</f>
        <v>2.1172727272727274E-2</v>
      </c>
      <c r="H398" s="16">
        <f>AVERAGE(ReturnData!H398:H408)</f>
        <v>9.2727272727272728E-3</v>
      </c>
      <c r="I398" s="16">
        <f>AVERAGE(ReturnData!I398:I408)</f>
        <v>-1.6954545454545455E-2</v>
      </c>
      <c r="J398" s="16">
        <f>AVERAGE(ReturnData!J398:J408)</f>
        <v>2.6399999999999993E-2</v>
      </c>
      <c r="K398" s="16">
        <f>AVERAGE(ReturnData!K398:K408)</f>
        <v>1.4290909090909092E-2</v>
      </c>
      <c r="L398" s="16">
        <f>AVERAGE(ReturnData!L398:L408)</f>
        <v>1.7581818181818178E-2</v>
      </c>
      <c r="M398" s="16">
        <f>AVERAGE(ReturnData!M398:M408)</f>
        <v>2.4818181818181823E-3</v>
      </c>
      <c r="N398" s="16">
        <f>AVERAGE(ReturnData!N398:N408)</f>
        <v>9.9000000000000008E-3</v>
      </c>
      <c r="O398" s="16">
        <f>AVERAGE(ReturnData!O398:O408)</f>
        <v>1.5509090909090905E-2</v>
      </c>
      <c r="P398" s="16">
        <f>AVERAGE(ReturnData!P398:P408)</f>
        <v>2.1090909090909094E-3</v>
      </c>
      <c r="Q398" s="16">
        <f>AVERAGE(ReturnData!Q398:Q408)</f>
        <v>-1.0345454545454545E-2</v>
      </c>
    </row>
    <row r="399" spans="1:17" x14ac:dyDescent="0.25">
      <c r="A399">
        <f>ReturnData!A411</f>
        <v>200802</v>
      </c>
      <c r="B399" s="16">
        <f>AVERAGE(ReturnData!B399:B409)</f>
        <v>1.5481818181818185E-2</v>
      </c>
      <c r="C399" s="16">
        <f>AVERAGE(ReturnData!C399:C409)</f>
        <v>3.6772727272727276E-2</v>
      </c>
      <c r="D399" s="16">
        <f>AVERAGE(ReturnData!D399:D409)</f>
        <v>2.6781818181818184E-2</v>
      </c>
      <c r="E399" s="16">
        <f>AVERAGE(ReturnData!E399:E409)</f>
        <v>-1.1509090909090908E-2</v>
      </c>
      <c r="F399" s="16">
        <f>AVERAGE(ReturnData!F399:F409)</f>
        <v>-1.2618181818181817E-2</v>
      </c>
      <c r="G399" s="16">
        <f>AVERAGE(ReturnData!G399:G409)</f>
        <v>2.2318181818181817E-2</v>
      </c>
      <c r="H399" s="16">
        <f>AVERAGE(ReturnData!H399:H409)</f>
        <v>3.1545454545454554E-3</v>
      </c>
      <c r="I399" s="16">
        <f>AVERAGE(ReturnData!I399:I409)</f>
        <v>-2.2100000000000002E-2</v>
      </c>
      <c r="J399" s="16">
        <f>AVERAGE(ReturnData!J399:J409)</f>
        <v>1.8354545454545453E-2</v>
      </c>
      <c r="K399" s="16">
        <f>AVERAGE(ReturnData!K399:K409)</f>
        <v>8.9454545454545446E-3</v>
      </c>
      <c r="L399" s="16">
        <f>AVERAGE(ReturnData!L399:L409)</f>
        <v>1.7290909090909093E-2</v>
      </c>
      <c r="M399" s="16">
        <f>AVERAGE(ReturnData!M399:M409)</f>
        <v>-2.7454545454545457E-3</v>
      </c>
      <c r="N399" s="16">
        <f>AVERAGE(ReturnData!N399:N409)</f>
        <v>4.5363636363636353E-3</v>
      </c>
      <c r="O399" s="16">
        <f>AVERAGE(ReturnData!O399:O409)</f>
        <v>1.5863636363636361E-2</v>
      </c>
      <c r="P399" s="16">
        <f>AVERAGE(ReturnData!P399:P409)</f>
        <v>-3.5272727272727261E-3</v>
      </c>
      <c r="Q399" s="16">
        <f>AVERAGE(ReturnData!Q399:Q409)</f>
        <v>-1.4436363636363636E-2</v>
      </c>
    </row>
    <row r="400" spans="1:17" x14ac:dyDescent="0.25">
      <c r="A400">
        <f>ReturnData!A412</f>
        <v>200803</v>
      </c>
      <c r="B400" s="16">
        <f>AVERAGE(ReturnData!B400:B410)</f>
        <v>1.0345454545454547E-2</v>
      </c>
      <c r="C400" s="16">
        <f>AVERAGE(ReturnData!C400:C410)</f>
        <v>2.6763636363636364E-2</v>
      </c>
      <c r="D400" s="16">
        <f>AVERAGE(ReturnData!D400:D410)</f>
        <v>2.0363636363636365E-2</v>
      </c>
      <c r="E400" s="16">
        <f>AVERAGE(ReturnData!E400:E410)</f>
        <v>-1.2981818181818183E-2</v>
      </c>
      <c r="F400" s="16">
        <f>AVERAGE(ReturnData!F400:F410)</f>
        <v>-1.7518181818181818E-2</v>
      </c>
      <c r="G400" s="16">
        <f>AVERAGE(ReturnData!G400:G410)</f>
        <v>1.4890909090909092E-2</v>
      </c>
      <c r="H400" s="16">
        <f>AVERAGE(ReturnData!H400:H410)</f>
        <v>9.0909090909090985E-4</v>
      </c>
      <c r="I400" s="16">
        <f>AVERAGE(ReturnData!I400:I410)</f>
        <v>-1.6536363636363637E-2</v>
      </c>
      <c r="J400" s="16">
        <f>AVERAGE(ReturnData!J400:J410)</f>
        <v>5.9909090909090893E-3</v>
      </c>
      <c r="K400" s="16">
        <f>AVERAGE(ReturnData!K400:K410)</f>
        <v>3.3818181818181829E-3</v>
      </c>
      <c r="L400" s="16">
        <f>AVERAGE(ReturnData!L400:L410)</f>
        <v>5.2909090909090857E-3</v>
      </c>
      <c r="M400" s="16">
        <f>AVERAGE(ReturnData!M400:M410)</f>
        <v>-7.7272727272727267E-3</v>
      </c>
      <c r="N400" s="16">
        <f>AVERAGE(ReturnData!N400:N410)</f>
        <v>3.9636363636363636E-3</v>
      </c>
      <c r="O400" s="16">
        <f>AVERAGE(ReturnData!O400:O410)</f>
        <v>5.799999999999997E-3</v>
      </c>
      <c r="P400" s="16">
        <f>AVERAGE(ReturnData!P400:P410)</f>
        <v>-4.3818181818181812E-3</v>
      </c>
      <c r="Q400" s="16">
        <f>AVERAGE(ReturnData!Q400:Q410)</f>
        <v>-1.3181818181818183E-2</v>
      </c>
    </row>
    <row r="401" spans="1:17" x14ac:dyDescent="0.25">
      <c r="A401">
        <f>ReturnData!A413</f>
        <v>200804</v>
      </c>
      <c r="B401" s="16">
        <f>AVERAGE(ReturnData!B401:B411)</f>
        <v>9.4909090909090933E-3</v>
      </c>
      <c r="C401" s="16">
        <f>AVERAGE(ReturnData!C401:C411)</f>
        <v>3.3027272727272732E-2</v>
      </c>
      <c r="D401" s="16">
        <f>AVERAGE(ReturnData!D401:D411)</f>
        <v>2.1100000000000004E-2</v>
      </c>
      <c r="E401" s="16">
        <f>AVERAGE(ReturnData!E401:E411)</f>
        <v>-1.721818181818182E-2</v>
      </c>
      <c r="F401" s="16">
        <f>AVERAGE(ReturnData!F401:F411)</f>
        <v>-2.2999999999999996E-2</v>
      </c>
      <c r="G401" s="16">
        <f>AVERAGE(ReturnData!G401:G411)</f>
        <v>1.7545454545454545E-2</v>
      </c>
      <c r="H401" s="16">
        <f>AVERAGE(ReturnData!H401:H411)</f>
        <v>-5.181818181818177E-4</v>
      </c>
      <c r="I401" s="16">
        <f>AVERAGE(ReturnData!I401:I411)</f>
        <v>-1.9836363636363635E-2</v>
      </c>
      <c r="J401" s="16">
        <f>AVERAGE(ReturnData!J401:J411)</f>
        <v>6.4181818181818177E-3</v>
      </c>
      <c r="K401" s="16">
        <f>AVERAGE(ReturnData!K401:K411)</f>
        <v>7.2727272727270397E-5</v>
      </c>
      <c r="L401" s="16">
        <f>AVERAGE(ReturnData!L401:L411)</f>
        <v>4.2545454545454544E-3</v>
      </c>
      <c r="M401" s="16">
        <f>AVERAGE(ReturnData!M401:M411)</f>
        <v>-1.3545454545454548E-2</v>
      </c>
      <c r="N401" s="16">
        <f>AVERAGE(ReturnData!N401:N411)</f>
        <v>8.4545454545454572E-4</v>
      </c>
      <c r="O401" s="16">
        <f>AVERAGE(ReturnData!O401:O411)</f>
        <v>-8.8181818181818283E-4</v>
      </c>
      <c r="P401" s="16">
        <f>AVERAGE(ReturnData!P401:P411)</f>
        <v>-9.4909090909090898E-3</v>
      </c>
      <c r="Q401" s="16">
        <f>AVERAGE(ReturnData!Q401:Q411)</f>
        <v>-2.2700000000000001E-2</v>
      </c>
    </row>
    <row r="402" spans="1:17" x14ac:dyDescent="0.25">
      <c r="A402">
        <f>ReturnData!A414</f>
        <v>200805</v>
      </c>
      <c r="B402" s="16">
        <f>AVERAGE(ReturnData!B402:B412)</f>
        <v>7.7545454545454558E-3</v>
      </c>
      <c r="C402" s="16">
        <f>AVERAGE(ReturnData!C402:C412)</f>
        <v>1.946363636363637E-2</v>
      </c>
      <c r="D402" s="16">
        <f>AVERAGE(ReturnData!D402:D412)</f>
        <v>1.4118181818181814E-2</v>
      </c>
      <c r="E402" s="16">
        <f>AVERAGE(ReturnData!E402:E412)</f>
        <v>-1.6463636363636368E-2</v>
      </c>
      <c r="F402" s="16">
        <f>AVERAGE(ReturnData!F402:F412)</f>
        <v>-2.9590909090909091E-2</v>
      </c>
      <c r="G402" s="16">
        <f>AVERAGE(ReturnData!G402:G412)</f>
        <v>1.4372727272727271E-2</v>
      </c>
      <c r="H402" s="16">
        <f>AVERAGE(ReturnData!H402:H412)</f>
        <v>-6.0636363636363631E-3</v>
      </c>
      <c r="I402" s="16">
        <f>AVERAGE(ReturnData!I402:I412)</f>
        <v>-2.0645454545454547E-2</v>
      </c>
      <c r="J402" s="16">
        <f>AVERAGE(ReturnData!J402:J412)</f>
        <v>2.9181818181818167E-3</v>
      </c>
      <c r="K402" s="16">
        <f>AVERAGE(ReturnData!K402:K412)</f>
        <v>-1.6727272727272739E-3</v>
      </c>
      <c r="L402" s="16">
        <f>AVERAGE(ReturnData!L402:L412)</f>
        <v>-6.8181818181818491E-4</v>
      </c>
      <c r="M402" s="16">
        <f>AVERAGE(ReturnData!M402:M412)</f>
        <v>-2.0872727272727275E-2</v>
      </c>
      <c r="N402" s="16">
        <f>AVERAGE(ReturnData!N402:N412)</f>
        <v>-3.3090909090909087E-3</v>
      </c>
      <c r="O402" s="16">
        <f>AVERAGE(ReturnData!O402:O412)</f>
        <v>-3.7272727272727275E-3</v>
      </c>
      <c r="P402" s="16">
        <f>AVERAGE(ReturnData!P402:P412)</f>
        <v>-9.4454545454545451E-3</v>
      </c>
      <c r="Q402" s="16">
        <f>AVERAGE(ReturnData!Q402:Q412)</f>
        <v>-2.9581818181818185E-2</v>
      </c>
    </row>
    <row r="403" spans="1:17" x14ac:dyDescent="0.25">
      <c r="A403">
        <f>ReturnData!A415</f>
        <v>200806</v>
      </c>
      <c r="B403" s="16">
        <f>AVERAGE(ReturnData!B403:B413)</f>
        <v>5.9727272727272719E-3</v>
      </c>
      <c r="C403" s="16">
        <f>AVERAGE(ReturnData!C403:C413)</f>
        <v>2.3963636363636368E-2</v>
      </c>
      <c r="D403" s="16">
        <f>AVERAGE(ReturnData!D403:D413)</f>
        <v>1.7218181818181817E-2</v>
      </c>
      <c r="E403" s="16">
        <f>AVERAGE(ReturnData!E403:E413)</f>
        <v>-1.8445454545454543E-2</v>
      </c>
      <c r="F403" s="16">
        <f>AVERAGE(ReturnData!F403:F413)</f>
        <v>-3.1709090909090909E-2</v>
      </c>
      <c r="G403" s="16">
        <f>AVERAGE(ReturnData!G403:G413)</f>
        <v>1.8790909090909091E-2</v>
      </c>
      <c r="H403" s="16">
        <f>AVERAGE(ReturnData!H403:H413)</f>
        <v>-9.6909090909090903E-3</v>
      </c>
      <c r="I403" s="16">
        <f>AVERAGE(ReturnData!I403:I413)</f>
        <v>-2.2072727272727275E-2</v>
      </c>
      <c r="J403" s="16">
        <f>AVERAGE(ReturnData!J403:J413)</f>
        <v>5.4545454545452324E-5</v>
      </c>
      <c r="K403" s="16">
        <f>AVERAGE(ReturnData!K403:K413)</f>
        <v>-7.2727272727274815E-5</v>
      </c>
      <c r="L403" s="16">
        <f>AVERAGE(ReturnData!L403:L413)</f>
        <v>1.3272727272727236E-3</v>
      </c>
      <c r="M403" s="16">
        <f>AVERAGE(ReturnData!M403:M413)</f>
        <v>-1.2681818181818178E-2</v>
      </c>
      <c r="N403" s="16">
        <f>AVERAGE(ReturnData!N403:N413)</f>
        <v>-1.3636363636363648E-3</v>
      </c>
      <c r="O403" s="16">
        <f>AVERAGE(ReturnData!O403:O413)</f>
        <v>9.9090909090909091E-4</v>
      </c>
      <c r="P403" s="16">
        <f>AVERAGE(ReturnData!P403:P413)</f>
        <v>-5.8818181818181799E-3</v>
      </c>
      <c r="Q403" s="16">
        <f>AVERAGE(ReturnData!Q403:Q413)</f>
        <v>-2.7127272727272726E-2</v>
      </c>
    </row>
    <row r="404" spans="1:17" x14ac:dyDescent="0.25">
      <c r="A404">
        <f>ReturnData!A416</f>
        <v>200807</v>
      </c>
      <c r="B404" s="16">
        <f>AVERAGE(ReturnData!B404:B414)</f>
        <v>8.3727272727272713E-3</v>
      </c>
      <c r="C404" s="16">
        <f>AVERAGE(ReturnData!C404:C414)</f>
        <v>3.5190909090909099E-2</v>
      </c>
      <c r="D404" s="16">
        <f>AVERAGE(ReturnData!D404:D414)</f>
        <v>1.9400000000000001E-2</v>
      </c>
      <c r="E404" s="16">
        <f>AVERAGE(ReturnData!E404:E414)</f>
        <v>-1.5372727272727271E-2</v>
      </c>
      <c r="F404" s="16">
        <f>AVERAGE(ReturnData!F404:F414)</f>
        <v>-2.7454545454545454E-2</v>
      </c>
      <c r="G404" s="16">
        <f>AVERAGE(ReturnData!G404:G414)</f>
        <v>1.9572727272727273E-2</v>
      </c>
      <c r="H404" s="16">
        <f>AVERAGE(ReturnData!H404:H414)</f>
        <v>-4.0818181818181821E-3</v>
      </c>
      <c r="I404" s="16">
        <f>AVERAGE(ReturnData!I404:I414)</f>
        <v>-1.8136363636363631E-2</v>
      </c>
      <c r="J404" s="16">
        <f>AVERAGE(ReturnData!J404:J414)</f>
        <v>1.0981818181818181E-2</v>
      </c>
      <c r="K404" s="16">
        <f>AVERAGE(ReturnData!K404:K414)</f>
        <v>3.9636363636363628E-3</v>
      </c>
      <c r="L404" s="16">
        <f>AVERAGE(ReturnData!L404:L414)</f>
        <v>5.4181818181818168E-3</v>
      </c>
      <c r="M404" s="16">
        <f>AVERAGE(ReturnData!M404:M414)</f>
        <v>-1.6227272727272726E-2</v>
      </c>
      <c r="N404" s="16">
        <f>AVERAGE(ReturnData!N404:N414)</f>
        <v>2.690909090909091E-3</v>
      </c>
      <c r="O404" s="16">
        <f>AVERAGE(ReturnData!O404:O414)</f>
        <v>8.6363636363636365E-3</v>
      </c>
      <c r="P404" s="16">
        <f>AVERAGE(ReturnData!P404:P414)</f>
        <v>-3.2181818181818184E-3</v>
      </c>
      <c r="Q404" s="16">
        <f>AVERAGE(ReturnData!Q404:Q414)</f>
        <v>-2.7654545454545456E-2</v>
      </c>
    </row>
    <row r="405" spans="1:17" x14ac:dyDescent="0.25">
      <c r="A405">
        <f>ReturnData!A417</f>
        <v>200808</v>
      </c>
      <c r="B405" s="16">
        <f>AVERAGE(ReturnData!B405:B415)</f>
        <v>4.8181818181818195E-3</v>
      </c>
      <c r="C405" s="16">
        <f>AVERAGE(ReturnData!C405:C415)</f>
        <v>4.0899999999999999E-2</v>
      </c>
      <c r="D405" s="16">
        <f>AVERAGE(ReturnData!D405:D415)</f>
        <v>2.1945454545454546E-2</v>
      </c>
      <c r="E405" s="16">
        <f>AVERAGE(ReturnData!E405:E415)</f>
        <v>-2.29E-2</v>
      </c>
      <c r="F405" s="16">
        <f>AVERAGE(ReturnData!F405:F415)</f>
        <v>-3.1427272727272727E-2</v>
      </c>
      <c r="G405" s="16">
        <f>AVERAGE(ReturnData!G405:G415)</f>
        <v>1.6918181818181818E-2</v>
      </c>
      <c r="H405" s="16">
        <f>AVERAGE(ReturnData!H405:H415)</f>
        <v>-4.7181818181818184E-3</v>
      </c>
      <c r="I405" s="16">
        <f>AVERAGE(ReturnData!I405:I415)</f>
        <v>-2.3899999999999998E-2</v>
      </c>
      <c r="J405" s="16">
        <f>AVERAGE(ReturnData!J405:J415)</f>
        <v>6.7545454545454523E-3</v>
      </c>
      <c r="K405" s="16">
        <f>AVERAGE(ReturnData!K405:K415)</f>
        <v>-4.5545454545454578E-3</v>
      </c>
      <c r="L405" s="16">
        <f>AVERAGE(ReturnData!L405:L415)</f>
        <v>-3.4000000000000028E-3</v>
      </c>
      <c r="M405" s="16">
        <f>AVERAGE(ReturnData!M405:M415)</f>
        <v>-2.6836363636363637E-2</v>
      </c>
      <c r="N405" s="16">
        <f>AVERAGE(ReturnData!N405:N415)</f>
        <v>-9.5272727272727262E-3</v>
      </c>
      <c r="O405" s="16">
        <f>AVERAGE(ReturnData!O405:O415)</f>
        <v>1.1654545454545456E-2</v>
      </c>
      <c r="P405" s="16">
        <f>AVERAGE(ReturnData!P405:P415)</f>
        <v>-5.2545454545454553E-3</v>
      </c>
      <c r="Q405" s="16">
        <f>AVERAGE(ReturnData!Q405:Q415)</f>
        <v>-3.6727272727272726E-2</v>
      </c>
    </row>
    <row r="406" spans="1:17" x14ac:dyDescent="0.25">
      <c r="A406">
        <f>ReturnData!A418</f>
        <v>200809</v>
      </c>
      <c r="B406" s="16">
        <f>AVERAGE(ReturnData!B406:B416)</f>
        <v>4.5636363636363617E-3</v>
      </c>
      <c r="C406" s="16">
        <f>AVERAGE(ReturnData!C406:C416)</f>
        <v>2.8318181818181822E-2</v>
      </c>
      <c r="D406" s="16">
        <f>AVERAGE(ReturnData!D406:D416)</f>
        <v>7.7363636363636376E-3</v>
      </c>
      <c r="E406" s="16">
        <f>AVERAGE(ReturnData!E406:E416)</f>
        <v>-2.4418181818181825E-2</v>
      </c>
      <c r="F406" s="16">
        <f>AVERAGE(ReturnData!F406:F416)</f>
        <v>-2.1463636363636362E-2</v>
      </c>
      <c r="G406" s="16">
        <f>AVERAGE(ReturnData!G406:G416)</f>
        <v>1.3363636363636362E-2</v>
      </c>
      <c r="H406" s="16">
        <f>AVERAGE(ReturnData!H406:H416)</f>
        <v>-2.5818181818181812E-3</v>
      </c>
      <c r="I406" s="16">
        <f>AVERAGE(ReturnData!I406:I416)</f>
        <v>-2.3263636363636361E-2</v>
      </c>
      <c r="J406" s="16">
        <f>AVERAGE(ReturnData!J406:J416)</f>
        <v>-1.4454545454545464E-3</v>
      </c>
      <c r="K406" s="16">
        <f>AVERAGE(ReturnData!K406:K416)</f>
        <v>-1.0009090909090912E-2</v>
      </c>
      <c r="L406" s="16">
        <f>AVERAGE(ReturnData!L406:L416)</f>
        <v>-8.6181818181818182E-3</v>
      </c>
      <c r="M406" s="16">
        <f>AVERAGE(ReturnData!M406:M416)</f>
        <v>-2.6854545454545454E-2</v>
      </c>
      <c r="N406" s="16">
        <f>AVERAGE(ReturnData!N406:N416)</f>
        <v>-4.9181818181818172E-3</v>
      </c>
      <c r="O406" s="16">
        <f>AVERAGE(ReturnData!O406:O416)</f>
        <v>3.5000000000000005E-3</v>
      </c>
      <c r="P406" s="16">
        <f>AVERAGE(ReturnData!P406:P416)</f>
        <v>-5.4090909090909094E-3</v>
      </c>
      <c r="Q406" s="16">
        <f>AVERAGE(ReturnData!Q406:Q416)</f>
        <v>-3.1645454545454546E-2</v>
      </c>
    </row>
    <row r="407" spans="1:17" x14ac:dyDescent="0.25">
      <c r="A407">
        <f>ReturnData!A419</f>
        <v>200810</v>
      </c>
      <c r="B407" s="16">
        <f>AVERAGE(ReturnData!B407:B417)</f>
        <v>-3.9090909090909058E-4</v>
      </c>
      <c r="C407" s="16">
        <f>AVERAGE(ReturnData!C407:C417)</f>
        <v>1.0809090909090907E-2</v>
      </c>
      <c r="D407" s="16">
        <f>AVERAGE(ReturnData!D407:D417)</f>
        <v>9.1818181818181875E-4</v>
      </c>
      <c r="E407" s="16">
        <f>AVERAGE(ReturnData!E407:E417)</f>
        <v>-1.7318181818181819E-2</v>
      </c>
      <c r="F407" s="16">
        <f>AVERAGE(ReturnData!F407:F417)</f>
        <v>-1.615454545454546E-2</v>
      </c>
      <c r="G407" s="16">
        <f>AVERAGE(ReturnData!G407:G417)</f>
        <v>5.1545454545454542E-3</v>
      </c>
      <c r="H407" s="16">
        <f>AVERAGE(ReturnData!H407:H417)</f>
        <v>-2.3090909090909091E-3</v>
      </c>
      <c r="I407" s="16">
        <f>AVERAGE(ReturnData!I407:I417)</f>
        <v>-9.3272727272727257E-3</v>
      </c>
      <c r="J407" s="16">
        <f>AVERAGE(ReturnData!J407:J417)</f>
        <v>-1.5463636363636363E-2</v>
      </c>
      <c r="K407" s="16">
        <f>AVERAGE(ReturnData!K407:K417)</f>
        <v>-8.3545454545454548E-3</v>
      </c>
      <c r="L407" s="16">
        <f>AVERAGE(ReturnData!L407:L417)</f>
        <v>-1.0009090909090914E-2</v>
      </c>
      <c r="M407" s="16">
        <f>AVERAGE(ReturnData!M407:M417)</f>
        <v>-2.8390909090909088E-2</v>
      </c>
      <c r="N407" s="16">
        <f>AVERAGE(ReturnData!N407:N417)</f>
        <v>-5.5272727272727253E-3</v>
      </c>
      <c r="O407" s="16">
        <f>AVERAGE(ReturnData!O407:O417)</f>
        <v>-1.0909090909090985E-4</v>
      </c>
      <c r="P407" s="16">
        <f>AVERAGE(ReturnData!P407:P417)</f>
        <v>-1.7636363636363637E-3</v>
      </c>
      <c r="Q407" s="16">
        <f>AVERAGE(ReturnData!Q407:Q417)</f>
        <v>-3.3399999999999999E-2</v>
      </c>
    </row>
    <row r="408" spans="1:17" x14ac:dyDescent="0.25">
      <c r="A408">
        <f>ReturnData!A420</f>
        <v>200811</v>
      </c>
      <c r="B408" s="16">
        <f>AVERAGE(ReturnData!B408:B418)</f>
        <v>-3.8909090909090907E-3</v>
      </c>
      <c r="C408" s="16">
        <f>AVERAGE(ReturnData!C408:C418)</f>
        <v>-2.7627272727272723E-2</v>
      </c>
      <c r="D408" s="16">
        <f>AVERAGE(ReturnData!D408:D418)</f>
        <v>-1.1190909090909092E-2</v>
      </c>
      <c r="E408" s="16">
        <f>AVERAGE(ReturnData!E408:E418)</f>
        <v>-1.7790909090909097E-2</v>
      </c>
      <c r="F408" s="16">
        <f>AVERAGE(ReturnData!F408:F418)</f>
        <v>-2.1354545454545456E-2</v>
      </c>
      <c r="G408" s="16">
        <f>AVERAGE(ReturnData!G408:G418)</f>
        <v>-1.609090909090909E-2</v>
      </c>
      <c r="H408" s="16">
        <f>AVERAGE(ReturnData!H408:H418)</f>
        <v>-8.0727272727272713E-3</v>
      </c>
      <c r="I408" s="16">
        <f>AVERAGE(ReturnData!I408:I418)</f>
        <v>-1.7127272727272727E-2</v>
      </c>
      <c r="J408" s="16">
        <f>AVERAGE(ReturnData!J408:J418)</f>
        <v>-4.5909090909090906E-2</v>
      </c>
      <c r="K408" s="16">
        <f>AVERAGE(ReturnData!K408:K418)</f>
        <v>-2.2963636363636367E-2</v>
      </c>
      <c r="L408" s="16">
        <f>AVERAGE(ReturnData!L408:L418)</f>
        <v>-2.8136363636363636E-2</v>
      </c>
      <c r="M408" s="16">
        <f>AVERAGE(ReturnData!M408:M418)</f>
        <v>-3.9390909090909088E-2</v>
      </c>
      <c r="N408" s="16">
        <f>AVERAGE(ReturnData!N408:N418)</f>
        <v>-1.669090909090909E-2</v>
      </c>
      <c r="O408" s="16">
        <f>AVERAGE(ReturnData!O408:O418)</f>
        <v>-1.7172727272727274E-2</v>
      </c>
      <c r="P408" s="16">
        <f>AVERAGE(ReturnData!P408:P418)</f>
        <v>-7.4636363636363641E-3</v>
      </c>
      <c r="Q408" s="16">
        <f>AVERAGE(ReturnData!Q408:Q418)</f>
        <v>-3.6009090909090907E-2</v>
      </c>
    </row>
    <row r="409" spans="1:17" x14ac:dyDescent="0.25">
      <c r="A409">
        <f>ReturnData!A421</f>
        <v>200812</v>
      </c>
      <c r="B409" s="16">
        <f>AVERAGE(ReturnData!B409:B419)</f>
        <v>-1.6663636363636363E-2</v>
      </c>
      <c r="C409" s="16">
        <f>AVERAGE(ReturnData!C409:C419)</f>
        <v>-5.0300000000000004E-2</v>
      </c>
      <c r="D409" s="16">
        <f>AVERAGE(ReturnData!D409:D419)</f>
        <v>-2.1790909090909093E-2</v>
      </c>
      <c r="E409" s="16">
        <f>AVERAGE(ReturnData!E409:E419)</f>
        <v>-3.093636363636364E-2</v>
      </c>
      <c r="F409" s="16">
        <f>AVERAGE(ReturnData!F409:F419)</f>
        <v>-3.848181818181818E-2</v>
      </c>
      <c r="G409" s="16">
        <f>AVERAGE(ReturnData!G409:G419)</f>
        <v>-3.214545454545454E-2</v>
      </c>
      <c r="H409" s="16">
        <f>AVERAGE(ReturnData!H409:H419)</f>
        <v>-1.8854545454545454E-2</v>
      </c>
      <c r="I409" s="16">
        <f>AVERAGE(ReturnData!I409:I419)</f>
        <v>-2.6554545454545456E-2</v>
      </c>
      <c r="J409" s="16">
        <f>AVERAGE(ReturnData!J409:J419)</f>
        <v>-6.9981818181818173E-2</v>
      </c>
      <c r="K409" s="16">
        <f>AVERAGE(ReturnData!K409:K419)</f>
        <v>-4.0390909090909095E-2</v>
      </c>
      <c r="L409" s="16">
        <f>AVERAGE(ReturnData!L409:L419)</f>
        <v>-4.1645454545454548E-2</v>
      </c>
      <c r="M409" s="16">
        <f>AVERAGE(ReturnData!M409:M419)</f>
        <v>-5.505454545454546E-2</v>
      </c>
      <c r="N409" s="16">
        <f>AVERAGE(ReturnData!N409:N419)</f>
        <v>-2.6309090909090907E-2</v>
      </c>
      <c r="O409" s="16">
        <f>AVERAGE(ReturnData!O409:O419)</f>
        <v>-2.6627272727272725E-2</v>
      </c>
      <c r="P409" s="16">
        <f>AVERAGE(ReturnData!P409:P419)</f>
        <v>-1.8672727272727271E-2</v>
      </c>
      <c r="Q409" s="16">
        <f>AVERAGE(ReturnData!Q409:Q419)</f>
        <v>-4.871818181818182E-2</v>
      </c>
    </row>
    <row r="410" spans="1:17" x14ac:dyDescent="0.25">
      <c r="A410">
        <f>ReturnData!A422</f>
        <v>200901</v>
      </c>
      <c r="B410" s="16">
        <f>AVERAGE(ReturnData!B410:B420)</f>
        <v>-2.0136363636363633E-2</v>
      </c>
      <c r="C410" s="16">
        <f>AVERAGE(ReturnData!C410:C420)</f>
        <v>-6.0663636363636364E-2</v>
      </c>
      <c r="D410" s="16">
        <f>AVERAGE(ReturnData!D410:D420)</f>
        <v>-2.7663636363636366E-2</v>
      </c>
      <c r="E410" s="16">
        <f>AVERAGE(ReturnData!E410:E420)</f>
        <v>-3.8381818181818184E-2</v>
      </c>
      <c r="F410" s="16">
        <f>AVERAGE(ReturnData!F410:F420)</f>
        <v>-4.5218181818181817E-2</v>
      </c>
      <c r="G410" s="16">
        <f>AVERAGE(ReturnData!G410:G420)</f>
        <v>-5.2554545454545451E-2</v>
      </c>
      <c r="H410" s="16">
        <f>AVERAGE(ReturnData!H410:H420)</f>
        <v>-1.9072727272727272E-2</v>
      </c>
      <c r="I410" s="16">
        <f>AVERAGE(ReturnData!I410:I420)</f>
        <v>-2.8172727272727273E-2</v>
      </c>
      <c r="J410" s="16">
        <f>AVERAGE(ReturnData!J410:J420)</f>
        <v>-8.2045454545454546E-2</v>
      </c>
      <c r="K410" s="16">
        <f>AVERAGE(ReturnData!K410:K420)</f>
        <v>-4.1372727272727276E-2</v>
      </c>
      <c r="L410" s="16">
        <f>AVERAGE(ReturnData!L410:L420)</f>
        <v>-5.2263636363636373E-2</v>
      </c>
      <c r="M410" s="16">
        <f>AVERAGE(ReturnData!M410:M420)</f>
        <v>-6.0354545454545445E-2</v>
      </c>
      <c r="N410" s="16">
        <f>AVERAGE(ReturnData!N410:N420)</f>
        <v>-3.4809090909090908E-2</v>
      </c>
      <c r="O410" s="16">
        <f>AVERAGE(ReturnData!O410:O420)</f>
        <v>-2.632727272727273E-2</v>
      </c>
      <c r="P410" s="16">
        <f>AVERAGE(ReturnData!P410:P420)</f>
        <v>-2.2918181818181817E-2</v>
      </c>
      <c r="Q410" s="16">
        <f>AVERAGE(ReturnData!Q410:Q420)</f>
        <v>-5.7981818181818183E-2</v>
      </c>
    </row>
    <row r="411" spans="1:17" x14ac:dyDescent="0.25">
      <c r="A411">
        <f>ReturnData!A423</f>
        <v>200902</v>
      </c>
      <c r="B411" s="16">
        <f>AVERAGE(ReturnData!B411:B421)</f>
        <v>-1.3581818181818183E-2</v>
      </c>
      <c r="C411" s="16">
        <f>AVERAGE(ReturnData!C411:C421)</f>
        <v>-4.7690909090909089E-2</v>
      </c>
      <c r="D411" s="16">
        <f>AVERAGE(ReturnData!D411:D421)</f>
        <v>-2.1409090909090912E-2</v>
      </c>
      <c r="E411" s="16">
        <f>AVERAGE(ReturnData!E411:E421)</f>
        <v>-3.4627272727272729E-2</v>
      </c>
      <c r="F411" s="16">
        <f>AVERAGE(ReturnData!F411:F421)</f>
        <v>-3.9590909090909093E-2</v>
      </c>
      <c r="G411" s="16">
        <f>AVERAGE(ReturnData!G411:G421)</f>
        <v>-4.9527272727272725E-2</v>
      </c>
      <c r="H411" s="16">
        <f>AVERAGE(ReturnData!H411:H421)</f>
        <v>-1.0418181818181819E-2</v>
      </c>
      <c r="I411" s="16">
        <f>AVERAGE(ReturnData!I411:I421)</f>
        <v>-2.9590909090909098E-2</v>
      </c>
      <c r="J411" s="16">
        <f>AVERAGE(ReturnData!J411:J421)</f>
        <v>-5.7227272727272724E-2</v>
      </c>
      <c r="K411" s="16">
        <f>AVERAGE(ReturnData!K411:K421)</f>
        <v>-2.8227272727272726E-2</v>
      </c>
      <c r="L411" s="16">
        <f>AVERAGE(ReturnData!L411:L421)</f>
        <v>-3.8109090909090912E-2</v>
      </c>
      <c r="M411" s="16">
        <f>AVERAGE(ReturnData!M411:M421)</f>
        <v>-5.3299999999999993E-2</v>
      </c>
      <c r="N411" s="16">
        <f>AVERAGE(ReturnData!N411:N421)</f>
        <v>-3.0854545454545454E-2</v>
      </c>
      <c r="O411" s="16">
        <f>AVERAGE(ReturnData!O411:O421)</f>
        <v>-2.1881818181818179E-2</v>
      </c>
      <c r="P411" s="16">
        <f>AVERAGE(ReturnData!P411:P421)</f>
        <v>-1.7672727272727271E-2</v>
      </c>
      <c r="Q411" s="16">
        <f>AVERAGE(ReturnData!Q411:Q421)</f>
        <v>-5.5590909090909094E-2</v>
      </c>
    </row>
    <row r="412" spans="1:17" x14ac:dyDescent="0.25">
      <c r="A412">
        <f>ReturnData!A424</f>
        <v>200903</v>
      </c>
      <c r="B412" s="16">
        <f>AVERAGE(ReturnData!B412:B422)</f>
        <v>-1.8390909090909093E-2</v>
      </c>
      <c r="C412" s="16">
        <f>AVERAGE(ReturnData!C412:C422)</f>
        <v>-6.1963636363636353E-2</v>
      </c>
      <c r="D412" s="16">
        <f>AVERAGE(ReturnData!D412:D422)</f>
        <v>-3.0881818181818191E-2</v>
      </c>
      <c r="E412" s="16">
        <f>AVERAGE(ReturnData!E412:E422)</f>
        <v>-4.244545454545455E-2</v>
      </c>
      <c r="F412" s="16">
        <f>AVERAGE(ReturnData!F412:F422)</f>
        <v>-4.8609090909090907E-2</v>
      </c>
      <c r="G412" s="16">
        <f>AVERAGE(ReturnData!G412:G422)</f>
        <v>-5.9072727272727277E-2</v>
      </c>
      <c r="H412" s="16">
        <f>AVERAGE(ReturnData!H412:H422)</f>
        <v>-1.4563636363636364E-2</v>
      </c>
      <c r="I412" s="16">
        <f>AVERAGE(ReturnData!I412:I422)</f>
        <v>-3.322727272727273E-2</v>
      </c>
      <c r="J412" s="16">
        <f>AVERAGE(ReturnData!J412:J422)</f>
        <v>-7.8518181818181806E-2</v>
      </c>
      <c r="K412" s="16">
        <f>AVERAGE(ReturnData!K412:K422)</f>
        <v>-3.5763636363636359E-2</v>
      </c>
      <c r="L412" s="16">
        <f>AVERAGE(ReturnData!L412:L422)</f>
        <v>-4.2018181818181816E-2</v>
      </c>
      <c r="M412" s="16">
        <f>AVERAGE(ReturnData!M412:M422)</f>
        <v>-5.7536363636363635E-2</v>
      </c>
      <c r="N412" s="16">
        <f>AVERAGE(ReturnData!N412:N422)</f>
        <v>-3.6900000000000002E-2</v>
      </c>
      <c r="O412" s="16">
        <f>AVERAGE(ReturnData!O412:O422)</f>
        <v>-1.9881818181818181E-2</v>
      </c>
      <c r="P412" s="16">
        <f>AVERAGE(ReturnData!P412:P422)</f>
        <v>-2.1354545454545456E-2</v>
      </c>
      <c r="Q412" s="16">
        <f>AVERAGE(ReturnData!Q412:Q422)</f>
        <v>-6.5036363636363642E-2</v>
      </c>
    </row>
    <row r="413" spans="1:17" x14ac:dyDescent="0.25">
      <c r="A413">
        <f>ReturnData!A425</f>
        <v>200904</v>
      </c>
      <c r="B413" s="16">
        <f>AVERAGE(ReturnData!B413:B423)</f>
        <v>-2.6518181818181819E-2</v>
      </c>
      <c r="C413" s="16">
        <f>AVERAGE(ReturnData!C413:C423)</f>
        <v>-5.6445454545454535E-2</v>
      </c>
      <c r="D413" s="16">
        <f>AVERAGE(ReturnData!D413:D423)</f>
        <v>-3.9781818181818189E-2</v>
      </c>
      <c r="E413" s="16">
        <f>AVERAGE(ReturnData!E413:E423)</f>
        <v>-5.4145454545454545E-2</v>
      </c>
      <c r="F413" s="16">
        <f>AVERAGE(ReturnData!F413:F423)</f>
        <v>-6.4927272727272722E-2</v>
      </c>
      <c r="G413" s="16">
        <f>AVERAGE(ReturnData!G413:G423)</f>
        <v>-6.4972727272727265E-2</v>
      </c>
      <c r="H413" s="16">
        <f>AVERAGE(ReturnData!H413:H423)</f>
        <v>-2.2354545454545457E-2</v>
      </c>
      <c r="I413" s="16">
        <f>AVERAGE(ReturnData!I413:I423)</f>
        <v>-4.4236363636363636E-2</v>
      </c>
      <c r="J413" s="16">
        <f>AVERAGE(ReturnData!J413:J423)</f>
        <v>-9.5563636363636378E-2</v>
      </c>
      <c r="K413" s="16">
        <f>AVERAGE(ReturnData!K413:K423)</f>
        <v>-4.5999999999999999E-2</v>
      </c>
      <c r="L413" s="16">
        <f>AVERAGE(ReturnData!L413:L423)</f>
        <v>-5.0227272727272725E-2</v>
      </c>
      <c r="M413" s="16">
        <f>AVERAGE(ReturnData!M413:M423)</f>
        <v>-5.8345454545454548E-2</v>
      </c>
      <c r="N413" s="16">
        <f>AVERAGE(ReturnData!N413:N423)</f>
        <v>-5.0763636363636365E-2</v>
      </c>
      <c r="O413" s="16">
        <f>AVERAGE(ReturnData!O413:O423)</f>
        <v>-3.2063636363636364E-2</v>
      </c>
      <c r="P413" s="16">
        <f>AVERAGE(ReturnData!P413:P423)</f>
        <v>-2.5354545454545459E-2</v>
      </c>
      <c r="Q413" s="16">
        <f>AVERAGE(ReturnData!Q413:Q423)</f>
        <v>-7.5445454545454552E-2</v>
      </c>
    </row>
    <row r="414" spans="1:17" x14ac:dyDescent="0.25">
      <c r="A414">
        <f>ReturnData!A426</f>
        <v>200905</v>
      </c>
      <c r="B414" s="16">
        <f>AVERAGE(ReturnData!B414:B424)</f>
        <v>-2.2009090909090909E-2</v>
      </c>
      <c r="C414" s="16">
        <f>AVERAGE(ReturnData!C414:C424)</f>
        <v>-5.722727272727271E-2</v>
      </c>
      <c r="D414" s="16">
        <f>AVERAGE(ReturnData!D414:D424)</f>
        <v>-4.5590909090909099E-2</v>
      </c>
      <c r="E414" s="16">
        <f>AVERAGE(ReturnData!E414:E424)</f>
        <v>-4.2045454545454546E-2</v>
      </c>
      <c r="F414" s="16">
        <f>AVERAGE(ReturnData!F414:F424)</f>
        <v>-5.5499999999999994E-2</v>
      </c>
      <c r="G414" s="16">
        <f>AVERAGE(ReturnData!G414:G424)</f>
        <v>-5.8827272727272728E-2</v>
      </c>
      <c r="H414" s="16">
        <f>AVERAGE(ReturnData!H414:H424)</f>
        <v>-1.4336363636363637E-2</v>
      </c>
      <c r="I414" s="16">
        <f>AVERAGE(ReturnData!I414:I424)</f>
        <v>-3.5127272727272722E-2</v>
      </c>
      <c r="J414" s="16">
        <f>AVERAGE(ReturnData!J414:J424)</f>
        <v>-9.106363636363636E-2</v>
      </c>
      <c r="K414" s="16">
        <f>AVERAGE(ReturnData!K414:K424)</f>
        <v>-4.8645454545454554E-2</v>
      </c>
      <c r="L414" s="16">
        <f>AVERAGE(ReturnData!L414:L424)</f>
        <v>-4.4881818181818182E-2</v>
      </c>
      <c r="M414" s="16">
        <f>AVERAGE(ReturnData!M414:M424)</f>
        <v>-5.8745454545454552E-2</v>
      </c>
      <c r="N414" s="16">
        <f>AVERAGE(ReturnData!N414:N424)</f>
        <v>-5.0872727272727264E-2</v>
      </c>
      <c r="O414" s="16">
        <f>AVERAGE(ReturnData!O414:O424)</f>
        <v>-3.5336363636363638E-2</v>
      </c>
      <c r="P414" s="16">
        <f>AVERAGE(ReturnData!P414:P424)</f>
        <v>-2.1218181818181817E-2</v>
      </c>
      <c r="Q414" s="16">
        <f>AVERAGE(ReturnData!Q414:Q424)</f>
        <v>-6.7063636363636381E-2</v>
      </c>
    </row>
    <row r="415" spans="1:17" x14ac:dyDescent="0.25">
      <c r="A415">
        <f>ReturnData!A427</f>
        <v>200906</v>
      </c>
      <c r="B415" s="16">
        <f>AVERAGE(ReturnData!B415:B425)</f>
        <v>-2.1227272727272727E-2</v>
      </c>
      <c r="C415" s="16">
        <f>AVERAGE(ReturnData!C415:C425)</f>
        <v>-5.9909090909090905E-2</v>
      </c>
      <c r="D415" s="16">
        <f>AVERAGE(ReturnData!D415:D425)</f>
        <v>-4.4945454545454559E-2</v>
      </c>
      <c r="E415" s="16">
        <f>AVERAGE(ReturnData!E415:E425)</f>
        <v>-2.2936363636363644E-2</v>
      </c>
      <c r="F415" s="16">
        <f>AVERAGE(ReturnData!F415:F425)</f>
        <v>-3.0136363636363638E-2</v>
      </c>
      <c r="G415" s="16">
        <f>AVERAGE(ReturnData!G415:G425)</f>
        <v>-4.3463636363636357E-2</v>
      </c>
      <c r="H415" s="16">
        <f>AVERAGE(ReturnData!H415:H425)</f>
        <v>-1.7063636363636361E-2</v>
      </c>
      <c r="I415" s="16">
        <f>AVERAGE(ReturnData!I415:I425)</f>
        <v>-1.9609090909090906E-2</v>
      </c>
      <c r="J415" s="16">
        <f>AVERAGE(ReturnData!J415:J425)</f>
        <v>-7.5272727272727283E-2</v>
      </c>
      <c r="K415" s="16">
        <f>AVERAGE(ReturnData!K415:K425)</f>
        <v>-3.5790909090909089E-2</v>
      </c>
      <c r="L415" s="16">
        <f>AVERAGE(ReturnData!L415:L425)</f>
        <v>-3.6345454545454528E-2</v>
      </c>
      <c r="M415" s="16">
        <f>AVERAGE(ReturnData!M415:M425)</f>
        <v>-2.8854545454545476E-2</v>
      </c>
      <c r="N415" s="16">
        <f>AVERAGE(ReturnData!N415:N425)</f>
        <v>-3.8372727272727274E-2</v>
      </c>
      <c r="O415" s="16">
        <f>AVERAGE(ReturnData!O415:O425)</f>
        <v>-3.66909090909091E-2</v>
      </c>
      <c r="P415" s="16">
        <f>AVERAGE(ReturnData!P415:P425)</f>
        <v>-1.4463636363636366E-2</v>
      </c>
      <c r="Q415" s="16">
        <f>AVERAGE(ReturnData!Q415:Q425)</f>
        <v>-4.7681818181818186E-2</v>
      </c>
    </row>
    <row r="416" spans="1:17" x14ac:dyDescent="0.25">
      <c r="A416">
        <f>ReturnData!A428</f>
        <v>200907</v>
      </c>
      <c r="B416" s="16">
        <f>AVERAGE(ReturnData!B416:B426)</f>
        <v>-8.9272727272727281E-3</v>
      </c>
      <c r="C416" s="16">
        <f>AVERAGE(ReturnData!C416:C426)</f>
        <v>-4.7545454545454537E-2</v>
      </c>
      <c r="D416" s="16">
        <f>AVERAGE(ReturnData!D416:D426)</f>
        <v>-3.7845454545454564E-2</v>
      </c>
      <c r="E416" s="16">
        <f>AVERAGE(ReturnData!E416:E426)</f>
        <v>-9.3909090909090991E-3</v>
      </c>
      <c r="F416" s="16">
        <f>AVERAGE(ReturnData!F416:F426)</f>
        <v>-1.8590909090909088E-2</v>
      </c>
      <c r="G416" s="16">
        <f>AVERAGE(ReturnData!G416:G426)</f>
        <v>-3.2609090909090907E-2</v>
      </c>
      <c r="H416" s="16">
        <f>AVERAGE(ReturnData!H416:H426)</f>
        <v>-5.7454545454545432E-3</v>
      </c>
      <c r="I416" s="16">
        <f>AVERAGE(ReturnData!I416:I426)</f>
        <v>-1.3409090909090914E-2</v>
      </c>
      <c r="J416" s="16">
        <f>AVERAGE(ReturnData!J416:J426)</f>
        <v>-5.9918181818181822E-2</v>
      </c>
      <c r="K416" s="16">
        <f>AVERAGE(ReturnData!K416:K426)</f>
        <v>-2.7545454545454543E-2</v>
      </c>
      <c r="L416" s="16">
        <f>AVERAGE(ReturnData!L416:L426)</f>
        <v>-2.6190909090909095E-2</v>
      </c>
      <c r="M416" s="16">
        <f>AVERAGE(ReturnData!M416:M426)</f>
        <v>-1.8000000000000016E-2</v>
      </c>
      <c r="N416" s="16">
        <f>AVERAGE(ReturnData!N416:N426)</f>
        <v>-2.1954545454545463E-2</v>
      </c>
      <c r="O416" s="16">
        <f>AVERAGE(ReturnData!O416:O426)</f>
        <v>-3.2118181818181823E-2</v>
      </c>
      <c r="P416" s="16">
        <f>AVERAGE(ReturnData!P416:P426)</f>
        <v>-8.0636363636363631E-3</v>
      </c>
      <c r="Q416" s="16">
        <f>AVERAGE(ReturnData!Q416:Q426)</f>
        <v>-2.2636363636363642E-2</v>
      </c>
    </row>
    <row r="417" spans="1:17" x14ac:dyDescent="0.25">
      <c r="A417">
        <f>ReturnData!A429</f>
        <v>200908</v>
      </c>
      <c r="B417" s="16">
        <f>AVERAGE(ReturnData!B417:B427)</f>
        <v>-1.09E-2</v>
      </c>
      <c r="C417" s="16">
        <f>AVERAGE(ReturnData!C417:C427)</f>
        <v>-3.9981818181818181E-2</v>
      </c>
      <c r="D417" s="16">
        <f>AVERAGE(ReturnData!D417:D427)</f>
        <v>-2.807272727272728E-2</v>
      </c>
      <c r="E417" s="16">
        <f>AVERAGE(ReturnData!E417:E427)</f>
        <v>-8.5545454545454553E-3</v>
      </c>
      <c r="F417" s="16">
        <f>AVERAGE(ReturnData!F417:F427)</f>
        <v>-2.5236363636363633E-2</v>
      </c>
      <c r="G417" s="16">
        <f>AVERAGE(ReturnData!G417:G427)</f>
        <v>-3.7963636363636359E-2</v>
      </c>
      <c r="H417" s="16">
        <f>AVERAGE(ReturnData!H417:H427)</f>
        <v>-8.85454545454545E-3</v>
      </c>
      <c r="I417" s="16">
        <f>AVERAGE(ReturnData!I417:I427)</f>
        <v>-1.4609090909090907E-2</v>
      </c>
      <c r="J417" s="16">
        <f>AVERAGE(ReturnData!J417:J427)</f>
        <v>-4.6245454545454548E-2</v>
      </c>
      <c r="K417" s="16">
        <f>AVERAGE(ReturnData!K417:K427)</f>
        <v>-2.1663636363636368E-2</v>
      </c>
      <c r="L417" s="16">
        <f>AVERAGE(ReturnData!L417:L427)</f>
        <v>-2.1345454545454546E-2</v>
      </c>
      <c r="M417" s="16">
        <f>AVERAGE(ReturnData!M417:M427)</f>
        <v>-1.2490909090909106E-2</v>
      </c>
      <c r="N417" s="16">
        <f>AVERAGE(ReturnData!N417:N427)</f>
        <v>-2.6409090909090906E-2</v>
      </c>
      <c r="O417" s="16">
        <f>AVERAGE(ReturnData!O417:O427)</f>
        <v>-2.1427272727272729E-2</v>
      </c>
      <c r="P417" s="16">
        <f>AVERAGE(ReturnData!P417:P427)</f>
        <v>-9.700000000000002E-3</v>
      </c>
      <c r="Q417" s="16">
        <f>AVERAGE(ReturnData!Q417:Q427)</f>
        <v>-3.0818181818181821E-2</v>
      </c>
    </row>
    <row r="418" spans="1:17" x14ac:dyDescent="0.25">
      <c r="A418">
        <f>ReturnData!A430</f>
        <v>200909</v>
      </c>
      <c r="B418" s="16">
        <f>AVERAGE(ReturnData!B418:B428)</f>
        <v>-5.845454545454546E-3</v>
      </c>
      <c r="C418" s="16">
        <f>AVERAGE(ReturnData!C418:C428)</f>
        <v>-2.2736363636363621E-2</v>
      </c>
      <c r="D418" s="16">
        <f>AVERAGE(ReturnData!D418:D428)</f>
        <v>-2.3763636363636365E-2</v>
      </c>
      <c r="E418" s="16">
        <f>AVERAGE(ReturnData!E418:E428)</f>
        <v>-4.6636363636363724E-3</v>
      </c>
      <c r="F418" s="16">
        <f>AVERAGE(ReturnData!F418:F428)</f>
        <v>-1.366363636363636E-2</v>
      </c>
      <c r="G418" s="16">
        <f>AVERAGE(ReturnData!G418:G428)</f>
        <v>-1.9390909090909084E-2</v>
      </c>
      <c r="H418" s="16">
        <f>AVERAGE(ReturnData!H418:H428)</f>
        <v>-5.7545454545454514E-3</v>
      </c>
      <c r="I418" s="16">
        <f>AVERAGE(ReturnData!I418:I428)</f>
        <v>-9.6363636363636356E-3</v>
      </c>
      <c r="J418" s="16">
        <f>AVERAGE(ReturnData!J418:J428)</f>
        <v>-3.6572727272727264E-2</v>
      </c>
      <c r="K418" s="16">
        <f>AVERAGE(ReturnData!K418:K428)</f>
        <v>-1.9436363636363637E-2</v>
      </c>
      <c r="L418" s="16">
        <f>AVERAGE(ReturnData!L418:L428)</f>
        <v>-1.2518181818181822E-2</v>
      </c>
      <c r="M418" s="16">
        <f>AVERAGE(ReturnData!M418:M428)</f>
        <v>1.3545454545454442E-3</v>
      </c>
      <c r="N418" s="16">
        <f>AVERAGE(ReturnData!N418:N428)</f>
        <v>-2.2718181818181828E-2</v>
      </c>
      <c r="O418" s="16">
        <f>AVERAGE(ReturnData!O418:O428)</f>
        <v>-1.7027272727272728E-2</v>
      </c>
      <c r="P418" s="16">
        <f>AVERAGE(ReturnData!P418:P428)</f>
        <v>-8.7090909090909111E-3</v>
      </c>
      <c r="Q418" s="16">
        <f>AVERAGE(ReturnData!Q418:Q428)</f>
        <v>-2.293636363636364E-2</v>
      </c>
    </row>
    <row r="419" spans="1:17" x14ac:dyDescent="0.25">
      <c r="A419">
        <f>ReturnData!A431</f>
        <v>200910</v>
      </c>
      <c r="B419" s="16">
        <f>AVERAGE(ReturnData!B419:B429)</f>
        <v>-4.6181818181818173E-3</v>
      </c>
      <c r="C419" s="16">
        <f>AVERAGE(ReturnData!C419:C429)</f>
        <v>7.5999999999999904E-3</v>
      </c>
      <c r="D419" s="16">
        <f>AVERAGE(ReturnData!D419:D429)</f>
        <v>-1.320909090909091E-2</v>
      </c>
      <c r="E419" s="16">
        <f>AVERAGE(ReturnData!E419:E429)</f>
        <v>-4.6363636363636621E-4</v>
      </c>
      <c r="F419" s="16">
        <f>AVERAGE(ReturnData!F419:F429)</f>
        <v>-1.9272727272727295E-3</v>
      </c>
      <c r="G419" s="16">
        <f>AVERAGE(ReturnData!G419:G429)</f>
        <v>-3.6363636363635199E-5</v>
      </c>
      <c r="H419" s="16">
        <f>AVERAGE(ReturnData!H419:H429)</f>
        <v>-4.7272727272727332E-4</v>
      </c>
      <c r="I419" s="16">
        <f>AVERAGE(ReturnData!I419:I429)</f>
        <v>9.7272727272726845E-4</v>
      </c>
      <c r="J419" s="16">
        <f>AVERAGE(ReturnData!J419:J429)</f>
        <v>-5.1090909090909043E-3</v>
      </c>
      <c r="K419" s="16">
        <f>AVERAGE(ReturnData!K419:K429)</f>
        <v>-3.6999999999999967E-3</v>
      </c>
      <c r="L419" s="16">
        <f>AVERAGE(ReturnData!L419:L429)</f>
        <v>4.9636363636363584E-3</v>
      </c>
      <c r="M419" s="16">
        <f>AVERAGE(ReturnData!M419:M429)</f>
        <v>9.8181818181818162E-3</v>
      </c>
      <c r="N419" s="16">
        <f>AVERAGE(ReturnData!N419:N429)</f>
        <v>-6.8636363636363669E-3</v>
      </c>
      <c r="O419" s="16">
        <f>AVERAGE(ReturnData!O419:O429)</f>
        <v>-5.9454545454545446E-3</v>
      </c>
      <c r="P419" s="16">
        <f>AVERAGE(ReturnData!P419:P429)</f>
        <v>-4.1818181818181819E-4</v>
      </c>
      <c r="Q419" s="16">
        <f>AVERAGE(ReturnData!Q419:Q429)</f>
        <v>-9.918181818181819E-3</v>
      </c>
    </row>
    <row r="420" spans="1:17" x14ac:dyDescent="0.25">
      <c r="A420">
        <f>ReturnData!A432</f>
        <v>200911</v>
      </c>
      <c r="B420" s="16">
        <f>AVERAGE(ReturnData!B420:B430)</f>
        <v>1.0609090909090912E-2</v>
      </c>
      <c r="C420" s="16">
        <f>AVERAGE(ReturnData!C420:C430)</f>
        <v>4.7800000000000002E-2</v>
      </c>
      <c r="D420" s="16">
        <f>AVERAGE(ReturnData!D420:D430)</f>
        <v>5.8727272727272743E-3</v>
      </c>
      <c r="E420" s="16">
        <f>AVERAGE(ReturnData!E420:E430)</f>
        <v>3.0372727272727273E-2</v>
      </c>
      <c r="F420" s="16">
        <f>AVERAGE(ReturnData!F420:F430)</f>
        <v>2.7627272727272723E-2</v>
      </c>
      <c r="G420" s="16">
        <f>AVERAGE(ReturnData!G420:G430)</f>
        <v>2.6709090909090908E-2</v>
      </c>
      <c r="H420" s="16">
        <f>AVERAGE(ReturnData!H420:H430)</f>
        <v>1.1745454545454549E-2</v>
      </c>
      <c r="I420" s="16">
        <f>AVERAGE(ReturnData!I420:I430)</f>
        <v>1.7281818181818179E-2</v>
      </c>
      <c r="J420" s="16">
        <f>AVERAGE(ReturnData!J420:J430)</f>
        <v>3.0218181818181814E-2</v>
      </c>
      <c r="K420" s="16">
        <f>AVERAGE(ReturnData!K420:K430)</f>
        <v>2.3154545454545459E-2</v>
      </c>
      <c r="L420" s="16">
        <f>AVERAGE(ReturnData!L420:L430)</f>
        <v>2.979090909090909E-2</v>
      </c>
      <c r="M420" s="16">
        <f>AVERAGE(ReturnData!M420:M430)</f>
        <v>3.4536363636363629E-2</v>
      </c>
      <c r="N420" s="16">
        <f>AVERAGE(ReturnData!N420:N430)</f>
        <v>1.0409090909090906E-2</v>
      </c>
      <c r="O420" s="16">
        <f>AVERAGE(ReturnData!O420:O430)</f>
        <v>6.1999999999999998E-3</v>
      </c>
      <c r="P420" s="16">
        <f>AVERAGE(ReturnData!P420:P430)</f>
        <v>1.5199999999999998E-2</v>
      </c>
      <c r="Q420" s="16">
        <f>AVERAGE(ReturnData!Q420:Q430)</f>
        <v>9.6636363636363569E-3</v>
      </c>
    </row>
    <row r="421" spans="1:17" x14ac:dyDescent="0.25">
      <c r="A421">
        <f>ReturnData!A433</f>
        <v>200912</v>
      </c>
      <c r="B421" s="16">
        <f>AVERAGE(ReturnData!B421:B431)</f>
        <v>1.3481818181818183E-2</v>
      </c>
      <c r="C421" s="16">
        <f>AVERAGE(ReturnData!C421:C431)</f>
        <v>5.6136363636363644E-2</v>
      </c>
      <c r="D421" s="16">
        <f>AVERAGE(ReturnData!D421:D431)</f>
        <v>7.2000000000000007E-3</v>
      </c>
      <c r="E421" s="16">
        <f>AVERAGE(ReturnData!E421:E431)</f>
        <v>4.1654545454545451E-2</v>
      </c>
      <c r="F421" s="16">
        <f>AVERAGE(ReturnData!F421:F431)</f>
        <v>3.5318181818181818E-2</v>
      </c>
      <c r="G421" s="16">
        <f>AVERAGE(ReturnData!G421:G431)</f>
        <v>3.901818181818182E-2</v>
      </c>
      <c r="H421" s="16">
        <f>AVERAGE(ReturnData!H421:H431)</f>
        <v>1.4800000000000001E-2</v>
      </c>
      <c r="I421" s="16">
        <f>AVERAGE(ReturnData!I421:I431)</f>
        <v>1.4727272727272726E-2</v>
      </c>
      <c r="J421" s="16">
        <f>AVERAGE(ReturnData!J421:J431)</f>
        <v>3.0309090909090911E-2</v>
      </c>
      <c r="K421" s="16">
        <f>AVERAGE(ReturnData!K421:K431)</f>
        <v>2.4700000000000003E-2</v>
      </c>
      <c r="L421" s="16">
        <f>AVERAGE(ReturnData!L421:L431)</f>
        <v>3.6363636363636362E-2</v>
      </c>
      <c r="M421" s="16">
        <f>AVERAGE(ReturnData!M421:M431)</f>
        <v>3.9699999999999999E-2</v>
      </c>
      <c r="N421" s="16">
        <f>AVERAGE(ReturnData!N421:N431)</f>
        <v>1.5618181818181819E-2</v>
      </c>
      <c r="O421" s="16">
        <f>AVERAGE(ReturnData!O421:O431)</f>
        <v>2.6181818181818177E-3</v>
      </c>
      <c r="P421" s="16">
        <f>AVERAGE(ReturnData!P421:P431)</f>
        <v>2.3354545454545451E-2</v>
      </c>
      <c r="Q421" s="16">
        <f>AVERAGE(ReturnData!Q421:Q431)</f>
        <v>1.8190909090909087E-2</v>
      </c>
    </row>
    <row r="422" spans="1:17" x14ac:dyDescent="0.25">
      <c r="A422">
        <f>ReturnData!A434</f>
        <v>201001</v>
      </c>
      <c r="B422" s="16">
        <f>AVERAGE(ReturnData!B422:B432)</f>
        <v>1.7727272727272727E-2</v>
      </c>
      <c r="C422" s="16">
        <f>AVERAGE(ReturnData!C422:C432)</f>
        <v>6.0609090909090918E-2</v>
      </c>
      <c r="D422" s="16">
        <f>AVERAGE(ReturnData!D422:D432)</f>
        <v>1.212727272727273E-2</v>
      </c>
      <c r="E422" s="16">
        <f>AVERAGE(ReturnData!E422:E432)</f>
        <v>3.9354545454545448E-2</v>
      </c>
      <c r="F422" s="16">
        <f>AVERAGE(ReturnData!F422:F432)</f>
        <v>3.7672727272727274E-2</v>
      </c>
      <c r="G422" s="16">
        <f>AVERAGE(ReturnData!G422:G432)</f>
        <v>5.040909090909091E-2</v>
      </c>
      <c r="H422" s="16">
        <f>AVERAGE(ReturnData!H422:H432)</f>
        <v>1.7954545454545456E-2</v>
      </c>
      <c r="I422" s="16">
        <f>AVERAGE(ReturnData!I422:I432)</f>
        <v>1.6663636363636363E-2</v>
      </c>
      <c r="J422" s="16">
        <f>AVERAGE(ReturnData!J422:J432)</f>
        <v>2.2254545454545461E-2</v>
      </c>
      <c r="K422" s="16">
        <f>AVERAGE(ReturnData!K422:K432)</f>
        <v>1.9245454545454552E-2</v>
      </c>
      <c r="L422" s="16">
        <f>AVERAGE(ReturnData!L422:L432)</f>
        <v>3.9099999999999996E-2</v>
      </c>
      <c r="M422" s="16">
        <f>AVERAGE(ReturnData!M422:M432)</f>
        <v>4.7800000000000002E-2</v>
      </c>
      <c r="N422" s="16">
        <f>AVERAGE(ReturnData!N422:N432)</f>
        <v>2.24E-2</v>
      </c>
      <c r="O422" s="16">
        <f>AVERAGE(ReturnData!O422:O432)</f>
        <v>8.62727272727273E-3</v>
      </c>
      <c r="P422" s="16">
        <f>AVERAGE(ReturnData!P422:P432)</f>
        <v>2.3345454545454548E-2</v>
      </c>
      <c r="Q422" s="16">
        <f>AVERAGE(ReturnData!Q422:Q432)</f>
        <v>2.0818181818181816E-2</v>
      </c>
    </row>
    <row r="423" spans="1:17" x14ac:dyDescent="0.25">
      <c r="A423">
        <f>ReturnData!A435</f>
        <v>201002</v>
      </c>
      <c r="B423" s="16">
        <f>AVERAGE(ReturnData!B423:B433)</f>
        <v>2.2118181818181818E-2</v>
      </c>
      <c r="C423" s="16">
        <f>AVERAGE(ReturnData!C423:C433)</f>
        <v>6.4790909090909107E-2</v>
      </c>
      <c r="D423" s="16">
        <f>AVERAGE(ReturnData!D423:D433)</f>
        <v>1.4727272727272729E-2</v>
      </c>
      <c r="E423" s="16">
        <f>AVERAGE(ReturnData!E423:E433)</f>
        <v>5.5636363636363637E-2</v>
      </c>
      <c r="F423" s="16">
        <f>AVERAGE(ReturnData!F423:F433)</f>
        <v>5.6345454545454539E-2</v>
      </c>
      <c r="G423" s="16">
        <f>AVERAGE(ReturnData!G423:G433)</f>
        <v>5.7927272727272723E-2</v>
      </c>
      <c r="H423" s="16">
        <f>AVERAGE(ReturnData!H423:H433)</f>
        <v>2.3727272727272729E-2</v>
      </c>
      <c r="I423" s="16">
        <f>AVERAGE(ReturnData!I423:I433)</f>
        <v>3.3418181818181819E-2</v>
      </c>
      <c r="J423" s="16">
        <f>AVERAGE(ReturnData!J423:J433)</f>
        <v>5.165454545454546E-2</v>
      </c>
      <c r="K423" s="16">
        <f>AVERAGE(ReturnData!K423:K433)</f>
        <v>3.2809090909090906E-2</v>
      </c>
      <c r="L423" s="16">
        <f>AVERAGE(ReturnData!L423:L433)</f>
        <v>4.9227272727272724E-2</v>
      </c>
      <c r="M423" s="16">
        <f>AVERAGE(ReturnData!M423:M433)</f>
        <v>6.3136363636363643E-2</v>
      </c>
      <c r="N423" s="16">
        <f>AVERAGE(ReturnData!N423:N433)</f>
        <v>3.4954545454545453E-2</v>
      </c>
      <c r="O423" s="16">
        <f>AVERAGE(ReturnData!O423:O433)</f>
        <v>1.4700000000000001E-2</v>
      </c>
      <c r="P423" s="16">
        <f>AVERAGE(ReturnData!P423:P433)</f>
        <v>3.149090909090909E-2</v>
      </c>
      <c r="Q423" s="16">
        <f>AVERAGE(ReturnData!Q423:Q433)</f>
        <v>4.0399999999999998E-2</v>
      </c>
    </row>
    <row r="424" spans="1:17" x14ac:dyDescent="0.25">
      <c r="A424">
        <f>ReturnData!A436</f>
        <v>201003</v>
      </c>
      <c r="B424" s="16">
        <f>AVERAGE(ReturnData!B424:B434)</f>
        <v>2.6309090909090907E-2</v>
      </c>
      <c r="C424" s="16">
        <f>AVERAGE(ReturnData!C424:C434)</f>
        <v>5.3618181818181829E-2</v>
      </c>
      <c r="D424" s="16">
        <f>AVERAGE(ReturnData!D424:D434)</f>
        <v>2.180909090909091E-2</v>
      </c>
      <c r="E424" s="16">
        <f>AVERAGE(ReturnData!E424:E434)</f>
        <v>6.1418181818181816E-2</v>
      </c>
      <c r="F424" s="16">
        <f>AVERAGE(ReturnData!F424:F434)</f>
        <v>6.9472727272727255E-2</v>
      </c>
      <c r="G424" s="16">
        <f>AVERAGE(ReturnData!G424:G434)</f>
        <v>6.1372727272727266E-2</v>
      </c>
      <c r="H424" s="16">
        <f>AVERAGE(ReturnData!H424:H434)</f>
        <v>3.1790909090909092E-2</v>
      </c>
      <c r="I424" s="16">
        <f>AVERAGE(ReturnData!I424:I434)</f>
        <v>4.0454545454545451E-2</v>
      </c>
      <c r="J424" s="16">
        <f>AVERAGE(ReturnData!J424:J434)</f>
        <v>5.78090909090909E-2</v>
      </c>
      <c r="K424" s="16">
        <f>AVERAGE(ReturnData!K424:K434)</f>
        <v>3.7754545454545457E-2</v>
      </c>
      <c r="L424" s="16">
        <f>AVERAGE(ReturnData!L424:L434)</f>
        <v>5.0272727272727268E-2</v>
      </c>
      <c r="M424" s="16">
        <f>AVERAGE(ReturnData!M424:M434)</f>
        <v>6.6554545454545463E-2</v>
      </c>
      <c r="N424" s="16">
        <f>AVERAGE(ReturnData!N424:N434)</f>
        <v>4.7281818181818175E-2</v>
      </c>
      <c r="O424" s="16">
        <f>AVERAGE(ReturnData!O424:O434)</f>
        <v>2.2109090909090912E-2</v>
      </c>
      <c r="P424" s="16">
        <f>AVERAGE(ReturnData!P424:P434)</f>
        <v>3.1909090909090901E-2</v>
      </c>
      <c r="Q424" s="16">
        <f>AVERAGE(ReturnData!Q424:Q434)</f>
        <v>5.3790909090909091E-2</v>
      </c>
    </row>
    <row r="425" spans="1:17" x14ac:dyDescent="0.25">
      <c r="A425">
        <f>ReturnData!A437</f>
        <v>201004</v>
      </c>
      <c r="B425" s="16">
        <f>AVERAGE(ReturnData!B425:B435)</f>
        <v>2.3054545454545453E-2</v>
      </c>
      <c r="C425" s="16">
        <f>AVERAGE(ReturnData!C425:C435)</f>
        <v>5.4118181818181822E-2</v>
      </c>
      <c r="D425" s="16">
        <f>AVERAGE(ReturnData!D425:D435)</f>
        <v>2.0299999999999999E-2</v>
      </c>
      <c r="E425" s="16">
        <f>AVERAGE(ReturnData!E425:E435)</f>
        <v>5.3009090909090895E-2</v>
      </c>
      <c r="F425" s="16">
        <f>AVERAGE(ReturnData!F425:F435)</f>
        <v>6.9472727272727255E-2</v>
      </c>
      <c r="G425" s="16">
        <f>AVERAGE(ReturnData!G425:G435)</f>
        <v>5.1618181818181813E-2</v>
      </c>
      <c r="H425" s="16">
        <f>AVERAGE(ReturnData!H425:H435)</f>
        <v>2.7327272727272724E-2</v>
      </c>
      <c r="I425" s="16">
        <f>AVERAGE(ReturnData!I425:I435)</f>
        <v>3.2454545454545451E-2</v>
      </c>
      <c r="J425" s="16">
        <f>AVERAGE(ReturnData!J425:J435)</f>
        <v>5.0681818181818189E-2</v>
      </c>
      <c r="K425" s="16">
        <f>AVERAGE(ReturnData!K425:K435)</f>
        <v>3.9899999999999998E-2</v>
      </c>
      <c r="L425" s="16">
        <f>AVERAGE(ReturnData!L425:L435)</f>
        <v>4.5181818181818184E-2</v>
      </c>
      <c r="M425" s="16">
        <f>AVERAGE(ReturnData!M425:M435)</f>
        <v>6.2527272727272723E-2</v>
      </c>
      <c r="N425" s="16">
        <f>AVERAGE(ReturnData!N425:N435)</f>
        <v>4.6290909090909091E-2</v>
      </c>
      <c r="O425" s="16">
        <f>AVERAGE(ReturnData!O425:O435)</f>
        <v>1.9190909090909088E-2</v>
      </c>
      <c r="P425" s="16">
        <f>AVERAGE(ReturnData!P425:P435)</f>
        <v>2.5881818181818183E-2</v>
      </c>
      <c r="Q425" s="16">
        <f>AVERAGE(ReturnData!Q425:Q435)</f>
        <v>4.3036363636363636E-2</v>
      </c>
    </row>
    <row r="426" spans="1:17" x14ac:dyDescent="0.25">
      <c r="A426">
        <f>ReturnData!A438</f>
        <v>201005</v>
      </c>
      <c r="B426" s="16">
        <f>AVERAGE(ReturnData!B426:B436)</f>
        <v>2.5181818181818184E-2</v>
      </c>
      <c r="C426" s="16">
        <f>AVERAGE(ReturnData!C426:C436)</f>
        <v>5.4000000000000006E-2</v>
      </c>
      <c r="D426" s="16">
        <f>AVERAGE(ReturnData!D426:D436)</f>
        <v>1.9336363636363638E-2</v>
      </c>
      <c r="E426" s="16">
        <f>AVERAGE(ReturnData!E426:E436)</f>
        <v>4.1472727272727272E-2</v>
      </c>
      <c r="F426" s="16">
        <f>AVERAGE(ReturnData!F426:F436)</f>
        <v>4.754545454545455E-2</v>
      </c>
      <c r="G426" s="16">
        <f>AVERAGE(ReturnData!G426:G436)</f>
        <v>4.021818181818182E-2</v>
      </c>
      <c r="H426" s="16">
        <f>AVERAGE(ReturnData!H426:H436)</f>
        <v>3.0700000000000002E-2</v>
      </c>
      <c r="I426" s="16">
        <f>AVERAGE(ReturnData!I426:I436)</f>
        <v>2.1527272727272732E-2</v>
      </c>
      <c r="J426" s="16">
        <f>AVERAGE(ReturnData!J426:J436)</f>
        <v>3.8045454545454549E-2</v>
      </c>
      <c r="K426" s="16">
        <f>AVERAGE(ReturnData!K426:K436)</f>
        <v>2.752727272727273E-2</v>
      </c>
      <c r="L426" s="16">
        <f>AVERAGE(ReturnData!L426:L436)</f>
        <v>3.7872727272727273E-2</v>
      </c>
      <c r="M426" s="16">
        <f>AVERAGE(ReturnData!M426:M436)</f>
        <v>4.0936363636363632E-2</v>
      </c>
      <c r="N426" s="16">
        <f>AVERAGE(ReturnData!N426:N436)</f>
        <v>3.9845454545454545E-2</v>
      </c>
      <c r="O426" s="16">
        <f>AVERAGE(ReturnData!O426:O436)</f>
        <v>2.012727272727273E-2</v>
      </c>
      <c r="P426" s="16">
        <f>AVERAGE(ReturnData!P426:P436)</f>
        <v>2.4354545454545452E-2</v>
      </c>
      <c r="Q426" s="16">
        <f>AVERAGE(ReturnData!Q426:Q436)</f>
        <v>3.5045454545454553E-2</v>
      </c>
    </row>
    <row r="427" spans="1:17" x14ac:dyDescent="0.25">
      <c r="A427">
        <f>ReturnData!A439</f>
        <v>201006</v>
      </c>
      <c r="B427" s="16">
        <f>AVERAGE(ReturnData!B427:B437)</f>
        <v>1.7818181818181816E-2</v>
      </c>
      <c r="C427" s="16">
        <f>AVERAGE(ReturnData!C427:C437)</f>
        <v>3.4118181818181818E-2</v>
      </c>
      <c r="D427" s="16">
        <f>AVERAGE(ReturnData!D427:D437)</f>
        <v>1.4327272727272728E-2</v>
      </c>
      <c r="E427" s="16">
        <f>AVERAGE(ReturnData!E427:E437)</f>
        <v>4.3981818181818177E-2</v>
      </c>
      <c r="F427" s="16">
        <f>AVERAGE(ReturnData!F427:F437)</f>
        <v>5.2390909090909085E-2</v>
      </c>
      <c r="G427" s="16">
        <f>AVERAGE(ReturnData!G427:G437)</f>
        <v>3.5227272727272725E-2</v>
      </c>
      <c r="H427" s="16">
        <f>AVERAGE(ReturnData!H427:H437)</f>
        <v>2.1818181818181823E-2</v>
      </c>
      <c r="I427" s="16">
        <f>AVERAGE(ReturnData!I427:I437)</f>
        <v>3.6390909090909092E-2</v>
      </c>
      <c r="J427" s="16">
        <f>AVERAGE(ReturnData!J427:J437)</f>
        <v>2.6681818181818185E-2</v>
      </c>
      <c r="K427" s="16">
        <f>AVERAGE(ReturnData!K427:K437)</f>
        <v>3.1845454545454545E-2</v>
      </c>
      <c r="L427" s="16">
        <f>AVERAGE(ReturnData!L427:L437)</f>
        <v>4.0363636363636372E-2</v>
      </c>
      <c r="M427" s="16">
        <f>AVERAGE(ReturnData!M427:M437)</f>
        <v>5.2609090909090911E-2</v>
      </c>
      <c r="N427" s="16">
        <f>AVERAGE(ReturnData!N427:N437)</f>
        <v>3.7481818181818179E-2</v>
      </c>
      <c r="O427" s="16">
        <f>AVERAGE(ReturnData!O427:O437)</f>
        <v>1.8509090909090913E-2</v>
      </c>
      <c r="P427" s="16">
        <f>AVERAGE(ReturnData!P427:P437)</f>
        <v>2.5909090909090913E-2</v>
      </c>
      <c r="Q427" s="16">
        <f>AVERAGE(ReturnData!Q427:Q437)</f>
        <v>2.696363636363636E-2</v>
      </c>
    </row>
    <row r="428" spans="1:17" x14ac:dyDescent="0.25">
      <c r="A428">
        <f>ReturnData!A440</f>
        <v>201007</v>
      </c>
      <c r="B428" s="16">
        <f>AVERAGE(ReturnData!B428:B438)</f>
        <v>1.2800000000000001E-2</v>
      </c>
      <c r="C428" s="16">
        <f>AVERAGE(ReturnData!C428:C438)</f>
        <v>3.4954545454545453E-2</v>
      </c>
      <c r="D428" s="16">
        <f>AVERAGE(ReturnData!D428:D438)</f>
        <v>9.2636363636363645E-3</v>
      </c>
      <c r="E428" s="16">
        <f>AVERAGE(ReturnData!E428:E438)</f>
        <v>4.1445454545454535E-2</v>
      </c>
      <c r="F428" s="16">
        <f>AVERAGE(ReturnData!F428:F438)</f>
        <v>4.6036363636363632E-2</v>
      </c>
      <c r="G428" s="16">
        <f>AVERAGE(ReturnData!G428:G438)</f>
        <v>3.2181818181818179E-2</v>
      </c>
      <c r="H428" s="16">
        <f>AVERAGE(ReturnData!H428:H438)</f>
        <v>1.427272727272727E-2</v>
      </c>
      <c r="I428" s="16">
        <f>AVERAGE(ReturnData!I428:I438)</f>
        <v>2.9154545454545457E-2</v>
      </c>
      <c r="J428" s="16">
        <f>AVERAGE(ReturnData!J428:J438)</f>
        <v>1.6836363636363639E-2</v>
      </c>
      <c r="K428" s="16">
        <f>AVERAGE(ReturnData!K428:K438)</f>
        <v>2.1345454545454546E-2</v>
      </c>
      <c r="L428" s="16">
        <f>AVERAGE(ReturnData!L428:L438)</f>
        <v>3.0100000000000005E-2</v>
      </c>
      <c r="M428" s="16">
        <f>AVERAGE(ReturnData!M428:M438)</f>
        <v>4.1845454545454547E-2</v>
      </c>
      <c r="N428" s="16">
        <f>AVERAGE(ReturnData!N428:N438)</f>
        <v>3.1881818181818185E-2</v>
      </c>
      <c r="O428" s="16">
        <f>AVERAGE(ReturnData!O428:O438)</f>
        <v>8.5818181818181835E-3</v>
      </c>
      <c r="P428" s="16">
        <f>AVERAGE(ReturnData!P428:P438)</f>
        <v>2.1581818181818185E-2</v>
      </c>
      <c r="Q428" s="16">
        <f>AVERAGE(ReturnData!Q428:Q438)</f>
        <v>2.0327272727272725E-2</v>
      </c>
    </row>
    <row r="429" spans="1:17" x14ac:dyDescent="0.25">
      <c r="A429">
        <f>ReturnData!A441</f>
        <v>201008</v>
      </c>
      <c r="B429" s="16">
        <f>AVERAGE(ReturnData!B429:B439)</f>
        <v>5.518181818181817E-3</v>
      </c>
      <c r="C429" s="16">
        <f>AVERAGE(ReturnData!C429:C439)</f>
        <v>1.6909090909090908E-2</v>
      </c>
      <c r="D429" s="16">
        <f>AVERAGE(ReturnData!D429:D439)</f>
        <v>-9.4545454545454663E-4</v>
      </c>
      <c r="E429" s="16">
        <f>AVERAGE(ReturnData!E429:E439)</f>
        <v>2.0181818181818186E-2</v>
      </c>
      <c r="F429" s="16">
        <f>AVERAGE(ReturnData!F429:F439)</f>
        <v>2.2745454545454544E-2</v>
      </c>
      <c r="G429" s="16">
        <f>AVERAGE(ReturnData!G429:G439)</f>
        <v>9.4090909090909138E-3</v>
      </c>
      <c r="H429" s="16">
        <f>AVERAGE(ReturnData!H429:H439)</f>
        <v>8.1636363636363642E-3</v>
      </c>
      <c r="I429" s="16">
        <f>AVERAGE(ReturnData!I429:I439)</f>
        <v>3.2818181818181813E-3</v>
      </c>
      <c r="J429" s="16">
        <f>AVERAGE(ReturnData!J429:J439)</f>
        <v>1.3363636363636381E-3</v>
      </c>
      <c r="K429" s="16">
        <f>AVERAGE(ReturnData!K429:K439)</f>
        <v>1.0745454545454544E-2</v>
      </c>
      <c r="L429" s="16">
        <f>AVERAGE(ReturnData!L429:L439)</f>
        <v>1.3654545454545452E-2</v>
      </c>
      <c r="M429" s="16">
        <f>AVERAGE(ReturnData!M429:M439)</f>
        <v>1.9509090909090906E-2</v>
      </c>
      <c r="N429" s="16">
        <f>AVERAGE(ReturnData!N429:N439)</f>
        <v>1.8818181818181821E-2</v>
      </c>
      <c r="O429" s="16">
        <f>AVERAGE(ReturnData!O429:O439)</f>
        <v>3.9363636363636389E-3</v>
      </c>
      <c r="P429" s="16">
        <f>AVERAGE(ReturnData!P429:P439)</f>
        <v>7.9545454545454555E-3</v>
      </c>
      <c r="Q429" s="16">
        <f>AVERAGE(ReturnData!Q429:Q439)</f>
        <v>5.8909090909090907E-3</v>
      </c>
    </row>
    <row r="430" spans="1:17" x14ac:dyDescent="0.25">
      <c r="A430">
        <f>ReturnData!A442</f>
        <v>201009</v>
      </c>
      <c r="B430" s="16">
        <f>AVERAGE(ReturnData!B430:B440)</f>
        <v>1.1409090909090909E-2</v>
      </c>
      <c r="C430" s="16">
        <f>AVERAGE(ReturnData!C430:C440)</f>
        <v>2.2936363636363633E-2</v>
      </c>
      <c r="D430" s="16">
        <f>AVERAGE(ReturnData!D430:D440)</f>
        <v>5.0909090909090921E-3</v>
      </c>
      <c r="E430" s="16">
        <f>AVERAGE(ReturnData!E430:E440)</f>
        <v>2.4618181818181817E-2</v>
      </c>
      <c r="F430" s="16">
        <f>AVERAGE(ReturnData!F430:F440)</f>
        <v>1.9590909090909096E-2</v>
      </c>
      <c r="G430" s="16">
        <f>AVERAGE(ReturnData!G430:G440)</f>
        <v>2.1336363636363632E-2</v>
      </c>
      <c r="H430" s="16">
        <f>AVERAGE(ReturnData!H430:H440)</f>
        <v>1.0027272727272725E-2</v>
      </c>
      <c r="I430" s="16">
        <f>AVERAGE(ReturnData!I430:I440)</f>
        <v>4.1272727272727286E-3</v>
      </c>
      <c r="J430" s="16">
        <f>AVERAGE(ReturnData!J430:J440)</f>
        <v>5.527272727272727E-3</v>
      </c>
      <c r="K430" s="16">
        <f>AVERAGE(ReturnData!K430:K440)</f>
        <v>1.7000000000000001E-2</v>
      </c>
      <c r="L430" s="16">
        <f>AVERAGE(ReturnData!L430:L440)</f>
        <v>1.8454545454545456E-2</v>
      </c>
      <c r="M430" s="16">
        <f>AVERAGE(ReturnData!M430:M440)</f>
        <v>3.4945454545454543E-2</v>
      </c>
      <c r="N430" s="16">
        <f>AVERAGE(ReturnData!N430:N440)</f>
        <v>2.2109090909090912E-2</v>
      </c>
      <c r="O430" s="16">
        <f>AVERAGE(ReturnData!O430:O440)</f>
        <v>9.9000000000000025E-3</v>
      </c>
      <c r="P430" s="16">
        <f>AVERAGE(ReturnData!P430:P440)</f>
        <v>8.6727272727272747E-3</v>
      </c>
      <c r="Q430" s="16">
        <f>AVERAGE(ReturnData!Q430:Q440)</f>
        <v>2.7636363636363622E-3</v>
      </c>
    </row>
    <row r="431" spans="1:17" x14ac:dyDescent="0.25">
      <c r="A431">
        <f>ReturnData!A443</f>
        <v>201010</v>
      </c>
      <c r="B431" s="16">
        <f>AVERAGE(ReturnData!B431:B441)</f>
        <v>7.4272727272727294E-3</v>
      </c>
      <c r="C431" s="16">
        <f>AVERAGE(ReturnData!C431:C441)</f>
        <v>1.2109090909090908E-2</v>
      </c>
      <c r="D431" s="16">
        <f>AVERAGE(ReturnData!D431:D441)</f>
        <v>-2.2363636363636366E-3</v>
      </c>
      <c r="E431" s="16">
        <f>AVERAGE(ReturnData!E431:E441)</f>
        <v>7.5818181818181809E-3</v>
      </c>
      <c r="F431" s="16">
        <f>AVERAGE(ReturnData!F431:F441)</f>
        <v>1.0036363636363637E-2</v>
      </c>
      <c r="G431" s="16">
        <f>AVERAGE(ReturnData!G431:G441)</f>
        <v>1.4609090909090907E-2</v>
      </c>
      <c r="H431" s="16">
        <f>AVERAGE(ReturnData!H431:H441)</f>
        <v>6.3363636363636365E-3</v>
      </c>
      <c r="I431" s="16">
        <f>AVERAGE(ReturnData!I431:I441)</f>
        <v>1.5363636363636363E-3</v>
      </c>
      <c r="J431" s="16">
        <f>AVERAGE(ReturnData!J431:J441)</f>
        <v>-8.2909090909090901E-3</v>
      </c>
      <c r="K431" s="16">
        <f>AVERAGE(ReturnData!K431:K441)</f>
        <v>8.2636363636363619E-3</v>
      </c>
      <c r="L431" s="16">
        <f>AVERAGE(ReturnData!L431:L441)</f>
        <v>4.4545454545454558E-3</v>
      </c>
      <c r="M431" s="16">
        <f>AVERAGE(ReturnData!M431:M441)</f>
        <v>2.7709090909090905E-2</v>
      </c>
      <c r="N431" s="16">
        <f>AVERAGE(ReturnData!N431:N441)</f>
        <v>1.1754545454545457E-2</v>
      </c>
      <c r="O431" s="16">
        <f>AVERAGE(ReturnData!O431:O441)</f>
        <v>8.2000000000000007E-3</v>
      </c>
      <c r="P431" s="16">
        <f>AVERAGE(ReturnData!P431:P441)</f>
        <v>3.2454545454545462E-3</v>
      </c>
      <c r="Q431" s="16">
        <f>AVERAGE(ReturnData!Q431:Q441)</f>
        <v>-6.1727272727272733E-3</v>
      </c>
    </row>
    <row r="432" spans="1:17" x14ac:dyDescent="0.25">
      <c r="A432">
        <f>ReturnData!A444</f>
        <v>201011</v>
      </c>
      <c r="B432" s="16">
        <f>AVERAGE(ReturnData!B432:B442)</f>
        <v>1.0636363636363638E-2</v>
      </c>
      <c r="C432" s="16">
        <f>AVERAGE(ReturnData!C432:C442)</f>
        <v>2.2200000000000001E-2</v>
      </c>
      <c r="D432" s="16">
        <f>AVERAGE(ReturnData!D432:D442)</f>
        <v>3.6000000000000003E-3</v>
      </c>
      <c r="E432" s="16">
        <f>AVERAGE(ReturnData!E432:E442)</f>
        <v>2.6027272727272729E-2</v>
      </c>
      <c r="F432" s="16">
        <f>AVERAGE(ReturnData!F432:F442)</f>
        <v>2.3127272727272722E-2</v>
      </c>
      <c r="G432" s="16">
        <f>AVERAGE(ReturnData!G432:G442)</f>
        <v>2.749090909090909E-2</v>
      </c>
      <c r="H432" s="16">
        <f>AVERAGE(ReturnData!H432:H442)</f>
        <v>1.3227272727272728E-2</v>
      </c>
      <c r="I432" s="16">
        <f>AVERAGE(ReturnData!I432:I442)</f>
        <v>1.7272727272727273E-2</v>
      </c>
      <c r="J432" s="16">
        <f>AVERAGE(ReturnData!J432:J442)</f>
        <v>1.377272727272727E-2</v>
      </c>
      <c r="K432" s="16">
        <f>AVERAGE(ReturnData!K432:K442)</f>
        <v>2.0454545454545458E-2</v>
      </c>
      <c r="L432" s="16">
        <f>AVERAGE(ReturnData!L432:L442)</f>
        <v>2.0227272727272729E-2</v>
      </c>
      <c r="M432" s="16">
        <f>AVERAGE(ReturnData!M432:M442)</f>
        <v>4.0536363636363634E-2</v>
      </c>
      <c r="N432" s="16">
        <f>AVERAGE(ReturnData!N432:N442)</f>
        <v>2.5754545454545454E-2</v>
      </c>
      <c r="O432" s="16">
        <f>AVERAGE(ReturnData!O432:O442)</f>
        <v>1.398181818181818E-2</v>
      </c>
      <c r="P432" s="16">
        <f>AVERAGE(ReturnData!P432:P442)</f>
        <v>1.3218181818181818E-2</v>
      </c>
      <c r="Q432" s="16">
        <f>AVERAGE(ReturnData!Q432:Q442)</f>
        <v>4.9000000000000007E-3</v>
      </c>
    </row>
    <row r="433" spans="1:17" x14ac:dyDescent="0.25">
      <c r="A433">
        <f>ReturnData!A445</f>
        <v>201012</v>
      </c>
      <c r="B433" s="16">
        <f>AVERAGE(ReturnData!B433:B443)</f>
        <v>1.0154545454545456E-2</v>
      </c>
      <c r="C433" s="16">
        <f>AVERAGE(ReturnData!C433:C443)</f>
        <v>1.6927272727272728E-2</v>
      </c>
      <c r="D433" s="16">
        <f>AVERAGE(ReturnData!D433:D443)</f>
        <v>5.0090909090909084E-3</v>
      </c>
      <c r="E433" s="16">
        <f>AVERAGE(ReturnData!E433:E443)</f>
        <v>2.7463636363636367E-2</v>
      </c>
      <c r="F433" s="16">
        <f>AVERAGE(ReturnData!F433:F443)</f>
        <v>2.0481818181818181E-2</v>
      </c>
      <c r="G433" s="16">
        <f>AVERAGE(ReturnData!G433:G443)</f>
        <v>2.6536363636363636E-2</v>
      </c>
      <c r="H433" s="16">
        <f>AVERAGE(ReturnData!H433:H443)</f>
        <v>8.8727272727272734E-3</v>
      </c>
      <c r="I433" s="16">
        <f>AVERAGE(ReturnData!I433:I443)</f>
        <v>1.1872727272727273E-2</v>
      </c>
      <c r="J433" s="16">
        <f>AVERAGE(ReturnData!J433:J443)</f>
        <v>1.1190909090909093E-2</v>
      </c>
      <c r="K433" s="16">
        <f>AVERAGE(ReturnData!K433:K443)</f>
        <v>2.6027272727272729E-2</v>
      </c>
      <c r="L433" s="16">
        <f>AVERAGE(ReturnData!L433:L443)</f>
        <v>2.0445454545454548E-2</v>
      </c>
      <c r="M433" s="16">
        <f>AVERAGE(ReturnData!M433:M443)</f>
        <v>3.8736363636363638E-2</v>
      </c>
      <c r="N433" s="16">
        <f>AVERAGE(ReturnData!N433:N443)</f>
        <v>2.1481818181818182E-2</v>
      </c>
      <c r="O433" s="16">
        <f>AVERAGE(ReturnData!O433:O443)</f>
        <v>1.1518181818181818E-2</v>
      </c>
      <c r="P433" s="16">
        <f>AVERAGE(ReturnData!P433:P443)</f>
        <v>1.1181818181818182E-2</v>
      </c>
      <c r="Q433" s="16">
        <f>AVERAGE(ReturnData!Q433:Q443)</f>
        <v>2.4454545454545462E-3</v>
      </c>
    </row>
    <row r="434" spans="1:17" x14ac:dyDescent="0.25">
      <c r="A434">
        <f>ReturnData!A446</f>
        <v>201101</v>
      </c>
      <c r="B434" s="16">
        <f>AVERAGE(ReturnData!B434:B444)</f>
        <v>8.5909090909090918E-3</v>
      </c>
      <c r="C434" s="16">
        <f>AVERAGE(ReturnData!C434:C444)</f>
        <v>2.3654545454545452E-2</v>
      </c>
      <c r="D434" s="16">
        <f>AVERAGE(ReturnData!D434:D444)</f>
        <v>1.0381818181818181E-2</v>
      </c>
      <c r="E434" s="16">
        <f>AVERAGE(ReturnData!E434:E444)</f>
        <v>3.0563636363636362E-2</v>
      </c>
      <c r="F434" s="16">
        <f>AVERAGE(ReturnData!F434:F444)</f>
        <v>2.1209090909090907E-2</v>
      </c>
      <c r="G434" s="16">
        <f>AVERAGE(ReturnData!G434:G444)</f>
        <v>2.4727272727272723E-2</v>
      </c>
      <c r="H434" s="16">
        <f>AVERAGE(ReturnData!H434:H444)</f>
        <v>4.3000000000000009E-3</v>
      </c>
      <c r="I434" s="16">
        <f>AVERAGE(ReturnData!I434:I444)</f>
        <v>8.1727272727272742E-3</v>
      </c>
      <c r="J434" s="16">
        <f>AVERAGE(ReturnData!J434:J444)</f>
        <v>-4.1818181818181787E-4</v>
      </c>
      <c r="K434" s="16">
        <f>AVERAGE(ReturnData!K434:K444)</f>
        <v>2.4409090909090912E-2</v>
      </c>
      <c r="L434" s="16">
        <f>AVERAGE(ReturnData!L434:L444)</f>
        <v>1.6627272727272727E-2</v>
      </c>
      <c r="M434" s="16">
        <f>AVERAGE(ReturnData!M434:M444)</f>
        <v>4.0381818181818185E-2</v>
      </c>
      <c r="N434" s="16">
        <f>AVERAGE(ReturnData!N434:N444)</f>
        <v>1.8700000000000001E-2</v>
      </c>
      <c r="O434" s="16">
        <f>AVERAGE(ReturnData!O434:O444)</f>
        <v>4.981818181818181E-3</v>
      </c>
      <c r="P434" s="16">
        <f>AVERAGE(ReturnData!P434:P444)</f>
        <v>1.5263636363636363E-2</v>
      </c>
      <c r="Q434" s="16">
        <f>AVERAGE(ReturnData!Q434:Q444)</f>
        <v>1.9090909090909104E-3</v>
      </c>
    </row>
    <row r="435" spans="1:17" x14ac:dyDescent="0.25">
      <c r="A435">
        <f>ReturnData!A447</f>
        <v>201102</v>
      </c>
      <c r="B435" s="16">
        <f>AVERAGE(ReturnData!B435:B445)</f>
        <v>1.4681818181818183E-2</v>
      </c>
      <c r="C435" s="16">
        <f>AVERAGE(ReturnData!C435:C445)</f>
        <v>4.826363636363637E-2</v>
      </c>
      <c r="D435" s="16">
        <f>AVERAGE(ReturnData!D435:D445)</f>
        <v>2.3127272727272729E-2</v>
      </c>
      <c r="E435" s="16">
        <f>AVERAGE(ReturnData!E435:E445)</f>
        <v>3.49E-2</v>
      </c>
      <c r="F435" s="16">
        <f>AVERAGE(ReturnData!F435:F445)</f>
        <v>3.034545454545455E-2</v>
      </c>
      <c r="G435" s="16">
        <f>AVERAGE(ReturnData!G435:G445)</f>
        <v>3.5290909090909088E-2</v>
      </c>
      <c r="H435" s="16">
        <f>AVERAGE(ReturnData!H435:H445)</f>
        <v>8.7636363636363641E-3</v>
      </c>
      <c r="I435" s="16">
        <f>AVERAGE(ReturnData!I435:I445)</f>
        <v>2.288181818181818E-2</v>
      </c>
      <c r="J435" s="16">
        <f>AVERAGE(ReturnData!J435:J445)</f>
        <v>2.3036363636363636E-2</v>
      </c>
      <c r="K435" s="16">
        <f>AVERAGE(ReturnData!K435:K445)</f>
        <v>3.2563636363636364E-2</v>
      </c>
      <c r="L435" s="16">
        <f>AVERAGE(ReturnData!L435:L445)</f>
        <v>2.8827272727272733E-2</v>
      </c>
      <c r="M435" s="16">
        <f>AVERAGE(ReturnData!M435:M445)</f>
        <v>4.6772727272727271E-2</v>
      </c>
      <c r="N435" s="16">
        <f>AVERAGE(ReturnData!N435:N445)</f>
        <v>2.4200000000000003E-2</v>
      </c>
      <c r="O435" s="16">
        <f>AVERAGE(ReturnData!O435:O445)</f>
        <v>1.1945454545454547E-2</v>
      </c>
      <c r="P435" s="16">
        <f>AVERAGE(ReturnData!P435:P445)</f>
        <v>1.7899999999999999E-2</v>
      </c>
      <c r="Q435" s="16">
        <f>AVERAGE(ReturnData!Q435:Q445)</f>
        <v>1.21E-2</v>
      </c>
    </row>
    <row r="436" spans="1:17" x14ac:dyDescent="0.25">
      <c r="A436">
        <f>ReturnData!A448</f>
        <v>201103</v>
      </c>
      <c r="B436" s="16">
        <f>AVERAGE(ReturnData!B436:B446)</f>
        <v>1.1318181818181819E-2</v>
      </c>
      <c r="C436" s="16">
        <f>AVERAGE(ReturnData!C436:C446)</f>
        <v>3.2554545454545454E-2</v>
      </c>
      <c r="D436" s="16">
        <f>AVERAGE(ReturnData!D436:D446)</f>
        <v>2.7563636363636367E-2</v>
      </c>
      <c r="E436" s="16">
        <f>AVERAGE(ReturnData!E436:E446)</f>
        <v>2.5145454545454547E-2</v>
      </c>
      <c r="F436" s="16">
        <f>AVERAGE(ReturnData!F436:F446)</f>
        <v>1.9581818181818179E-2</v>
      </c>
      <c r="G436" s="16">
        <f>AVERAGE(ReturnData!G436:G446)</f>
        <v>3.1609090909090913E-2</v>
      </c>
      <c r="H436" s="16">
        <f>AVERAGE(ReturnData!H436:H446)</f>
        <v>5.8181818181818187E-3</v>
      </c>
      <c r="I436" s="16">
        <f>AVERAGE(ReturnData!I436:I446)</f>
        <v>2.0909090909090908E-2</v>
      </c>
      <c r="J436" s="16">
        <f>AVERAGE(ReturnData!J436:J446)</f>
        <v>2.2618181818181819E-2</v>
      </c>
      <c r="K436" s="16">
        <f>AVERAGE(ReturnData!K436:K446)</f>
        <v>2.8109090909090913E-2</v>
      </c>
      <c r="L436" s="16">
        <f>AVERAGE(ReturnData!L436:L446)</f>
        <v>2.6718181818181818E-2</v>
      </c>
      <c r="M436" s="16">
        <f>AVERAGE(ReturnData!M436:M446)</f>
        <v>4.0490909090909091E-2</v>
      </c>
      <c r="N436" s="16">
        <f>AVERAGE(ReturnData!N436:N446)</f>
        <v>2.0954545454545455E-2</v>
      </c>
      <c r="O436" s="16">
        <f>AVERAGE(ReturnData!O436:O446)</f>
        <v>1.4327272727272727E-2</v>
      </c>
      <c r="P436" s="16">
        <f>AVERAGE(ReturnData!P436:P446)</f>
        <v>1.2890909090909092E-2</v>
      </c>
      <c r="Q436" s="16">
        <f>AVERAGE(ReturnData!Q436:Q446)</f>
        <v>1.1763636363636365E-2</v>
      </c>
    </row>
    <row r="437" spans="1:17" x14ac:dyDescent="0.25">
      <c r="A437">
        <f>ReturnData!A449</f>
        <v>201104</v>
      </c>
      <c r="B437" s="16">
        <f>AVERAGE(ReturnData!B437:B447)</f>
        <v>9.4272727272727268E-3</v>
      </c>
      <c r="C437" s="16">
        <f>AVERAGE(ReturnData!C437:C447)</f>
        <v>2.6763636363636364E-2</v>
      </c>
      <c r="D437" s="16">
        <f>AVERAGE(ReturnData!D437:D447)</f>
        <v>3.1936363636363638E-2</v>
      </c>
      <c r="E437" s="16">
        <f>AVERAGE(ReturnData!E437:E447)</f>
        <v>2.2545454545454546E-2</v>
      </c>
      <c r="F437" s="16">
        <f>AVERAGE(ReturnData!F437:F447)</f>
        <v>1.8190909090909087E-2</v>
      </c>
      <c r="G437" s="16">
        <f>AVERAGE(ReturnData!G437:G447)</f>
        <v>2.9400000000000003E-2</v>
      </c>
      <c r="H437" s="16">
        <f>AVERAGE(ReturnData!H437:H447)</f>
        <v>6.2636363636363653E-3</v>
      </c>
      <c r="I437" s="16">
        <f>AVERAGE(ReturnData!I437:I447)</f>
        <v>1.8045454545454545E-2</v>
      </c>
      <c r="J437" s="16">
        <f>AVERAGE(ReturnData!J437:J447)</f>
        <v>1.5309090909090911E-2</v>
      </c>
      <c r="K437" s="16">
        <f>AVERAGE(ReturnData!K437:K447)</f>
        <v>2.5690909090909094E-2</v>
      </c>
      <c r="L437" s="16">
        <f>AVERAGE(ReturnData!L437:L447)</f>
        <v>2.2209090909090911E-2</v>
      </c>
      <c r="M437" s="16">
        <f>AVERAGE(ReturnData!M437:M447)</f>
        <v>3.0200000000000001E-2</v>
      </c>
      <c r="N437" s="16">
        <f>AVERAGE(ReturnData!N437:N447)</f>
        <v>1.4472727272727274E-2</v>
      </c>
      <c r="O437" s="16">
        <f>AVERAGE(ReturnData!O437:O447)</f>
        <v>1.37E-2</v>
      </c>
      <c r="P437" s="16">
        <f>AVERAGE(ReturnData!P437:P447)</f>
        <v>8.4272727272727277E-3</v>
      </c>
      <c r="Q437" s="16">
        <f>AVERAGE(ReturnData!Q437:Q447)</f>
        <v>6.6818181818181803E-3</v>
      </c>
    </row>
    <row r="438" spans="1:17" x14ac:dyDescent="0.25">
      <c r="A438">
        <f>ReturnData!A450</f>
        <v>201105</v>
      </c>
      <c r="B438" s="16">
        <f>AVERAGE(ReturnData!B438:B448)</f>
        <v>1.2672727272727273E-2</v>
      </c>
      <c r="C438" s="16">
        <f>AVERAGE(ReturnData!C438:C448)</f>
        <v>2.9890909090909083E-2</v>
      </c>
      <c r="D438" s="16">
        <f>AVERAGE(ReturnData!D438:D448)</f>
        <v>2.9554545454545458E-2</v>
      </c>
      <c r="E438" s="16">
        <f>AVERAGE(ReturnData!E438:E448)</f>
        <v>1.4936363636363637E-2</v>
      </c>
      <c r="F438" s="16">
        <f>AVERAGE(ReturnData!F438:F448)</f>
        <v>1.6663636363636363E-2</v>
      </c>
      <c r="G438" s="16">
        <f>AVERAGE(ReturnData!G438:G448)</f>
        <v>2.857272727272727E-2</v>
      </c>
      <c r="H438" s="16">
        <f>AVERAGE(ReturnData!H438:H448)</f>
        <v>9.8363636363636361E-3</v>
      </c>
      <c r="I438" s="16">
        <f>AVERAGE(ReturnData!I438:I448)</f>
        <v>9.754545454545455E-3</v>
      </c>
      <c r="J438" s="16">
        <f>AVERAGE(ReturnData!J438:J448)</f>
        <v>1.8672727272727271E-2</v>
      </c>
      <c r="K438" s="16">
        <f>AVERAGE(ReturnData!K438:K448)</f>
        <v>2.5318181818181816E-2</v>
      </c>
      <c r="L438" s="16">
        <f>AVERAGE(ReturnData!L438:L448)</f>
        <v>1.6900000000000002E-2</v>
      </c>
      <c r="M438" s="16">
        <f>AVERAGE(ReturnData!M438:M448)</f>
        <v>2.6163636363636365E-2</v>
      </c>
      <c r="N438" s="16">
        <f>AVERAGE(ReturnData!N438:N448)</f>
        <v>1.4490909090909092E-2</v>
      </c>
      <c r="O438" s="16">
        <f>AVERAGE(ReturnData!O438:O448)</f>
        <v>1.1945454545454547E-2</v>
      </c>
      <c r="P438" s="16">
        <f>AVERAGE(ReturnData!P438:P448)</f>
        <v>8.0363636363636349E-3</v>
      </c>
      <c r="Q438" s="16">
        <f>AVERAGE(ReturnData!Q438:Q448)</f>
        <v>4.2181818181818188E-3</v>
      </c>
    </row>
    <row r="439" spans="1:17" x14ac:dyDescent="0.25">
      <c r="A439">
        <f>ReturnData!A451</f>
        <v>201106</v>
      </c>
      <c r="B439" s="16">
        <f>AVERAGE(ReturnData!B439:B449)</f>
        <v>2.0818181818181819E-2</v>
      </c>
      <c r="C439" s="16">
        <f>AVERAGE(ReturnData!C439:C449)</f>
        <v>3.6054545454545457E-2</v>
      </c>
      <c r="D439" s="16">
        <f>AVERAGE(ReturnData!D439:D449)</f>
        <v>4.0381818181818178E-2</v>
      </c>
      <c r="E439" s="16">
        <f>AVERAGE(ReturnData!E439:E449)</f>
        <v>2.7781818181818182E-2</v>
      </c>
      <c r="F439" s="16">
        <f>AVERAGE(ReturnData!F439:F449)</f>
        <v>2.6318181818181817E-2</v>
      </c>
      <c r="G439" s="16">
        <f>AVERAGE(ReturnData!G439:G449)</f>
        <v>4.2900000000000001E-2</v>
      </c>
      <c r="H439" s="16">
        <f>AVERAGE(ReturnData!H439:H449)</f>
        <v>2.1418181818181819E-2</v>
      </c>
      <c r="I439" s="16">
        <f>AVERAGE(ReturnData!I439:I449)</f>
        <v>1.6918181818181818E-2</v>
      </c>
      <c r="J439" s="16">
        <f>AVERAGE(ReturnData!J439:J449)</f>
        <v>2.5936363636363636E-2</v>
      </c>
      <c r="K439" s="16">
        <f>AVERAGE(ReturnData!K439:K449)</f>
        <v>3.5354545454545458E-2</v>
      </c>
      <c r="L439" s="16">
        <f>AVERAGE(ReturnData!L439:L449)</f>
        <v>2.6636363636363635E-2</v>
      </c>
      <c r="M439" s="16">
        <f>AVERAGE(ReturnData!M439:M449)</f>
        <v>3.4281818181818184E-2</v>
      </c>
      <c r="N439" s="16">
        <f>AVERAGE(ReturnData!N439:N449)</f>
        <v>2.407272727272727E-2</v>
      </c>
      <c r="O439" s="16">
        <f>AVERAGE(ReturnData!O439:O449)</f>
        <v>2.1299999999999999E-2</v>
      </c>
      <c r="P439" s="16">
        <f>AVERAGE(ReturnData!P439:P449)</f>
        <v>1.7890909090909093E-2</v>
      </c>
      <c r="Q439" s="16">
        <f>AVERAGE(ReturnData!Q439:Q449)</f>
        <v>1.3100000000000001E-2</v>
      </c>
    </row>
    <row r="440" spans="1:17" x14ac:dyDescent="0.25">
      <c r="A440">
        <f>ReturnData!A452</f>
        <v>201107</v>
      </c>
      <c r="B440" s="16">
        <f>AVERAGE(ReturnData!B440:B450)</f>
        <v>2.4281818181818182E-2</v>
      </c>
      <c r="C440" s="16">
        <f>AVERAGE(ReturnData!C440:C450)</f>
        <v>3.7181818181818177E-2</v>
      </c>
      <c r="D440" s="16">
        <f>AVERAGE(ReturnData!D440:D450)</f>
        <v>4.196363636363637E-2</v>
      </c>
      <c r="E440" s="16">
        <f>AVERAGE(ReturnData!E440:E450)</f>
        <v>3.7372727272727287E-2</v>
      </c>
      <c r="F440" s="16">
        <f>AVERAGE(ReturnData!F440:F450)</f>
        <v>3.4963636363636356E-2</v>
      </c>
      <c r="G440" s="16">
        <f>AVERAGE(ReturnData!G440:G450)</f>
        <v>4.695454545454545E-2</v>
      </c>
      <c r="H440" s="16">
        <f>AVERAGE(ReturnData!H440:H450)</f>
        <v>2.4345454545454549E-2</v>
      </c>
      <c r="I440" s="16">
        <f>AVERAGE(ReturnData!I440:I450)</f>
        <v>2.6990909090909086E-2</v>
      </c>
      <c r="J440" s="16">
        <f>AVERAGE(ReturnData!J440:J450)</f>
        <v>3.32E-2</v>
      </c>
      <c r="K440" s="16">
        <f>AVERAGE(ReturnData!K440:K450)</f>
        <v>4.0918181818181826E-2</v>
      </c>
      <c r="L440" s="16">
        <f>AVERAGE(ReturnData!L440:L450)</f>
        <v>2.9399999999999996E-2</v>
      </c>
      <c r="M440" s="16">
        <f>AVERAGE(ReturnData!M440:M450)</f>
        <v>3.9181818181818186E-2</v>
      </c>
      <c r="N440" s="16">
        <f>AVERAGE(ReturnData!N440:N450)</f>
        <v>2.9899999999999996E-2</v>
      </c>
      <c r="O440" s="16">
        <f>AVERAGE(ReturnData!O440:O450)</f>
        <v>2.3136363636363635E-2</v>
      </c>
      <c r="P440" s="16">
        <f>AVERAGE(ReturnData!P440:P450)</f>
        <v>2.7627272727272726E-2</v>
      </c>
      <c r="Q440" s="16">
        <f>AVERAGE(ReturnData!Q440:Q450)</f>
        <v>1.7245454545454546E-2</v>
      </c>
    </row>
    <row r="441" spans="1:17" x14ac:dyDescent="0.25">
      <c r="A441">
        <f>ReturnData!A453</f>
        <v>201108</v>
      </c>
      <c r="B441" s="16">
        <f>AVERAGE(ReturnData!B441:B451)</f>
        <v>1.8190909090909091E-2</v>
      </c>
      <c r="C441" s="16">
        <f>AVERAGE(ReturnData!C441:C451)</f>
        <v>2.5490909090909085E-2</v>
      </c>
      <c r="D441" s="16">
        <f>AVERAGE(ReturnData!D441:D451)</f>
        <v>3.3281818181818183E-2</v>
      </c>
      <c r="E441" s="16">
        <f>AVERAGE(ReturnData!E441:E451)</f>
        <v>3.2772727272727266E-2</v>
      </c>
      <c r="F441" s="16">
        <f>AVERAGE(ReturnData!F441:F451)</f>
        <v>3.2090909090909087E-2</v>
      </c>
      <c r="G441" s="16">
        <f>AVERAGE(ReturnData!G441:G451)</f>
        <v>3.3145454545454547E-2</v>
      </c>
      <c r="H441" s="16">
        <f>AVERAGE(ReturnData!H441:H451)</f>
        <v>1.8745454545454544E-2</v>
      </c>
      <c r="I441" s="16">
        <f>AVERAGE(ReturnData!I441:I451)</f>
        <v>2.0463636363636364E-2</v>
      </c>
      <c r="J441" s="16">
        <f>AVERAGE(ReturnData!J441:J451)</f>
        <v>2.3918181818181814E-2</v>
      </c>
      <c r="K441" s="16">
        <f>AVERAGE(ReturnData!K441:K451)</f>
        <v>3.0654545454545455E-2</v>
      </c>
      <c r="L441" s="16">
        <f>AVERAGE(ReturnData!L441:L451)</f>
        <v>1.9936363636363637E-2</v>
      </c>
      <c r="M441" s="16">
        <f>AVERAGE(ReturnData!M441:M451)</f>
        <v>2.3463636363636364E-2</v>
      </c>
      <c r="N441" s="16">
        <f>AVERAGE(ReturnData!N441:N451)</f>
        <v>2.1172727272727274E-2</v>
      </c>
      <c r="O441" s="16">
        <f>AVERAGE(ReturnData!O441:O451)</f>
        <v>1.6636363636363637E-2</v>
      </c>
      <c r="P441" s="16">
        <f>AVERAGE(ReturnData!P441:P451)</f>
        <v>2.2236363636363634E-2</v>
      </c>
      <c r="Q441" s="16">
        <f>AVERAGE(ReturnData!Q441:Q451)</f>
        <v>9.1818181818181833E-3</v>
      </c>
    </row>
    <row r="442" spans="1:17" x14ac:dyDescent="0.25">
      <c r="A442">
        <f>ReturnData!A454</f>
        <v>201109</v>
      </c>
      <c r="B442" s="16">
        <f>AVERAGE(ReturnData!B442:B452)</f>
        <v>1.7272727272727276E-2</v>
      </c>
      <c r="C442" s="16">
        <f>AVERAGE(ReturnData!C442:C452)</f>
        <v>2.6181818181818181E-2</v>
      </c>
      <c r="D442" s="16">
        <f>AVERAGE(ReturnData!D442:D452)</f>
        <v>3.6772727272727276E-2</v>
      </c>
      <c r="E442" s="16">
        <f>AVERAGE(ReturnData!E442:E452)</f>
        <v>4.1072727272727282E-2</v>
      </c>
      <c r="F442" s="16">
        <f>AVERAGE(ReturnData!F442:F452)</f>
        <v>2.9909090909090899E-2</v>
      </c>
      <c r="G442" s="16">
        <f>AVERAGE(ReturnData!G442:G452)</f>
        <v>3.1627272727272726E-2</v>
      </c>
      <c r="H442" s="16">
        <f>AVERAGE(ReturnData!H442:H452)</f>
        <v>1.7227272727272726E-2</v>
      </c>
      <c r="I442" s="16">
        <f>AVERAGE(ReturnData!I442:I452)</f>
        <v>1.948181818181818E-2</v>
      </c>
      <c r="J442" s="16">
        <f>AVERAGE(ReturnData!J442:J452)</f>
        <v>2.6209090909090904E-2</v>
      </c>
      <c r="K442" s="16">
        <f>AVERAGE(ReturnData!K442:K452)</f>
        <v>2.8254545454545456E-2</v>
      </c>
      <c r="L442" s="16">
        <f>AVERAGE(ReturnData!L442:L452)</f>
        <v>2.6163636363636358E-2</v>
      </c>
      <c r="M442" s="16">
        <f>AVERAGE(ReturnData!M442:M452)</f>
        <v>2.348181818181818E-2</v>
      </c>
      <c r="N442" s="16">
        <f>AVERAGE(ReturnData!N442:N452)</f>
        <v>2.2118181818181822E-2</v>
      </c>
      <c r="O442" s="16">
        <f>AVERAGE(ReturnData!O442:O452)</f>
        <v>1.6E-2</v>
      </c>
      <c r="P442" s="16">
        <f>AVERAGE(ReturnData!P442:P452)</f>
        <v>2.5936363636363636E-2</v>
      </c>
      <c r="Q442" s="16">
        <f>AVERAGE(ReturnData!Q442:Q452)</f>
        <v>1.3336363636363636E-2</v>
      </c>
    </row>
    <row r="443" spans="1:17" x14ac:dyDescent="0.25">
      <c r="A443">
        <f>ReturnData!A455</f>
        <v>201110</v>
      </c>
      <c r="B443" s="16">
        <f>AVERAGE(ReturnData!B443:B453)</f>
        <v>1.410909090909091E-2</v>
      </c>
      <c r="C443" s="16">
        <f>AVERAGE(ReturnData!C443:C453)</f>
        <v>9.3363636363636392E-3</v>
      </c>
      <c r="D443" s="16">
        <f>AVERAGE(ReturnData!D443:D453)</f>
        <v>1.9781818181818189E-2</v>
      </c>
      <c r="E443" s="16">
        <f>AVERAGE(ReturnData!E443:E453)</f>
        <v>1.996363636363636E-2</v>
      </c>
      <c r="F443" s="16">
        <f>AVERAGE(ReturnData!F443:F453)</f>
        <v>1.285454545454545E-2</v>
      </c>
      <c r="G443" s="16">
        <f>AVERAGE(ReturnData!G443:G453)</f>
        <v>1.4781818181818184E-2</v>
      </c>
      <c r="H443" s="16">
        <f>AVERAGE(ReturnData!H443:H453)</f>
        <v>1.1154545454545452E-2</v>
      </c>
      <c r="I443" s="16">
        <f>AVERAGE(ReturnData!I443:I453)</f>
        <v>3.4000000000000002E-3</v>
      </c>
      <c r="J443" s="16">
        <f>AVERAGE(ReturnData!J443:J453)</f>
        <v>3.1454545454545472E-3</v>
      </c>
      <c r="K443" s="16">
        <f>AVERAGE(ReturnData!K443:K453)</f>
        <v>1.2736363636363636E-2</v>
      </c>
      <c r="L443" s="16">
        <f>AVERAGE(ReturnData!L443:L453)</f>
        <v>6.172727272727275E-3</v>
      </c>
      <c r="M443" s="16">
        <f>AVERAGE(ReturnData!M443:M453)</f>
        <v>3.5454545454545474E-3</v>
      </c>
      <c r="N443" s="16">
        <f>AVERAGE(ReturnData!N443:N453)</f>
        <v>6.6636363636363664E-3</v>
      </c>
      <c r="O443" s="16">
        <f>AVERAGE(ReturnData!O443:O453)</f>
        <v>1.2836363636363635E-2</v>
      </c>
      <c r="P443" s="16">
        <f>AVERAGE(ReturnData!P443:P453)</f>
        <v>1.2254545454545455E-2</v>
      </c>
      <c r="Q443" s="16">
        <f>AVERAGE(ReturnData!Q443:Q453)</f>
        <v>-1.7272727272727264E-3</v>
      </c>
    </row>
    <row r="444" spans="1:17" x14ac:dyDescent="0.25">
      <c r="A444">
        <f>ReturnData!A456</f>
        <v>201111</v>
      </c>
      <c r="B444" s="16">
        <f>AVERAGE(ReturnData!B444:B454)</f>
        <v>6.4272727272727311E-3</v>
      </c>
      <c r="C444" s="16">
        <f>AVERAGE(ReturnData!C444:C454)</f>
        <v>-2.0272727272727272E-2</v>
      </c>
      <c r="D444" s="16">
        <f>AVERAGE(ReturnData!D444:D454)</f>
        <v>4.9363636363636467E-3</v>
      </c>
      <c r="E444" s="16">
        <f>AVERAGE(ReturnData!E444:E454)</f>
        <v>1.1609090909090913E-2</v>
      </c>
      <c r="F444" s="16">
        <f>AVERAGE(ReturnData!F444:F454)</f>
        <v>-6.0000000000000461E-4</v>
      </c>
      <c r="G444" s="16">
        <f>AVERAGE(ReturnData!G444:G454)</f>
        <v>-8.6181818181818113E-3</v>
      </c>
      <c r="H444" s="16">
        <f>AVERAGE(ReturnData!H444:H454)</f>
        <v>5.6090909090909091E-3</v>
      </c>
      <c r="I444" s="16">
        <f>AVERAGE(ReturnData!I444:I454)</f>
        <v>-4.3999999999999985E-3</v>
      </c>
      <c r="J444" s="16">
        <f>AVERAGE(ReturnData!J444:J454)</f>
        <v>-1.9790909090909092E-2</v>
      </c>
      <c r="K444" s="16">
        <f>AVERAGE(ReturnData!K444:K454)</f>
        <v>-5.2363636363636336E-3</v>
      </c>
      <c r="L444" s="16">
        <f>AVERAGE(ReturnData!L444:L454)</f>
        <v>-5.4545454545454506E-3</v>
      </c>
      <c r="M444" s="16">
        <f>AVERAGE(ReturnData!M444:M454)</f>
        <v>-1.5754545454545455E-2</v>
      </c>
      <c r="N444" s="16">
        <f>AVERAGE(ReturnData!N444:N454)</f>
        <v>-5.0090909090909084E-3</v>
      </c>
      <c r="O444" s="16">
        <f>AVERAGE(ReturnData!O444:O454)</f>
        <v>9.6818181818181803E-3</v>
      </c>
      <c r="P444" s="16">
        <f>AVERAGE(ReturnData!P444:P454)</f>
        <v>7.1545454545454542E-3</v>
      </c>
      <c r="Q444" s="16">
        <f>AVERAGE(ReturnData!Q444:Q454)</f>
        <v>-1.3527272727272723E-2</v>
      </c>
    </row>
    <row r="445" spans="1:17" x14ac:dyDescent="0.25">
      <c r="A445">
        <f>ReturnData!A457</f>
        <v>201112</v>
      </c>
      <c r="B445" s="16">
        <f>AVERAGE(ReturnData!B445:B455)</f>
        <v>1.0236363636363637E-2</v>
      </c>
      <c r="C445" s="16">
        <f>AVERAGE(ReturnData!C445:C455)</f>
        <v>-5.6636363636363577E-3</v>
      </c>
      <c r="D445" s="16">
        <f>AVERAGE(ReturnData!D445:D455)</f>
        <v>1.4827272727272727E-2</v>
      </c>
      <c r="E445" s="16">
        <f>AVERAGE(ReturnData!E445:E455)</f>
        <v>1.8845454545454551E-2</v>
      </c>
      <c r="F445" s="16">
        <f>AVERAGE(ReturnData!F445:F455)</f>
        <v>9.5363636363636328E-3</v>
      </c>
      <c r="G445" s="16">
        <f>AVERAGE(ReturnData!G445:G455)</f>
        <v>7.4727272727272784E-3</v>
      </c>
      <c r="H445" s="16">
        <f>AVERAGE(ReturnData!H445:H455)</f>
        <v>1.3654545454545454E-2</v>
      </c>
      <c r="I445" s="16">
        <f>AVERAGE(ReturnData!I445:I455)</f>
        <v>7.909090909090909E-3</v>
      </c>
      <c r="J445" s="16">
        <f>AVERAGE(ReturnData!J445:J455)</f>
        <v>-5.9545454545454519E-3</v>
      </c>
      <c r="K445" s="16">
        <f>AVERAGE(ReturnData!K445:K455)</f>
        <v>7.9454545454545472E-3</v>
      </c>
      <c r="L445" s="16">
        <f>AVERAGE(ReturnData!L445:L455)</f>
        <v>5.9909090909090962E-3</v>
      </c>
      <c r="M445" s="16">
        <f>AVERAGE(ReturnData!M445:M455)</f>
        <v>-3.5181818181818192E-3</v>
      </c>
      <c r="N445" s="16">
        <f>AVERAGE(ReturnData!N445:N455)</f>
        <v>6.1818181818181807E-3</v>
      </c>
      <c r="O445" s="16">
        <f>AVERAGE(ReturnData!O445:O455)</f>
        <v>1.6981818181818185E-2</v>
      </c>
      <c r="P445" s="16">
        <f>AVERAGE(ReturnData!P445:P455)</f>
        <v>1.0536363636363637E-2</v>
      </c>
      <c r="Q445" s="16">
        <f>AVERAGE(ReturnData!Q445:Q455)</f>
        <v>-9.999999999999959E-4</v>
      </c>
    </row>
    <row r="446" spans="1:17" x14ac:dyDescent="0.25">
      <c r="A446">
        <f>ReturnData!A458</f>
        <v>201201</v>
      </c>
      <c r="B446" s="16">
        <f>AVERAGE(ReturnData!B446:B456)</f>
        <v>6.6090909090909108E-3</v>
      </c>
      <c r="C446" s="16">
        <f>AVERAGE(ReturnData!C446:C456)</f>
        <v>-1.8590909090909095E-2</v>
      </c>
      <c r="D446" s="16">
        <f>AVERAGE(ReturnData!D446:D456)</f>
        <v>8.6000000000000035E-3</v>
      </c>
      <c r="E446" s="16">
        <f>AVERAGE(ReturnData!E446:E456)</f>
        <v>1.4581818181818185E-2</v>
      </c>
      <c r="F446" s="16">
        <f>AVERAGE(ReturnData!F446:F456)</f>
        <v>4.9090909090908732E-4</v>
      </c>
      <c r="G446" s="16">
        <f>AVERAGE(ReturnData!G446:G456)</f>
        <v>-2.3636363636363856E-4</v>
      </c>
      <c r="H446" s="16">
        <f>AVERAGE(ReturnData!H446:H456)</f>
        <v>1.1981818181818182E-2</v>
      </c>
      <c r="I446" s="16">
        <f>AVERAGE(ReturnData!I446:I456)</f>
        <v>1.5818181818181829E-3</v>
      </c>
      <c r="J446" s="16">
        <f>AVERAGE(ReturnData!J446:J456)</f>
        <v>-1.9372727272727274E-2</v>
      </c>
      <c r="K446" s="16">
        <f>AVERAGE(ReturnData!K446:K456)</f>
        <v>5.9090909090909107E-3</v>
      </c>
      <c r="L446" s="16">
        <f>AVERAGE(ReturnData!L446:L456)</f>
        <v>-6.4545454545454346E-4</v>
      </c>
      <c r="M446" s="16">
        <f>AVERAGE(ReturnData!M446:M456)</f>
        <v>-1.6718181818181813E-2</v>
      </c>
      <c r="N446" s="16">
        <f>AVERAGE(ReturnData!N446:N456)</f>
        <v>4.154545454545455E-3</v>
      </c>
      <c r="O446" s="16">
        <f>AVERAGE(ReturnData!O446:O456)</f>
        <v>1.4963636363636366E-2</v>
      </c>
      <c r="P446" s="16">
        <f>AVERAGE(ReturnData!P446:P456)</f>
        <v>9.2636363636363645E-3</v>
      </c>
      <c r="Q446" s="16">
        <f>AVERAGE(ReturnData!Q446:Q456)</f>
        <v>-1.3472727272727273E-2</v>
      </c>
    </row>
    <row r="447" spans="1:17" x14ac:dyDescent="0.25">
      <c r="A447">
        <f>ReturnData!A459</f>
        <v>201202</v>
      </c>
      <c r="B447" s="16">
        <f>AVERAGE(ReturnData!B447:B457)</f>
        <v>1.0272727272727274E-2</v>
      </c>
      <c r="C447" s="16">
        <f>AVERAGE(ReturnData!C447:C457)</f>
        <v>-2.175454545454545E-2</v>
      </c>
      <c r="D447" s="16">
        <f>AVERAGE(ReturnData!D447:D457)</f>
        <v>2.0454545454545474E-3</v>
      </c>
      <c r="E447" s="16">
        <f>AVERAGE(ReturnData!E447:E457)</f>
        <v>1.5890909090909094E-2</v>
      </c>
      <c r="F447" s="16">
        <f>AVERAGE(ReturnData!F447:F457)</f>
        <v>-1.0909090909091033E-4</v>
      </c>
      <c r="G447" s="16">
        <f>AVERAGE(ReturnData!G447:G457)</f>
        <v>-1.5636363636363656E-3</v>
      </c>
      <c r="H447" s="16">
        <f>AVERAGE(ReturnData!H447:H457)</f>
        <v>1.7236363636363636E-2</v>
      </c>
      <c r="I447" s="16">
        <f>AVERAGE(ReturnData!I447:I457)</f>
        <v>9.5454545454545542E-4</v>
      </c>
      <c r="J447" s="16">
        <f>AVERAGE(ReturnData!J447:J457)</f>
        <v>-2.7800000000000002E-2</v>
      </c>
      <c r="K447" s="16">
        <f>AVERAGE(ReturnData!K447:K457)</f>
        <v>3.6363636363636141E-5</v>
      </c>
      <c r="L447" s="16">
        <f>AVERAGE(ReturnData!L447:L457)</f>
        <v>-6.4727272727272724E-3</v>
      </c>
      <c r="M447" s="16">
        <f>AVERAGE(ReturnData!M447:M457)</f>
        <v>-1.7263636363636359E-2</v>
      </c>
      <c r="N447" s="16">
        <f>AVERAGE(ReturnData!N447:N457)</f>
        <v>2.6090909090909077E-3</v>
      </c>
      <c r="O447" s="16">
        <f>AVERAGE(ReturnData!O447:O457)</f>
        <v>1.5627272727272729E-2</v>
      </c>
      <c r="P447" s="16">
        <f>AVERAGE(ReturnData!P447:P457)</f>
        <v>1.1354545454545456E-2</v>
      </c>
      <c r="Q447" s="16">
        <f>AVERAGE(ReturnData!Q447:Q457)</f>
        <v>-1.4181818181818179E-2</v>
      </c>
    </row>
    <row r="448" spans="1:17" x14ac:dyDescent="0.25">
      <c r="A448">
        <f>ReturnData!A460</f>
        <v>201203</v>
      </c>
      <c r="B448" s="16">
        <f>AVERAGE(ReturnData!B448:B458)</f>
        <v>8.2545454545454554E-3</v>
      </c>
      <c r="C448" s="16">
        <f>AVERAGE(ReturnData!C448:C458)</f>
        <v>-1.1727272727272727E-2</v>
      </c>
      <c r="D448" s="16">
        <f>AVERAGE(ReturnData!D448:D458)</f>
        <v>-4.28181818181818E-3</v>
      </c>
      <c r="E448" s="16">
        <f>AVERAGE(ReturnData!E448:E458)</f>
        <v>1.6900000000000002E-2</v>
      </c>
      <c r="F448" s="16">
        <f>AVERAGE(ReturnData!F448:F458)</f>
        <v>5.6727272727272677E-3</v>
      </c>
      <c r="G448" s="16">
        <f>AVERAGE(ReturnData!G448:G458)</f>
        <v>4.2999999999999983E-3</v>
      </c>
      <c r="H448" s="16">
        <f>AVERAGE(ReturnData!H448:H458)</f>
        <v>1.2827272727272727E-2</v>
      </c>
      <c r="I448" s="16">
        <f>AVERAGE(ReturnData!I448:I458)</f>
        <v>5.6000000000000017E-3</v>
      </c>
      <c r="J448" s="16">
        <f>AVERAGE(ReturnData!J448:J458)</f>
        <v>-2.0172727272727273E-2</v>
      </c>
      <c r="K448" s="16">
        <f>AVERAGE(ReturnData!K448:K458)</f>
        <v>3.3181818181818212E-3</v>
      </c>
      <c r="L448" s="16">
        <f>AVERAGE(ReturnData!L448:L458)</f>
        <v>1.4363636363636384E-3</v>
      </c>
      <c r="M448" s="16">
        <f>AVERAGE(ReturnData!M448:M458)</f>
        <v>-3.5181818181818218E-3</v>
      </c>
      <c r="N448" s="16">
        <f>AVERAGE(ReturnData!N448:N458)</f>
        <v>6.1272727272727286E-3</v>
      </c>
      <c r="O448" s="16">
        <f>AVERAGE(ReturnData!O448:O458)</f>
        <v>1.0954545454545455E-2</v>
      </c>
      <c r="P448" s="16">
        <f>AVERAGE(ReturnData!P448:P458)</f>
        <v>1.2872727272727274E-2</v>
      </c>
      <c r="Q448" s="16">
        <f>AVERAGE(ReturnData!Q448:Q458)</f>
        <v>-9.954545454545452E-3</v>
      </c>
    </row>
    <row r="449" spans="1:20" x14ac:dyDescent="0.25">
      <c r="A449">
        <f>ReturnData!A461</f>
        <v>201204</v>
      </c>
      <c r="B449" s="16">
        <f>AVERAGE(ReturnData!B449:B459)</f>
        <v>7.1363636363636351E-3</v>
      </c>
      <c r="C449" s="16">
        <f>AVERAGE(ReturnData!C449:C459)</f>
        <v>-1.8136363636363631E-2</v>
      </c>
      <c r="D449" s="16">
        <f>AVERAGE(ReturnData!D449:D459)</f>
        <v>2.3636363636363557E-4</v>
      </c>
      <c r="E449" s="16">
        <f>AVERAGE(ReturnData!E449:E459)</f>
        <v>2.578181818181818E-2</v>
      </c>
      <c r="F449" s="16">
        <f>AVERAGE(ReturnData!F449:F459)</f>
        <v>1.0381818181818178E-2</v>
      </c>
      <c r="G449" s="16">
        <f>AVERAGE(ReturnData!G449:G459)</f>
        <v>4.5363636363636379E-3</v>
      </c>
      <c r="H449" s="16">
        <f>AVERAGE(ReturnData!H449:H459)</f>
        <v>1.428181818181818E-2</v>
      </c>
      <c r="I449" s="16">
        <f>AVERAGE(ReturnData!I449:I459)</f>
        <v>9.1909090909090899E-3</v>
      </c>
      <c r="J449" s="16">
        <f>AVERAGE(ReturnData!J449:J459)</f>
        <v>-2.3309090909090904E-2</v>
      </c>
      <c r="K449" s="16">
        <f>AVERAGE(ReturnData!K449:K459)</f>
        <v>5.5727272727272752E-3</v>
      </c>
      <c r="L449" s="16">
        <f>AVERAGE(ReturnData!L449:L459)</f>
        <v>8.3909090909090895E-3</v>
      </c>
      <c r="M449" s="16">
        <f>AVERAGE(ReturnData!M449:M459)</f>
        <v>-8.0000000000000275E-4</v>
      </c>
      <c r="N449" s="16">
        <f>AVERAGE(ReturnData!N449:N459)</f>
        <v>5.0000000000000001E-3</v>
      </c>
      <c r="O449" s="16">
        <f>AVERAGE(ReturnData!O449:O459)</f>
        <v>1.1309090909090909E-2</v>
      </c>
      <c r="P449" s="16">
        <f>AVERAGE(ReturnData!P449:P459)</f>
        <v>1.4600000000000002E-2</v>
      </c>
      <c r="Q449" s="16">
        <f>AVERAGE(ReturnData!Q449:Q459)</f>
        <v>-2.5999999999999999E-3</v>
      </c>
    </row>
    <row r="450" spans="1:20" x14ac:dyDescent="0.25">
      <c r="A450">
        <f>ReturnData!A462</f>
        <v>201205</v>
      </c>
      <c r="B450" s="16">
        <f>AVERAGE(ReturnData!B450:B460)</f>
        <v>6.763636363636364E-3</v>
      </c>
      <c r="C450" s="16">
        <f>AVERAGE(ReturnData!C450:C460)</f>
        <v>-2.3518181818181813E-2</v>
      </c>
      <c r="D450" s="16">
        <f>AVERAGE(ReturnData!D450:D460)</f>
        <v>-4.1818181818181815E-3</v>
      </c>
      <c r="E450" s="16">
        <f>AVERAGE(ReturnData!E450:E460)</f>
        <v>2.0245454545454546E-2</v>
      </c>
      <c r="F450" s="16">
        <f>AVERAGE(ReturnData!F450:F460)</f>
        <v>9.772727272727268E-3</v>
      </c>
      <c r="G450" s="16">
        <f>AVERAGE(ReturnData!G450:G460)</f>
        <v>2.1090909090909099E-3</v>
      </c>
      <c r="H450" s="16">
        <f>AVERAGE(ReturnData!H450:H460)</f>
        <v>1.1872727272727273E-2</v>
      </c>
      <c r="I450" s="16">
        <f>AVERAGE(ReturnData!I450:I460)</f>
        <v>1.4536363636363632E-2</v>
      </c>
      <c r="J450" s="16">
        <f>AVERAGE(ReturnData!J450:J460)</f>
        <v>-2.3190909090909092E-2</v>
      </c>
      <c r="K450" s="16">
        <f>AVERAGE(ReturnData!K450:K460)</f>
        <v>5.4818181818181832E-3</v>
      </c>
      <c r="L450" s="16">
        <f>AVERAGE(ReturnData!L450:L460)</f>
        <v>9.281818181818181E-3</v>
      </c>
      <c r="M450" s="16">
        <f>AVERAGE(ReturnData!M450:M460)</f>
        <v>-1.6818181818181821E-3</v>
      </c>
      <c r="N450" s="16">
        <f>AVERAGE(ReturnData!N450:N460)</f>
        <v>2.6727272727272741E-3</v>
      </c>
      <c r="O450" s="16">
        <f>AVERAGE(ReturnData!O450:O460)</f>
        <v>9.0181818181818193E-3</v>
      </c>
      <c r="P450" s="16">
        <f>AVERAGE(ReturnData!P450:P460)</f>
        <v>1.4263636363636362E-2</v>
      </c>
      <c r="Q450" s="16">
        <f>AVERAGE(ReturnData!Q450:Q460)</f>
        <v>3.1545454545454567E-3</v>
      </c>
    </row>
    <row r="451" spans="1:20" x14ac:dyDescent="0.25">
      <c r="A451">
        <f>ReturnData!A463</f>
        <v>201206</v>
      </c>
      <c r="B451" s="16">
        <f>AVERAGE(ReturnData!B451:B461)</f>
        <v>5.8454545454545452E-3</v>
      </c>
      <c r="C451" s="16">
        <f>AVERAGE(ReturnData!C451:C461)</f>
        <v>-1.894545454545454E-2</v>
      </c>
      <c r="D451" s="16">
        <f>AVERAGE(ReturnData!D451:D461)</f>
        <v>-1.5272727272727272E-3</v>
      </c>
      <c r="E451" s="16">
        <f>AVERAGE(ReturnData!E451:E461)</f>
        <v>1.9445454545454547E-2</v>
      </c>
      <c r="F451" s="16">
        <f>AVERAGE(ReturnData!F451:F461)</f>
        <v>5.2636363636363558E-3</v>
      </c>
      <c r="G451" s="16">
        <f>AVERAGE(ReturnData!G451:G461)</f>
        <v>5.6909090909090946E-3</v>
      </c>
      <c r="H451" s="16">
        <f>AVERAGE(ReturnData!H451:H461)</f>
        <v>9.281818181818181E-3</v>
      </c>
      <c r="I451" s="16">
        <f>AVERAGE(ReturnData!I451:I461)</f>
        <v>1.9263636363636365E-2</v>
      </c>
      <c r="J451" s="16">
        <f>AVERAGE(ReturnData!J451:J461)</f>
        <v>-2.2245454545454544E-2</v>
      </c>
      <c r="K451" s="16">
        <f>AVERAGE(ReturnData!K451:K461)</f>
        <v>4.672727272727272E-3</v>
      </c>
      <c r="L451" s="16">
        <f>AVERAGE(ReturnData!L451:L461)</f>
        <v>9.4727272727272733E-3</v>
      </c>
      <c r="M451" s="16">
        <f>AVERAGE(ReturnData!M451:M461)</f>
        <v>-2.7272727272727253E-3</v>
      </c>
      <c r="N451" s="16">
        <f>AVERAGE(ReturnData!N451:N461)</f>
        <v>3.9818181818181827E-3</v>
      </c>
      <c r="O451" s="16">
        <f>AVERAGE(ReturnData!O451:O461)</f>
        <v>9.3909090909090921E-3</v>
      </c>
      <c r="P451" s="16">
        <f>AVERAGE(ReturnData!P451:P461)</f>
        <v>1.3854545454545453E-2</v>
      </c>
      <c r="Q451" s="16">
        <f>AVERAGE(ReturnData!Q451:Q461)</f>
        <v>3.4454545454545476E-3</v>
      </c>
      <c r="S451" s="8"/>
      <c r="T451" s="8"/>
    </row>
    <row r="452" spans="1:20" x14ac:dyDescent="0.25">
      <c r="A452">
        <f>ReturnData!A464</f>
        <v>201207</v>
      </c>
      <c r="B452" s="16">
        <f>AVERAGE(ReturnData!B452:B462)</f>
        <v>4.4909090909090905E-3</v>
      </c>
      <c r="C452" s="16">
        <f>AVERAGE(ReturnData!C452:C462)</f>
        <v>-2.9281818181818183E-2</v>
      </c>
      <c r="D452" s="16">
        <f>AVERAGE(ReturnData!D452:D462)</f>
        <v>-8.9454545454545412E-3</v>
      </c>
      <c r="E452" s="16">
        <f>AVERAGE(ReturnData!E452:E462)</f>
        <v>1.1654545454545452E-2</v>
      </c>
      <c r="F452" s="16">
        <f>AVERAGE(ReturnData!F452:F462)</f>
        <v>-5.6454545454545516E-3</v>
      </c>
      <c r="G452" s="16">
        <f>AVERAGE(ReturnData!G452:G462)</f>
        <v>-2.6454545454545468E-3</v>
      </c>
      <c r="H452" s="16">
        <f>AVERAGE(ReturnData!H452:H462)</f>
        <v>9.2363636363636363E-3</v>
      </c>
      <c r="I452" s="16">
        <f>AVERAGE(ReturnData!I452:I462)</f>
        <v>1.5563636363636365E-2</v>
      </c>
      <c r="J452" s="16">
        <f>AVERAGE(ReturnData!J452:J462)</f>
        <v>-3.3709090909090911E-2</v>
      </c>
      <c r="K452" s="16">
        <f>AVERAGE(ReturnData!K452:K462)</f>
        <v>4.9090909090909231E-4</v>
      </c>
      <c r="L452" s="16">
        <f>AVERAGE(ReturnData!L452:L462)</f>
        <v>4.3272727272727291E-3</v>
      </c>
      <c r="M452" s="16">
        <f>AVERAGE(ReturnData!M452:M462)</f>
        <v>-8.9909090909090876E-3</v>
      </c>
      <c r="N452" s="16">
        <f>AVERAGE(ReturnData!N452:N462)</f>
        <v>-4.3636363636363751E-4</v>
      </c>
      <c r="O452" s="16">
        <f>AVERAGE(ReturnData!O452:O462)</f>
        <v>8.8727272727272734E-3</v>
      </c>
      <c r="P452" s="16">
        <f>AVERAGE(ReturnData!P452:P462)</f>
        <v>1.3399999999999997E-2</v>
      </c>
      <c r="Q452" s="16">
        <f>AVERAGE(ReturnData!Q452:Q462)</f>
        <v>-2.8272727272727256E-3</v>
      </c>
    </row>
    <row r="453" spans="1:20" x14ac:dyDescent="0.25">
      <c r="A453">
        <f>ReturnData!A465</f>
        <v>201208</v>
      </c>
      <c r="B453" s="16">
        <f>AVERAGE(ReturnData!B453:B463)</f>
        <v>9.4818181818181815E-3</v>
      </c>
      <c r="C453" s="16">
        <f>AVERAGE(ReturnData!C453:C463)</f>
        <v>-2.3772727272727275E-2</v>
      </c>
      <c r="D453" s="16">
        <f>AVERAGE(ReturnData!D453:D463)</f>
        <v>-4.1181818181818151E-3</v>
      </c>
      <c r="E453" s="16">
        <f>AVERAGE(ReturnData!E453:E463)</f>
        <v>1.3090909090909099E-3</v>
      </c>
      <c r="F453" s="16">
        <f>AVERAGE(ReturnData!F453:F463)</f>
        <v>-7.6363636363636976E-4</v>
      </c>
      <c r="G453" s="16">
        <f>AVERAGE(ReturnData!G453:G463)</f>
        <v>1.818181818181818E-3</v>
      </c>
      <c r="H453" s="16">
        <f>AVERAGE(ReturnData!H453:H463)</f>
        <v>1.5727272727272725E-2</v>
      </c>
      <c r="I453" s="16">
        <f>AVERAGE(ReturnData!I453:I463)</f>
        <v>2.631818181818182E-2</v>
      </c>
      <c r="J453" s="16">
        <f>AVERAGE(ReturnData!J453:J463)</f>
        <v>-2.3718181818181819E-2</v>
      </c>
      <c r="K453" s="16">
        <f>AVERAGE(ReturnData!K453:K463)</f>
        <v>5.8090909090909104E-3</v>
      </c>
      <c r="L453" s="16">
        <f>AVERAGE(ReturnData!L453:L463)</f>
        <v>7.636363636363639E-3</v>
      </c>
      <c r="M453" s="16">
        <f>AVERAGE(ReturnData!M453:M463)</f>
        <v>-6.6E-3</v>
      </c>
      <c r="N453" s="16">
        <f>AVERAGE(ReturnData!N453:N463)</f>
        <v>7.8545454545454578E-3</v>
      </c>
      <c r="O453" s="16">
        <f>AVERAGE(ReturnData!O453:O463)</f>
        <v>1.2263636363636365E-2</v>
      </c>
      <c r="P453" s="16">
        <f>AVERAGE(ReturnData!P453:P463)</f>
        <v>1.4754545454545454E-2</v>
      </c>
      <c r="Q453" s="16">
        <f>AVERAGE(ReturnData!Q453:Q463)</f>
        <v>4.9272727272727281E-3</v>
      </c>
    </row>
    <row r="454" spans="1:20" x14ac:dyDescent="0.25">
      <c r="A454">
        <f>ReturnData!A466</f>
        <v>201209</v>
      </c>
      <c r="B454" s="16">
        <f>AVERAGE(ReturnData!B454:B464)</f>
        <v>1.0036363636363637E-2</v>
      </c>
      <c r="C454" s="16">
        <f>AVERAGE(ReturnData!C454:C464)</f>
        <v>-2.1318181818181816E-2</v>
      </c>
      <c r="D454" s="16">
        <f>AVERAGE(ReturnData!D454:D464)</f>
        <v>7.4909090909090932E-3</v>
      </c>
      <c r="E454" s="16">
        <f>AVERAGE(ReturnData!E454:E464)</f>
        <v>8.3363636363636365E-3</v>
      </c>
      <c r="F454" s="16">
        <f>AVERAGE(ReturnData!F454:F464)</f>
        <v>7.6181818181818147E-3</v>
      </c>
      <c r="G454" s="16">
        <f>AVERAGE(ReturnData!G454:G464)</f>
        <v>8.4545454545454524E-3</v>
      </c>
      <c r="H454" s="16">
        <f>AVERAGE(ReturnData!H454:H464)</f>
        <v>1.8172727272727271E-2</v>
      </c>
      <c r="I454" s="16">
        <f>AVERAGE(ReturnData!I454:I464)</f>
        <v>3.0163636363636368E-2</v>
      </c>
      <c r="J454" s="16">
        <f>AVERAGE(ReturnData!J454:J464)</f>
        <v>-1.2909090909090908E-2</v>
      </c>
      <c r="K454" s="16">
        <f>AVERAGE(ReturnData!K454:K464)</f>
        <v>1.4118181818181818E-2</v>
      </c>
      <c r="L454" s="16">
        <f>AVERAGE(ReturnData!L454:L464)</f>
        <v>1.5845454545454551E-2</v>
      </c>
      <c r="M454" s="16">
        <f>AVERAGE(ReturnData!M454:M464)</f>
        <v>2.3090909090909095E-3</v>
      </c>
      <c r="N454" s="16">
        <f>AVERAGE(ReturnData!N454:N464)</f>
        <v>1.3336363636363639E-2</v>
      </c>
      <c r="O454" s="16">
        <f>AVERAGE(ReturnData!O454:O464)</f>
        <v>1.5399999999999999E-2</v>
      </c>
      <c r="P454" s="16">
        <f>AVERAGE(ReturnData!P454:P464)</f>
        <v>1.8618181818181815E-2</v>
      </c>
      <c r="Q454" s="16">
        <f>AVERAGE(ReturnData!Q454:Q464)</f>
        <v>1.240909090909091E-2</v>
      </c>
    </row>
    <row r="455" spans="1:20" x14ac:dyDescent="0.25">
      <c r="A455">
        <f>ReturnData!A467</f>
        <v>201210</v>
      </c>
      <c r="B455" s="16">
        <f>AVERAGE(ReturnData!B455:B465)</f>
        <v>1.3936363636363636E-2</v>
      </c>
      <c r="C455" s="16">
        <f>AVERAGE(ReturnData!C455:C465)</f>
        <v>5.5181818181818205E-3</v>
      </c>
      <c r="D455" s="16">
        <f>AVERAGE(ReturnData!D455:D465)</f>
        <v>2.0363636363636365E-2</v>
      </c>
      <c r="E455" s="16">
        <f>AVERAGE(ReturnData!E455:E465)</f>
        <v>2.0981818181818178E-2</v>
      </c>
      <c r="F455" s="16">
        <f>AVERAGE(ReturnData!F455:F465)</f>
        <v>2.5263636363636363E-2</v>
      </c>
      <c r="G455" s="16">
        <f>AVERAGE(ReturnData!G455:G465)</f>
        <v>2.6236363636363638E-2</v>
      </c>
      <c r="H455" s="16">
        <f>AVERAGE(ReturnData!H455:H465)</f>
        <v>2.0663636363636363E-2</v>
      </c>
      <c r="I455" s="16">
        <f>AVERAGE(ReturnData!I455:I465)</f>
        <v>4.6981818181818187E-2</v>
      </c>
      <c r="J455" s="16">
        <f>AVERAGE(ReturnData!J455:J465)</f>
        <v>4.6909090909090902E-3</v>
      </c>
      <c r="K455" s="16">
        <f>AVERAGE(ReturnData!K455:K465)</f>
        <v>2.5890909090909086E-2</v>
      </c>
      <c r="L455" s="16">
        <f>AVERAGE(ReturnData!L455:L465)</f>
        <v>2.7745454545454552E-2</v>
      </c>
      <c r="M455" s="16">
        <f>AVERAGE(ReturnData!M455:M465)</f>
        <v>1.5672727272727272E-2</v>
      </c>
      <c r="N455" s="16">
        <f>AVERAGE(ReturnData!N455:N465)</f>
        <v>2.0409090909090908E-2</v>
      </c>
      <c r="O455" s="16">
        <f>AVERAGE(ReturnData!O455:O465)</f>
        <v>1.3736363636363637E-2</v>
      </c>
      <c r="P455" s="16">
        <f>AVERAGE(ReturnData!P455:P465)</f>
        <v>2.3836363636363635E-2</v>
      </c>
      <c r="Q455" s="16">
        <f>AVERAGE(ReturnData!Q455:Q465)</f>
        <v>2.6472727272727273E-2</v>
      </c>
    </row>
    <row r="456" spans="1:20" x14ac:dyDescent="0.25">
      <c r="A456">
        <f>ReturnData!A468</f>
        <v>201211</v>
      </c>
      <c r="B456" s="16">
        <f>AVERAGE(ReturnData!B456:B466)</f>
        <v>1.1327272727272726E-2</v>
      </c>
      <c r="C456" s="16">
        <f>AVERAGE(ReturnData!C456:C466)</f>
        <v>-6.7090909090909085E-3</v>
      </c>
      <c r="D456" s="16">
        <f>AVERAGE(ReturnData!D456:D466)</f>
        <v>9.281818181818181E-3</v>
      </c>
      <c r="E456" s="16">
        <f>AVERAGE(ReturnData!E456:E466)</f>
        <v>6.1090909090909104E-3</v>
      </c>
      <c r="F456" s="16">
        <f>AVERAGE(ReturnData!F456:F466)</f>
        <v>1.3154545454545453E-2</v>
      </c>
      <c r="G456" s="16">
        <f>AVERAGE(ReturnData!G456:G466)</f>
        <v>1.0509090909090907E-2</v>
      </c>
      <c r="H456" s="16">
        <f>AVERAGE(ReturnData!H456:H466)</f>
        <v>1.8863636363636367E-2</v>
      </c>
      <c r="I456" s="16">
        <f>AVERAGE(ReturnData!I456:I466)</f>
        <v>3.7918181818181823E-2</v>
      </c>
      <c r="J456" s="16">
        <f>AVERAGE(ReturnData!J456:J466)</f>
        <v>-8.3181818181818201E-3</v>
      </c>
      <c r="K456" s="16">
        <f>AVERAGE(ReturnData!K456:K466)</f>
        <v>1.3145454545454544E-2</v>
      </c>
      <c r="L456" s="16">
        <f>AVERAGE(ReturnData!L456:L466)</f>
        <v>1.4154545454545458E-2</v>
      </c>
      <c r="M456" s="16">
        <f>AVERAGE(ReturnData!M456:M466)</f>
        <v>-1.063636363636363E-3</v>
      </c>
      <c r="N456" s="16">
        <f>AVERAGE(ReturnData!N456:N466)</f>
        <v>7.5818181818181818E-3</v>
      </c>
      <c r="O456" s="16">
        <f>AVERAGE(ReturnData!O456:O466)</f>
        <v>9.5636363636363644E-3</v>
      </c>
      <c r="P456" s="16">
        <f>AVERAGE(ReturnData!P456:P466)</f>
        <v>1.7436363636363635E-2</v>
      </c>
      <c r="Q456" s="16">
        <f>AVERAGE(ReturnData!Q456:Q466)</f>
        <v>1.7509090909090908E-2</v>
      </c>
    </row>
    <row r="457" spans="1:20" x14ac:dyDescent="0.25">
      <c r="A457">
        <f>ReturnData!A469</f>
        <v>201212</v>
      </c>
      <c r="B457" s="16">
        <f>AVERAGE(ReturnData!B457:B467)</f>
        <v>9.1454545454545452E-3</v>
      </c>
      <c r="C457" s="16">
        <f>AVERAGE(ReturnData!C457:C467)</f>
        <v>-3.6181818181818164E-3</v>
      </c>
      <c r="D457" s="16">
        <f>AVERAGE(ReturnData!D457:D467)</f>
        <v>5.1363636363636368E-3</v>
      </c>
      <c r="E457" s="16">
        <f>AVERAGE(ReturnData!E457:E467)</f>
        <v>8.7181818181818176E-3</v>
      </c>
      <c r="F457" s="16">
        <f>AVERAGE(ReturnData!F457:F467)</f>
        <v>1.830909090909091E-2</v>
      </c>
      <c r="G457" s="16">
        <f>AVERAGE(ReturnData!G457:G467)</f>
        <v>9.1727272727272734E-3</v>
      </c>
      <c r="H457" s="16">
        <f>AVERAGE(ReturnData!H457:H467)</f>
        <v>1.5990909090909094E-2</v>
      </c>
      <c r="I457" s="16">
        <f>AVERAGE(ReturnData!I457:I467)</f>
        <v>3.5109090909090909E-2</v>
      </c>
      <c r="J457" s="16">
        <f>AVERAGE(ReturnData!J457:J467)</f>
        <v>-7.7090909090909102E-3</v>
      </c>
      <c r="K457" s="16">
        <f>AVERAGE(ReturnData!K457:K467)</f>
        <v>9.009090909090911E-3</v>
      </c>
      <c r="L457" s="16">
        <f>AVERAGE(ReturnData!L457:L467)</f>
        <v>9.8636363636363644E-3</v>
      </c>
      <c r="M457" s="16">
        <f>AVERAGE(ReturnData!M457:M467)</f>
        <v>1.0981818181818183E-2</v>
      </c>
      <c r="N457" s="16">
        <f>AVERAGE(ReturnData!N457:N467)</f>
        <v>8.0090909090909101E-3</v>
      </c>
      <c r="O457" s="16">
        <f>AVERAGE(ReturnData!O457:O467)</f>
        <v>9.6454545454545456E-3</v>
      </c>
      <c r="P457" s="16">
        <f>AVERAGE(ReturnData!P457:P467)</f>
        <v>1.5081818181818184E-2</v>
      </c>
      <c r="Q457" s="16">
        <f>AVERAGE(ReturnData!Q457:Q467)</f>
        <v>2.2118181818181815E-2</v>
      </c>
    </row>
    <row r="458" spans="1:20" x14ac:dyDescent="0.25">
      <c r="A458">
        <f>ReturnData!A470</f>
        <v>201301</v>
      </c>
      <c r="B458" s="16">
        <f>AVERAGE(ReturnData!B458:B468)</f>
        <v>1.0345454545454547E-2</v>
      </c>
      <c r="C458" s="16">
        <f>AVERAGE(ReturnData!C458:C468)</f>
        <v>6.363636363636376E-4</v>
      </c>
      <c r="D458" s="16">
        <f>AVERAGE(ReturnData!D458:D468)</f>
        <v>3.9727272727272727E-3</v>
      </c>
      <c r="E458" s="16">
        <f>AVERAGE(ReturnData!E458:E468)</f>
        <v>1.4209090909090909E-2</v>
      </c>
      <c r="F458" s="16">
        <f>AVERAGE(ReturnData!F458:F468)</f>
        <v>2.2509090909090909E-2</v>
      </c>
      <c r="G458" s="16">
        <f>AVERAGE(ReturnData!G458:G468)</f>
        <v>1.1236363636363635E-2</v>
      </c>
      <c r="H458" s="16">
        <f>AVERAGE(ReturnData!H458:H468)</f>
        <v>1.3345454545454544E-2</v>
      </c>
      <c r="I458" s="16">
        <f>AVERAGE(ReturnData!I458:I468)</f>
        <v>3.6918181818181822E-2</v>
      </c>
      <c r="J458" s="16">
        <f>AVERAGE(ReturnData!J458:J468)</f>
        <v>-5.9090909090909116E-4</v>
      </c>
      <c r="K458" s="16">
        <f>AVERAGE(ReturnData!K458:K468)</f>
        <v>1.5172727272727272E-2</v>
      </c>
      <c r="L458" s="16">
        <f>AVERAGE(ReturnData!L458:L468)</f>
        <v>1.2718181818181818E-2</v>
      </c>
      <c r="M458" s="16">
        <f>AVERAGE(ReturnData!M458:M468)</f>
        <v>1.5445454545454547E-2</v>
      </c>
      <c r="N458" s="16">
        <f>AVERAGE(ReturnData!N458:N468)</f>
        <v>8.5090909090909089E-3</v>
      </c>
      <c r="O458" s="16">
        <f>AVERAGE(ReturnData!O458:O468)</f>
        <v>3.5636363636363647E-3</v>
      </c>
      <c r="P458" s="16">
        <f>AVERAGE(ReturnData!P458:P468)</f>
        <v>1.5245454545454545E-2</v>
      </c>
      <c r="Q458" s="16">
        <f>AVERAGE(ReturnData!Q458:Q468)</f>
        <v>1.9654545454545449E-2</v>
      </c>
    </row>
    <row r="459" spans="1:20" x14ac:dyDescent="0.25">
      <c r="A459">
        <f>ReturnData!A471</f>
        <v>201302</v>
      </c>
      <c r="B459" s="16">
        <f>AVERAGE(ReturnData!B459:B469)</f>
        <v>8.5636363636363635E-3</v>
      </c>
      <c r="C459" s="16">
        <f>AVERAGE(ReturnData!C459:C469)</f>
        <v>-9.8636363636363644E-3</v>
      </c>
      <c r="D459" s="16">
        <f>AVERAGE(ReturnData!D459:D469)</f>
        <v>4.1363636363636377E-3</v>
      </c>
      <c r="E459" s="16">
        <f>AVERAGE(ReturnData!E459:E469)</f>
        <v>5.681818181818182E-3</v>
      </c>
      <c r="F459" s="16">
        <f>AVERAGE(ReturnData!F459:F469)</f>
        <v>1.3563636363636361E-2</v>
      </c>
      <c r="G459" s="16">
        <f>AVERAGE(ReturnData!G459:G469)</f>
        <v>4.8090909090909096E-3</v>
      </c>
      <c r="H459" s="16">
        <f>AVERAGE(ReturnData!H459:H469)</f>
        <v>1.2736363636363636E-2</v>
      </c>
      <c r="I459" s="16">
        <f>AVERAGE(ReturnData!I459:I469)</f>
        <v>3.0736363636363631E-2</v>
      </c>
      <c r="J459" s="16">
        <f>AVERAGE(ReturnData!J459:J469)</f>
        <v>-5.8090909090909104E-3</v>
      </c>
      <c r="K459" s="16">
        <f>AVERAGE(ReturnData!K459:K469)</f>
        <v>1.0972727272727273E-2</v>
      </c>
      <c r="L459" s="16">
        <f>AVERAGE(ReturnData!L459:L469)</f>
        <v>2.5545454545454556E-3</v>
      </c>
      <c r="M459" s="16">
        <f>AVERAGE(ReturnData!M459:M469)</f>
        <v>9.1090909090909122E-3</v>
      </c>
      <c r="N459" s="16">
        <f>AVERAGE(ReturnData!N459:N469)</f>
        <v>5.7727272727272731E-3</v>
      </c>
      <c r="O459" s="16">
        <f>AVERAGE(ReturnData!O459:O469)</f>
        <v>6.0999999999999995E-3</v>
      </c>
      <c r="P459" s="16">
        <f>AVERAGE(ReturnData!P459:P469)</f>
        <v>1.0945454545454545E-2</v>
      </c>
      <c r="Q459" s="16">
        <f>AVERAGE(ReturnData!Q459:Q469)</f>
        <v>1.6981818181818178E-2</v>
      </c>
    </row>
    <row r="460" spans="1:20" x14ac:dyDescent="0.25">
      <c r="A460">
        <f>ReturnData!A472</f>
        <v>201303</v>
      </c>
      <c r="B460" s="16">
        <f>AVERAGE(ReturnData!B460:B470)</f>
        <v>1.2463636363636364E-2</v>
      </c>
      <c r="C460" s="16">
        <f>AVERAGE(ReturnData!C460:C470)</f>
        <v>-5.4545454545454541E-3</v>
      </c>
      <c r="D460" s="16">
        <f>AVERAGE(ReturnData!D460:D470)</f>
        <v>5.063636363636363E-3</v>
      </c>
      <c r="E460" s="16">
        <f>AVERAGE(ReturnData!E460:E470)</f>
        <v>2.5454545454545452E-3</v>
      </c>
      <c r="F460" s="16">
        <f>AVERAGE(ReturnData!F460:F470)</f>
        <v>1.1854545454545451E-2</v>
      </c>
      <c r="G460" s="16">
        <f>AVERAGE(ReturnData!G460:G470)</f>
        <v>7.59090909090909E-3</v>
      </c>
      <c r="H460" s="16">
        <f>AVERAGE(ReturnData!H460:H470)</f>
        <v>1.6763636363636366E-2</v>
      </c>
      <c r="I460" s="16">
        <f>AVERAGE(ReturnData!I460:I470)</f>
        <v>3.3163636363636367E-2</v>
      </c>
      <c r="J460" s="16">
        <f>AVERAGE(ReturnData!J460:J470)</f>
        <v>4.5454545454545558E-4</v>
      </c>
      <c r="K460" s="16">
        <f>AVERAGE(ReturnData!K460:K470)</f>
        <v>1.0772727272727272E-2</v>
      </c>
      <c r="L460" s="16">
        <f>AVERAGE(ReturnData!L460:L470)</f>
        <v>-2.5545454545454547E-3</v>
      </c>
      <c r="M460" s="16">
        <f>AVERAGE(ReturnData!M460:M470)</f>
        <v>7.3636363636363639E-3</v>
      </c>
      <c r="N460" s="16">
        <f>AVERAGE(ReturnData!N460:N470)</f>
        <v>9.0000000000000011E-3</v>
      </c>
      <c r="O460" s="16">
        <f>AVERAGE(ReturnData!O460:O470)</f>
        <v>9.4999999999999998E-3</v>
      </c>
      <c r="P460" s="16">
        <f>AVERAGE(ReturnData!P460:P470)</f>
        <v>1.2790909090909091E-2</v>
      </c>
      <c r="Q460" s="16">
        <f>AVERAGE(ReturnData!Q460:Q470)</f>
        <v>1.6736363636363636E-2</v>
      </c>
    </row>
    <row r="461" spans="1:20" x14ac:dyDescent="0.25">
      <c r="A461">
        <f>ReturnData!A473</f>
        <v>201304</v>
      </c>
      <c r="B461" s="16">
        <f>AVERAGE(ReturnData!B461:B471)</f>
        <v>1.2718181818181818E-2</v>
      </c>
      <c r="C461" s="16">
        <f>AVERAGE(ReturnData!C461:C471)</f>
        <v>-5.2636363636363644E-3</v>
      </c>
      <c r="D461" s="16">
        <f>AVERAGE(ReturnData!D461:D471)</f>
        <v>8.5727272727272718E-3</v>
      </c>
      <c r="E461" s="16">
        <f>AVERAGE(ReturnData!E461:E471)</f>
        <v>2.6272727272727268E-3</v>
      </c>
      <c r="F461" s="16">
        <f>AVERAGE(ReturnData!F461:F471)</f>
        <v>9.9818181818181802E-3</v>
      </c>
      <c r="G461" s="16">
        <f>AVERAGE(ReturnData!G461:G471)</f>
        <v>4.6818181818181811E-3</v>
      </c>
      <c r="H461" s="16">
        <f>AVERAGE(ReturnData!H461:H471)</f>
        <v>1.5090909090909094E-2</v>
      </c>
      <c r="I461" s="16">
        <f>AVERAGE(ReturnData!I461:I471)</f>
        <v>2.7909090909090908E-2</v>
      </c>
      <c r="J461" s="16">
        <f>AVERAGE(ReturnData!J461:J471)</f>
        <v>-2.5818181818181812E-3</v>
      </c>
      <c r="K461" s="16">
        <f>AVERAGE(ReturnData!K461:K471)</f>
        <v>1.1672727272727272E-2</v>
      </c>
      <c r="L461" s="16">
        <f>AVERAGE(ReturnData!L461:L471)</f>
        <v>-5.8090909090909078E-3</v>
      </c>
      <c r="M461" s="16">
        <f>AVERAGE(ReturnData!M461:M471)</f>
        <v>7.1363636363636351E-3</v>
      </c>
      <c r="N461" s="16">
        <f>AVERAGE(ReturnData!N461:N471)</f>
        <v>1.1736363636363635E-2</v>
      </c>
      <c r="O461" s="16">
        <f>AVERAGE(ReturnData!O461:O471)</f>
        <v>1.0154545454545454E-2</v>
      </c>
      <c r="P461" s="16">
        <f>AVERAGE(ReturnData!P461:P471)</f>
        <v>8.9272727272727264E-3</v>
      </c>
      <c r="Q461" s="16">
        <f>AVERAGE(ReturnData!Q461:Q471)</f>
        <v>1.1445454545454543E-2</v>
      </c>
    </row>
    <row r="462" spans="1:20" x14ac:dyDescent="0.25">
      <c r="A462">
        <f>ReturnData!A474</f>
        <v>201305</v>
      </c>
      <c r="B462" s="16">
        <f>AVERAGE(ReturnData!B462:B472)</f>
        <v>1.7681818181818184E-2</v>
      </c>
      <c r="C462" s="16">
        <f>AVERAGE(ReturnData!C462:C472)</f>
        <v>-3.5090909090909088E-3</v>
      </c>
      <c r="D462" s="16">
        <f>AVERAGE(ReturnData!D462:D472)</f>
        <v>1.2E-2</v>
      </c>
      <c r="E462" s="16">
        <f>AVERAGE(ReturnData!E462:E472)</f>
        <v>5.7454545454545458E-3</v>
      </c>
      <c r="F462" s="16">
        <f>AVERAGE(ReturnData!F462:F472)</f>
        <v>1.9218181818181818E-2</v>
      </c>
      <c r="G462" s="16">
        <f>AVERAGE(ReturnData!G462:G472)</f>
        <v>5.3727272727272712E-3</v>
      </c>
      <c r="H462" s="16">
        <f>AVERAGE(ReturnData!H462:H472)</f>
        <v>1.900909090909091E-2</v>
      </c>
      <c r="I462" s="16">
        <f>AVERAGE(ReturnData!I462:I472)</f>
        <v>2.8836363636363636E-2</v>
      </c>
      <c r="J462" s="16">
        <f>AVERAGE(ReturnData!J462:J472)</f>
        <v>3.1909090909090915E-3</v>
      </c>
      <c r="K462" s="16">
        <f>AVERAGE(ReturnData!K462:K472)</f>
        <v>1.6190909090909089E-2</v>
      </c>
      <c r="L462" s="16">
        <f>AVERAGE(ReturnData!L462:L472)</f>
        <v>-1.3454545454545453E-3</v>
      </c>
      <c r="M462" s="16">
        <f>AVERAGE(ReturnData!M462:M472)</f>
        <v>1.4036363636363637E-2</v>
      </c>
      <c r="N462" s="16">
        <f>AVERAGE(ReturnData!N462:N472)</f>
        <v>1.5954545454545454E-2</v>
      </c>
      <c r="O462" s="16">
        <f>AVERAGE(ReturnData!O462:O472)</f>
        <v>1.3745454545454545E-2</v>
      </c>
      <c r="P462" s="16">
        <f>AVERAGE(ReturnData!P462:P472)</f>
        <v>1.2836363636363635E-2</v>
      </c>
      <c r="Q462" s="16">
        <f>AVERAGE(ReturnData!Q462:Q472)</f>
        <v>1.7690909090909087E-2</v>
      </c>
    </row>
    <row r="463" spans="1:20" x14ac:dyDescent="0.25">
      <c r="A463">
        <f>ReturnData!A475</f>
        <v>201306</v>
      </c>
      <c r="B463" s="16">
        <f>AVERAGE(ReturnData!B463:B473)</f>
        <v>2.1700000000000001E-2</v>
      </c>
      <c r="C463" s="16">
        <f>AVERAGE(ReturnData!C463:C473)</f>
        <v>9.7272727272727029E-4</v>
      </c>
      <c r="D463" s="16">
        <f>AVERAGE(ReturnData!D463:D473)</f>
        <v>2.0209090909090909E-2</v>
      </c>
      <c r="E463" s="16">
        <f>AVERAGE(ReturnData!E463:E473)</f>
        <v>1.8209090909090907E-2</v>
      </c>
      <c r="F463" s="16">
        <f>AVERAGE(ReturnData!F463:F473)</f>
        <v>2.9963636363636359E-2</v>
      </c>
      <c r="G463" s="16">
        <f>AVERAGE(ReturnData!G463:G473)</f>
        <v>1.7018181818181818E-2</v>
      </c>
      <c r="H463" s="16">
        <f>AVERAGE(ReturnData!H463:H473)</f>
        <v>2.4481818181818181E-2</v>
      </c>
      <c r="I463" s="16">
        <f>AVERAGE(ReturnData!I463:I473)</f>
        <v>3.6299999999999999E-2</v>
      </c>
      <c r="J463" s="16">
        <f>AVERAGE(ReturnData!J463:J473)</f>
        <v>1.2445454545454544E-2</v>
      </c>
      <c r="K463" s="16">
        <f>AVERAGE(ReturnData!K463:K473)</f>
        <v>1.9500000000000003E-2</v>
      </c>
      <c r="L463" s="16">
        <f>AVERAGE(ReturnData!L463:L473)</f>
        <v>5.6272727272727273E-3</v>
      </c>
      <c r="M463" s="16">
        <f>AVERAGE(ReturnData!M463:M473)</f>
        <v>2.5118181818181817E-2</v>
      </c>
      <c r="N463" s="16">
        <f>AVERAGE(ReturnData!N463:N473)</f>
        <v>2.0627272727272723E-2</v>
      </c>
      <c r="O463" s="16">
        <f>AVERAGE(ReturnData!O463:O473)</f>
        <v>1.9236363636363638E-2</v>
      </c>
      <c r="P463" s="16">
        <f>AVERAGE(ReturnData!P463:P473)</f>
        <v>1.7000000000000001E-2</v>
      </c>
      <c r="Q463" s="16">
        <f>AVERAGE(ReturnData!Q463:Q473)</f>
        <v>2.7536363636363637E-2</v>
      </c>
    </row>
    <row r="464" spans="1:20" x14ac:dyDescent="0.25">
      <c r="A464">
        <f>ReturnData!A476</f>
        <v>201307</v>
      </c>
      <c r="B464" s="16">
        <f>AVERAGE(ReturnData!B464:B474)</f>
        <v>1.5472727272727272E-2</v>
      </c>
      <c r="C464" s="16">
        <f>AVERAGE(ReturnData!C464:C474)</f>
        <v>-4.5272727272727279E-3</v>
      </c>
      <c r="D464" s="16">
        <f>AVERAGE(ReturnData!D464:D474)</f>
        <v>1.7699999999999997E-2</v>
      </c>
      <c r="E464" s="16">
        <f>AVERAGE(ReturnData!E464:E474)</f>
        <v>2.7909090909090904E-2</v>
      </c>
      <c r="F464" s="16">
        <f>AVERAGE(ReturnData!F464:F474)</f>
        <v>3.319090909090909E-2</v>
      </c>
      <c r="G464" s="16">
        <f>AVERAGE(ReturnData!G464:G474)</f>
        <v>1.7045454545454544E-2</v>
      </c>
      <c r="H464" s="16">
        <f>AVERAGE(ReturnData!H464:H474)</f>
        <v>1.9545454545454546E-2</v>
      </c>
      <c r="I464" s="16">
        <f>AVERAGE(ReturnData!I464:I474)</f>
        <v>3.6118181818181813E-2</v>
      </c>
      <c r="J464" s="16">
        <f>AVERAGE(ReturnData!J464:J474)</f>
        <v>1.1636363636363637E-2</v>
      </c>
      <c r="K464" s="16">
        <f>AVERAGE(ReturnData!K464:K474)</f>
        <v>2.5045454545454548E-2</v>
      </c>
      <c r="L464" s="16">
        <f>AVERAGE(ReturnData!L464:L474)</f>
        <v>9.2545454545454545E-3</v>
      </c>
      <c r="M464" s="16">
        <f>AVERAGE(ReturnData!M464:M474)</f>
        <v>3.8736363636363638E-2</v>
      </c>
      <c r="N464" s="16">
        <f>AVERAGE(ReturnData!N464:N474)</f>
        <v>2.1427272727272725E-2</v>
      </c>
      <c r="O464" s="16">
        <f>AVERAGE(ReturnData!O464:O474)</f>
        <v>9.6818181818181803E-3</v>
      </c>
      <c r="P464" s="16">
        <f>AVERAGE(ReturnData!P464:P474)</f>
        <v>1.61E-2</v>
      </c>
      <c r="Q464" s="16">
        <f>AVERAGE(ReturnData!Q464:Q474)</f>
        <v>2.9899999999999996E-2</v>
      </c>
    </row>
    <row r="465" spans="1:17" x14ac:dyDescent="0.25">
      <c r="A465">
        <f>ReturnData!A477</f>
        <v>201308</v>
      </c>
      <c r="B465" s="16">
        <f>AVERAGE(ReturnData!B465:B475)</f>
        <v>1.5963636363636367E-2</v>
      </c>
      <c r="C465" s="16">
        <f>AVERAGE(ReturnData!C465:C475)</f>
        <v>-1.0763636363636368E-2</v>
      </c>
      <c r="D465" s="16">
        <f>AVERAGE(ReturnData!D465:D475)</f>
        <v>1.2981818181818179E-2</v>
      </c>
      <c r="E465" s="16">
        <f>AVERAGE(ReturnData!E465:E475)</f>
        <v>2.7036363636363633E-2</v>
      </c>
      <c r="F465" s="16">
        <f>AVERAGE(ReturnData!F465:F475)</f>
        <v>2.9281818181818183E-2</v>
      </c>
      <c r="G465" s="16">
        <f>AVERAGE(ReturnData!G465:G475)</f>
        <v>1.3863636363636361E-2</v>
      </c>
      <c r="H465" s="16">
        <f>AVERAGE(ReturnData!H465:H475)</f>
        <v>1.599090909090909E-2</v>
      </c>
      <c r="I465" s="16">
        <f>AVERAGE(ReturnData!I465:I475)</f>
        <v>3.4799999999999998E-2</v>
      </c>
      <c r="J465" s="16">
        <f>AVERAGE(ReturnData!J465:J475)</f>
        <v>8.5636363636363635E-3</v>
      </c>
      <c r="K465" s="16">
        <f>AVERAGE(ReturnData!K465:K475)</f>
        <v>2.0272727272727276E-2</v>
      </c>
      <c r="L465" s="16">
        <f>AVERAGE(ReturnData!L465:L475)</f>
        <v>4.9000000000000007E-3</v>
      </c>
      <c r="M465" s="16">
        <f>AVERAGE(ReturnData!M465:M475)</f>
        <v>3.8527272727272729E-2</v>
      </c>
      <c r="N465" s="16">
        <f>AVERAGE(ReturnData!N465:N475)</f>
        <v>2.2100000000000002E-2</v>
      </c>
      <c r="O465" s="16">
        <f>AVERAGE(ReturnData!O465:O475)</f>
        <v>7.1363636363636386E-3</v>
      </c>
      <c r="P465" s="16">
        <f>AVERAGE(ReturnData!P465:P475)</f>
        <v>1.4927272727272727E-2</v>
      </c>
      <c r="Q465" s="16">
        <f>AVERAGE(ReturnData!Q465:Q475)</f>
        <v>3.0463636363636359E-2</v>
      </c>
    </row>
    <row r="466" spans="1:17" x14ac:dyDescent="0.25">
      <c r="A466">
        <f>ReturnData!A478</f>
        <v>201309</v>
      </c>
      <c r="B466" s="16">
        <f>AVERAGE(ReturnData!B466:B476)</f>
        <v>1.891818181818182E-2</v>
      </c>
      <c r="C466" s="16">
        <f>AVERAGE(ReturnData!C466:C476)</f>
        <v>-1.3690909090909089E-2</v>
      </c>
      <c r="D466" s="16">
        <f>AVERAGE(ReturnData!D466:D476)</f>
        <v>1.5427272727272729E-2</v>
      </c>
      <c r="E466" s="16">
        <f>AVERAGE(ReturnData!E466:E476)</f>
        <v>2.2072727272727272E-2</v>
      </c>
      <c r="F466" s="16">
        <f>AVERAGE(ReturnData!F466:F476)</f>
        <v>2.7145454545454549E-2</v>
      </c>
      <c r="G466" s="16">
        <f>AVERAGE(ReturnData!G466:G476)</f>
        <v>1.7445454545454545E-2</v>
      </c>
      <c r="H466" s="16">
        <f>AVERAGE(ReturnData!H466:H476)</f>
        <v>2.2163636363636361E-2</v>
      </c>
      <c r="I466" s="16">
        <f>AVERAGE(ReturnData!I466:I476)</f>
        <v>3.0318181818181821E-2</v>
      </c>
      <c r="J466" s="16">
        <f>AVERAGE(ReturnData!J466:J476)</f>
        <v>1.6063636363636363E-2</v>
      </c>
      <c r="K466" s="16">
        <f>AVERAGE(ReturnData!K466:K476)</f>
        <v>2.6981818181818183E-2</v>
      </c>
      <c r="L466" s="16">
        <f>AVERAGE(ReturnData!L466:L476)</f>
        <v>4.7272727272727267E-3</v>
      </c>
      <c r="M466" s="16">
        <f>AVERAGE(ReturnData!M466:M476)</f>
        <v>4.3472727272727281E-2</v>
      </c>
      <c r="N466" s="16">
        <f>AVERAGE(ReturnData!N466:N476)</f>
        <v>2.6836363636363637E-2</v>
      </c>
      <c r="O466" s="16">
        <f>AVERAGE(ReturnData!O466:O476)</f>
        <v>1.4427272727272728E-2</v>
      </c>
      <c r="P466" s="16">
        <f>AVERAGE(ReturnData!P466:P476)</f>
        <v>1.7936363636363636E-2</v>
      </c>
      <c r="Q466" s="16">
        <f>AVERAGE(ReturnData!Q466:Q476)</f>
        <v>3.2590909090909087E-2</v>
      </c>
    </row>
    <row r="467" spans="1:17" x14ac:dyDescent="0.25">
      <c r="A467">
        <f>ReturnData!A479</f>
        <v>201310</v>
      </c>
      <c r="B467" s="16">
        <f>AVERAGE(ReturnData!B467:B477)</f>
        <v>1.4409090909090911E-2</v>
      </c>
      <c r="C467" s="16">
        <f>AVERAGE(ReturnData!C467:C477)</f>
        <v>-1.8054545454545459E-2</v>
      </c>
      <c r="D467" s="16">
        <f>AVERAGE(ReturnData!D467:D477)</f>
        <v>1.0154545454545454E-2</v>
      </c>
      <c r="E467" s="16">
        <f>AVERAGE(ReturnData!E467:E477)</f>
        <v>2.0163636363636363E-2</v>
      </c>
      <c r="F467" s="16">
        <f>AVERAGE(ReturnData!F467:F477)</f>
        <v>2.1881818181818183E-2</v>
      </c>
      <c r="G467" s="16">
        <f>AVERAGE(ReturnData!G467:G477)</f>
        <v>1.6118181818181816E-2</v>
      </c>
      <c r="H467" s="16">
        <f>AVERAGE(ReturnData!H467:H477)</f>
        <v>1.5890909090909091E-2</v>
      </c>
      <c r="I467" s="16">
        <f>AVERAGE(ReturnData!I467:I477)</f>
        <v>2.1854545454545453E-2</v>
      </c>
      <c r="J467" s="16">
        <f>AVERAGE(ReturnData!J467:J477)</f>
        <v>9.9818181818181802E-3</v>
      </c>
      <c r="K467" s="16">
        <f>AVERAGE(ReturnData!K467:K477)</f>
        <v>2.2181818181818184E-2</v>
      </c>
      <c r="L467" s="16">
        <f>AVERAGE(ReturnData!L467:L477)</f>
        <v>2.5636363636363639E-3</v>
      </c>
      <c r="M467" s="16">
        <f>AVERAGE(ReturnData!M467:M477)</f>
        <v>4.0063636363636378E-2</v>
      </c>
      <c r="N467" s="16">
        <f>AVERAGE(ReturnData!N467:N477)</f>
        <v>2.5527272727272728E-2</v>
      </c>
      <c r="O467" s="16">
        <f>AVERAGE(ReturnData!O467:O477)</f>
        <v>8.4909090909090924E-3</v>
      </c>
      <c r="P467" s="16">
        <f>AVERAGE(ReturnData!P467:P477)</f>
        <v>1.2154545454545453E-2</v>
      </c>
      <c r="Q467" s="16">
        <f>AVERAGE(ReturnData!Q467:Q477)</f>
        <v>2.5418181818181815E-2</v>
      </c>
    </row>
    <row r="468" spans="1:17" x14ac:dyDescent="0.25">
      <c r="A468">
        <f>ReturnData!A480</f>
        <v>201311</v>
      </c>
      <c r="B468" s="16">
        <f>AVERAGE(ReturnData!B468:B478)</f>
        <v>1.6636363636363637E-2</v>
      </c>
      <c r="C468" s="16">
        <f>AVERAGE(ReturnData!C468:C478)</f>
        <v>-1.9318181818181814E-2</v>
      </c>
      <c r="D468" s="16">
        <f>AVERAGE(ReturnData!D468:D478)</f>
        <v>1.3990909090909092E-2</v>
      </c>
      <c r="E468" s="16">
        <f>AVERAGE(ReturnData!E468:E478)</f>
        <v>2.75E-2</v>
      </c>
      <c r="F468" s="16">
        <f>AVERAGE(ReturnData!F468:F478)</f>
        <v>2.5509090909090912E-2</v>
      </c>
      <c r="G468" s="16">
        <f>AVERAGE(ReturnData!G468:G478)</f>
        <v>2.3099999999999999E-2</v>
      </c>
      <c r="H468" s="16">
        <f>AVERAGE(ReturnData!H468:H478)</f>
        <v>1.9063636363636362E-2</v>
      </c>
      <c r="I468" s="16">
        <f>AVERAGE(ReturnData!I468:I478)</f>
        <v>2.3681818181818182E-2</v>
      </c>
      <c r="J468" s="16">
        <f>AVERAGE(ReturnData!J468:J478)</f>
        <v>1.828181818181818E-2</v>
      </c>
      <c r="K468" s="16">
        <f>AVERAGE(ReturnData!K468:K478)</f>
        <v>2.7981818181818184E-2</v>
      </c>
      <c r="L468" s="16">
        <f>AVERAGE(ReturnData!L468:L478)</f>
        <v>1.227272727272727E-2</v>
      </c>
      <c r="M468" s="16">
        <f>AVERAGE(ReturnData!M468:M478)</f>
        <v>3.9945454545454555E-2</v>
      </c>
      <c r="N468" s="16">
        <f>AVERAGE(ReturnData!N468:N478)</f>
        <v>2.9809090909090907E-2</v>
      </c>
      <c r="O468" s="16">
        <f>AVERAGE(ReturnData!O468:O478)</f>
        <v>8.4454545454545442E-3</v>
      </c>
      <c r="P468" s="16">
        <f>AVERAGE(ReturnData!P468:P478)</f>
        <v>1.8354545454545453E-2</v>
      </c>
      <c r="Q468" s="16">
        <f>AVERAGE(ReturnData!Q468:Q478)</f>
        <v>2.641818181818182E-2</v>
      </c>
    </row>
    <row r="469" spans="1:17" x14ac:dyDescent="0.25">
      <c r="A469">
        <f>ReturnData!A481</f>
        <v>201312</v>
      </c>
      <c r="B469" s="16">
        <f>AVERAGE(ReturnData!B469:B479)</f>
        <v>1.8045454545454545E-2</v>
      </c>
      <c r="C469" s="16">
        <f>AVERAGE(ReturnData!C469:C479)</f>
        <v>-1.0627272727272732E-2</v>
      </c>
      <c r="D469" s="16">
        <f>AVERAGE(ReturnData!D469:D479)</f>
        <v>1.9536363636363636E-2</v>
      </c>
      <c r="E469" s="16">
        <f>AVERAGE(ReturnData!E469:E479)</f>
        <v>2.6354545454545453E-2</v>
      </c>
      <c r="F469" s="16">
        <f>AVERAGE(ReturnData!F469:F479)</f>
        <v>2.9054545454545454E-2</v>
      </c>
      <c r="G469" s="16">
        <f>AVERAGE(ReturnData!G469:G479)</f>
        <v>2.3799999999999991E-2</v>
      </c>
      <c r="H469" s="16">
        <f>AVERAGE(ReturnData!H469:H479)</f>
        <v>2.2800000000000001E-2</v>
      </c>
      <c r="I469" s="16">
        <f>AVERAGE(ReturnData!I469:I479)</f>
        <v>2.2990909090909093E-2</v>
      </c>
      <c r="J469" s="16">
        <f>AVERAGE(ReturnData!J469:J479)</f>
        <v>2.3418181818181817E-2</v>
      </c>
      <c r="K469" s="16">
        <f>AVERAGE(ReturnData!K469:K479)</f>
        <v>2.9854545454545457E-2</v>
      </c>
      <c r="L469" s="16">
        <f>AVERAGE(ReturnData!L469:L479)</f>
        <v>1.3245454545454545E-2</v>
      </c>
      <c r="M469" s="16">
        <f>AVERAGE(ReturnData!M469:M479)</f>
        <v>3.6790909090909096E-2</v>
      </c>
      <c r="N469" s="16">
        <f>AVERAGE(ReturnData!N469:N479)</f>
        <v>3.320909090909091E-2</v>
      </c>
      <c r="O469" s="16">
        <f>AVERAGE(ReturnData!O469:O479)</f>
        <v>1.4899999999999998E-2</v>
      </c>
      <c r="P469" s="16">
        <f>AVERAGE(ReturnData!P469:P479)</f>
        <v>2.2845454545454544E-2</v>
      </c>
      <c r="Q469" s="16">
        <f>AVERAGE(ReturnData!Q469:Q479)</f>
        <v>3.0272727272727274E-2</v>
      </c>
    </row>
    <row r="470" spans="1:17" x14ac:dyDescent="0.25">
      <c r="A470">
        <f>ReturnData!A482</f>
        <v>201401</v>
      </c>
      <c r="B470" s="16">
        <f>AVERAGE(ReturnData!B470:B480)</f>
        <v>2.0581818181818187E-2</v>
      </c>
      <c r="C470" s="16">
        <f>AVERAGE(ReturnData!C470:C480)</f>
        <v>-1.5245454545454546E-2</v>
      </c>
      <c r="D470" s="16">
        <f>AVERAGE(ReturnData!D470:D480)</f>
        <v>1.9236363636363638E-2</v>
      </c>
      <c r="E470" s="16">
        <f>AVERAGE(ReturnData!E470:E480)</f>
        <v>3.2227272727272729E-2</v>
      </c>
      <c r="F470" s="16">
        <f>AVERAGE(ReturnData!F470:F480)</f>
        <v>3.2245454545454549E-2</v>
      </c>
      <c r="G470" s="16">
        <f>AVERAGE(ReturnData!G470:G480)</f>
        <v>2.1099999999999997E-2</v>
      </c>
      <c r="H470" s="16">
        <f>AVERAGE(ReturnData!H470:H480)</f>
        <v>2.7754545454545455E-2</v>
      </c>
      <c r="I470" s="16">
        <f>AVERAGE(ReturnData!I470:I480)</f>
        <v>2.4263636363636366E-2</v>
      </c>
      <c r="J470" s="16">
        <f>AVERAGE(ReturnData!J470:J480)</f>
        <v>1.8954545454545453E-2</v>
      </c>
      <c r="K470" s="16">
        <f>AVERAGE(ReturnData!K470:K480)</f>
        <v>3.094545454545455E-2</v>
      </c>
      <c r="L470" s="16">
        <f>AVERAGE(ReturnData!L470:L480)</f>
        <v>1.4963636363636361E-2</v>
      </c>
      <c r="M470" s="16">
        <f>AVERAGE(ReturnData!M470:M480)</f>
        <v>3.32909090909091E-2</v>
      </c>
      <c r="N470" s="16">
        <f>AVERAGE(ReturnData!N470:N480)</f>
        <v>3.5409090909090911E-2</v>
      </c>
      <c r="O470" s="16">
        <f>AVERAGE(ReturnData!O470:O480)</f>
        <v>1.3190909090909086E-2</v>
      </c>
      <c r="P470" s="16">
        <f>AVERAGE(ReturnData!P470:P480)</f>
        <v>2.7927272727272731E-2</v>
      </c>
      <c r="Q470" s="16">
        <f>AVERAGE(ReturnData!Q470:Q480)</f>
        <v>3.1799999999999995E-2</v>
      </c>
    </row>
    <row r="471" spans="1:17" x14ac:dyDescent="0.25">
      <c r="A471">
        <f>ReturnData!A483</f>
        <v>201402</v>
      </c>
      <c r="B471" s="16">
        <f>AVERAGE(ReturnData!B471:B481)</f>
        <v>1.7999999999999999E-2</v>
      </c>
      <c r="C471" s="16">
        <f>AVERAGE(ReturnData!C471:C481)</f>
        <v>-9.5090909090909115E-3</v>
      </c>
      <c r="D471" s="16">
        <f>AVERAGE(ReturnData!D471:D481)</f>
        <v>1.5018181818181821E-2</v>
      </c>
      <c r="E471" s="16">
        <f>AVERAGE(ReturnData!E471:E481)</f>
        <v>3.0809090909090908E-2</v>
      </c>
      <c r="F471" s="16">
        <f>AVERAGE(ReturnData!F471:F481)</f>
        <v>2.7136363636363636E-2</v>
      </c>
      <c r="G471" s="16">
        <f>AVERAGE(ReturnData!G471:G481)</f>
        <v>2.1609090909090908E-2</v>
      </c>
      <c r="H471" s="16">
        <f>AVERAGE(ReturnData!H471:H481)</f>
        <v>2.0827272727272726E-2</v>
      </c>
      <c r="I471" s="16">
        <f>AVERAGE(ReturnData!I471:I481)</f>
        <v>2.001818181818182E-2</v>
      </c>
      <c r="J471" s="16">
        <f>AVERAGE(ReturnData!J471:J481)</f>
        <v>2.1100000000000001E-2</v>
      </c>
      <c r="K471" s="16">
        <f>AVERAGE(ReturnData!K471:K481)</f>
        <v>2.976363636363636E-2</v>
      </c>
      <c r="L471" s="16">
        <f>AVERAGE(ReturnData!L471:L481)</f>
        <v>1.8290909090909094E-2</v>
      </c>
      <c r="M471" s="16">
        <f>AVERAGE(ReturnData!M471:M481)</f>
        <v>3.1672727272727276E-2</v>
      </c>
      <c r="N471" s="16">
        <f>AVERAGE(ReturnData!N471:N481)</f>
        <v>3.3272727272727273E-2</v>
      </c>
      <c r="O471" s="16">
        <f>AVERAGE(ReturnData!O471:O481)</f>
        <v>1.0227272727272725E-2</v>
      </c>
      <c r="P471" s="16">
        <f>AVERAGE(ReturnData!P471:P481)</f>
        <v>2.2918181818181817E-2</v>
      </c>
      <c r="Q471" s="16">
        <f>AVERAGE(ReturnData!Q471:Q481)</f>
        <v>2.8509090909090904E-2</v>
      </c>
    </row>
    <row r="472" spans="1:17" x14ac:dyDescent="0.25">
      <c r="A472">
        <f>ReturnData!A484</f>
        <v>201403</v>
      </c>
      <c r="B472" s="16">
        <f>AVERAGE(ReturnData!B472:B482)</f>
        <v>1.0463636363636364E-2</v>
      </c>
      <c r="C472" s="16">
        <f>AVERAGE(ReturnData!C472:C482)</f>
        <v>-9.6090909090909074E-3</v>
      </c>
      <c r="D472" s="16">
        <f>AVERAGE(ReturnData!D472:D482)</f>
        <v>8.1181818181818213E-3</v>
      </c>
      <c r="E472" s="16">
        <f>AVERAGE(ReturnData!E472:E482)</f>
        <v>2.2600000000000002E-2</v>
      </c>
      <c r="F472" s="16">
        <f>AVERAGE(ReturnData!F472:F482)</f>
        <v>1.7063636363636361E-2</v>
      </c>
      <c r="G472" s="16">
        <f>AVERAGE(ReturnData!G472:G482)</f>
        <v>1.8581818181818182E-2</v>
      </c>
      <c r="H472" s="16">
        <f>AVERAGE(ReturnData!H472:H482)</f>
        <v>1.6827272727272722E-2</v>
      </c>
      <c r="I472" s="16">
        <f>AVERAGE(ReturnData!I472:I482)</f>
        <v>1.61E-2</v>
      </c>
      <c r="J472" s="16">
        <f>AVERAGE(ReturnData!J472:J482)</f>
        <v>1.8545454545454546E-2</v>
      </c>
      <c r="K472" s="16">
        <f>AVERAGE(ReturnData!K472:K482)</f>
        <v>2.1736363636363634E-2</v>
      </c>
      <c r="L472" s="16">
        <f>AVERAGE(ReturnData!L472:L482)</f>
        <v>1.7009090909090915E-2</v>
      </c>
      <c r="M472" s="16">
        <f>AVERAGE(ReturnData!M472:M482)</f>
        <v>2.8245454545454553E-2</v>
      </c>
      <c r="N472" s="16">
        <f>AVERAGE(ReturnData!N472:N482)</f>
        <v>2.8309090909090909E-2</v>
      </c>
      <c r="O472" s="16">
        <f>AVERAGE(ReturnData!O472:O482)</f>
        <v>1.0490909090909091E-2</v>
      </c>
      <c r="P472" s="16">
        <f>AVERAGE(ReturnData!P472:P482)</f>
        <v>1.5690909090909089E-2</v>
      </c>
      <c r="Q472" s="16">
        <f>AVERAGE(ReturnData!Q472:Q482)</f>
        <v>2.357272727272727E-2</v>
      </c>
    </row>
    <row r="473" spans="1:17" x14ac:dyDescent="0.25">
      <c r="A473">
        <f>ReturnData!A485</f>
        <v>201404</v>
      </c>
      <c r="B473" s="16">
        <f>AVERAGE(ReturnData!B473:B483)</f>
        <v>7.7090909090909102E-3</v>
      </c>
      <c r="C473" s="16">
        <f>AVERAGE(ReturnData!C473:C483)</f>
        <v>-5.7181818181818176E-3</v>
      </c>
      <c r="D473" s="16">
        <f>AVERAGE(ReturnData!D473:D483)</f>
        <v>1.1318181818181819E-2</v>
      </c>
      <c r="E473" s="16">
        <f>AVERAGE(ReturnData!E473:E483)</f>
        <v>2.400909090909091E-2</v>
      </c>
      <c r="F473" s="16">
        <f>AVERAGE(ReturnData!F473:F483)</f>
        <v>1.5127272727272727E-2</v>
      </c>
      <c r="G473" s="16">
        <f>AVERAGE(ReturnData!G473:G483)</f>
        <v>2.4527272727272727E-2</v>
      </c>
      <c r="H473" s="16">
        <f>AVERAGE(ReturnData!H473:H483)</f>
        <v>1.8127272727272728E-2</v>
      </c>
      <c r="I473" s="16">
        <f>AVERAGE(ReturnData!I473:I483)</f>
        <v>1.952727272727273E-2</v>
      </c>
      <c r="J473" s="16">
        <f>AVERAGE(ReturnData!J473:J483)</f>
        <v>1.898181818181818E-2</v>
      </c>
      <c r="K473" s="16">
        <f>AVERAGE(ReturnData!K473:K483)</f>
        <v>2.3281818181818181E-2</v>
      </c>
      <c r="L473" s="16">
        <f>AVERAGE(ReturnData!L473:L483)</f>
        <v>1.9190909090909092E-2</v>
      </c>
      <c r="M473" s="16">
        <f>AVERAGE(ReturnData!M473:M483)</f>
        <v>3.2927272727272722E-2</v>
      </c>
      <c r="N473" s="16">
        <f>AVERAGE(ReturnData!N473:N483)</f>
        <v>2.6754545454545461E-2</v>
      </c>
      <c r="O473" s="16">
        <f>AVERAGE(ReturnData!O473:O483)</f>
        <v>8.1272727272727278E-3</v>
      </c>
      <c r="P473" s="16">
        <f>AVERAGE(ReturnData!P473:P483)</f>
        <v>1.5463636363636363E-2</v>
      </c>
      <c r="Q473" s="16">
        <f>AVERAGE(ReturnData!Q473:Q483)</f>
        <v>2.2399999999999993E-2</v>
      </c>
    </row>
    <row r="474" spans="1:17" x14ac:dyDescent="0.25">
      <c r="A474">
        <f>ReturnData!A486</f>
        <v>201405</v>
      </c>
      <c r="B474" s="16">
        <f>AVERAGE(ReturnData!B474:B484)</f>
        <v>7.8909090909090908E-3</v>
      </c>
      <c r="C474" s="16">
        <f>AVERAGE(ReturnData!C474:C484)</f>
        <v>2.4272727272727276E-3</v>
      </c>
      <c r="D474" s="16">
        <f>AVERAGE(ReturnData!D474:D484)</f>
        <v>1.4845454545454545E-2</v>
      </c>
      <c r="E474" s="16">
        <f>AVERAGE(ReturnData!E474:E484)</f>
        <v>1.6454545454545454E-2</v>
      </c>
      <c r="F474" s="16">
        <f>AVERAGE(ReturnData!F474:F484)</f>
        <v>1.5318181818181819E-2</v>
      </c>
      <c r="G474" s="16">
        <f>AVERAGE(ReturnData!G474:G484)</f>
        <v>2.2545454545454546E-2</v>
      </c>
      <c r="H474" s="16">
        <f>AVERAGE(ReturnData!H474:H484)</f>
        <v>1.5172727272727272E-2</v>
      </c>
      <c r="I474" s="16">
        <f>AVERAGE(ReturnData!I474:I484)</f>
        <v>1.5381818181818184E-2</v>
      </c>
      <c r="J474" s="16">
        <f>AVERAGE(ReturnData!J474:J484)</f>
        <v>2.6263636363636364E-2</v>
      </c>
      <c r="K474" s="16">
        <f>AVERAGE(ReturnData!K474:K484)</f>
        <v>2.4736363636363636E-2</v>
      </c>
      <c r="L474" s="16">
        <f>AVERAGE(ReturnData!L474:L484)</f>
        <v>2.1572727272727275E-2</v>
      </c>
      <c r="M474" s="16">
        <f>AVERAGE(ReturnData!M474:M484)</f>
        <v>2.7672727272727272E-2</v>
      </c>
      <c r="N474" s="16">
        <f>AVERAGE(ReturnData!N474:N484)</f>
        <v>2.7400000000000001E-2</v>
      </c>
      <c r="O474" s="16">
        <f>AVERAGE(ReturnData!O474:O484)</f>
        <v>5.9000000000000016E-3</v>
      </c>
      <c r="P474" s="16">
        <f>AVERAGE(ReturnData!P474:P484)</f>
        <v>1.2190909090909091E-2</v>
      </c>
      <c r="Q474" s="16">
        <f>AVERAGE(ReturnData!Q474:Q484)</f>
        <v>2.3227272727272728E-2</v>
      </c>
    </row>
    <row r="475" spans="1:17" x14ac:dyDescent="0.25">
      <c r="A475">
        <f>ReturnData!A487</f>
        <v>201406</v>
      </c>
      <c r="B475" s="16">
        <f>AVERAGE(ReturnData!B475:B485)</f>
        <v>1.1836363636363638E-2</v>
      </c>
      <c r="C475" s="16">
        <f>AVERAGE(ReturnData!C475:C485)</f>
        <v>5.5090909090909088E-3</v>
      </c>
      <c r="D475" s="16">
        <f>AVERAGE(ReturnData!D475:D485)</f>
        <v>1.7163636363636367E-2</v>
      </c>
      <c r="E475" s="16">
        <f>AVERAGE(ReturnData!E475:E485)</f>
        <v>1.2500000000000001E-2</v>
      </c>
      <c r="F475" s="16">
        <f>AVERAGE(ReturnData!F475:F485)</f>
        <v>1.1681818181818182E-2</v>
      </c>
      <c r="G475" s="16">
        <f>AVERAGE(ReturnData!G475:G485)</f>
        <v>1.952727272727273E-2</v>
      </c>
      <c r="H475" s="16">
        <f>AVERAGE(ReturnData!H475:H485)</f>
        <v>1.7445454545454545E-2</v>
      </c>
      <c r="I475" s="16">
        <f>AVERAGE(ReturnData!I475:I485)</f>
        <v>7.6999999999999985E-3</v>
      </c>
      <c r="J475" s="16">
        <f>AVERAGE(ReturnData!J475:J485)</f>
        <v>2.3345454545454544E-2</v>
      </c>
      <c r="K475" s="16">
        <f>AVERAGE(ReturnData!K475:K485)</f>
        <v>2.1290909090909093E-2</v>
      </c>
      <c r="L475" s="16">
        <f>AVERAGE(ReturnData!L475:L485)</f>
        <v>1.610909090909091E-2</v>
      </c>
      <c r="M475" s="16">
        <f>AVERAGE(ReturnData!M475:M485)</f>
        <v>2.0181818181818183E-2</v>
      </c>
      <c r="N475" s="16">
        <f>AVERAGE(ReturnData!N475:N485)</f>
        <v>2.4409090909090912E-2</v>
      </c>
      <c r="O475" s="16">
        <f>AVERAGE(ReturnData!O475:O485)</f>
        <v>1.598181818181818E-2</v>
      </c>
      <c r="P475" s="16">
        <f>AVERAGE(ReturnData!P475:P485)</f>
        <v>1.0254545454545455E-2</v>
      </c>
      <c r="Q475" s="16">
        <f>AVERAGE(ReturnData!Q475:Q485)</f>
        <v>1.3418181818181813E-2</v>
      </c>
    </row>
    <row r="476" spans="1:17" x14ac:dyDescent="0.25">
      <c r="A476">
        <f>ReturnData!A488</f>
        <v>201407</v>
      </c>
      <c r="B476" s="16">
        <f>AVERAGE(ReturnData!B476:B486)</f>
        <v>1.4545454545454549E-2</v>
      </c>
      <c r="C476" s="16">
        <f>AVERAGE(ReturnData!C476:C486)</f>
        <v>1.2972727272727273E-2</v>
      </c>
      <c r="D476" s="16">
        <f>AVERAGE(ReturnData!D476:D486)</f>
        <v>2.0136363636363643E-2</v>
      </c>
      <c r="E476" s="16">
        <f>AVERAGE(ReturnData!E476:E486)</f>
        <v>1.3590909090909093E-2</v>
      </c>
      <c r="F476" s="16">
        <f>AVERAGE(ReturnData!F476:F486)</f>
        <v>1.3172727272727275E-2</v>
      </c>
      <c r="G476" s="16">
        <f>AVERAGE(ReturnData!G476:G486)</f>
        <v>2.6163636363636365E-2</v>
      </c>
      <c r="H476" s="16">
        <f>AVERAGE(ReturnData!H476:H486)</f>
        <v>1.9199999999999998E-2</v>
      </c>
      <c r="I476" s="16">
        <f>AVERAGE(ReturnData!I476:I486)</f>
        <v>1.3218181818181818E-2</v>
      </c>
      <c r="J476" s="16">
        <f>AVERAGE(ReturnData!J476:J486)</f>
        <v>2.6027272727272729E-2</v>
      </c>
      <c r="K476" s="16">
        <f>AVERAGE(ReturnData!K476:K486)</f>
        <v>2.3254545454545458E-2</v>
      </c>
      <c r="L476" s="16">
        <f>AVERAGE(ReturnData!L476:L486)</f>
        <v>2.1418181818181819E-2</v>
      </c>
      <c r="M476" s="16">
        <f>AVERAGE(ReturnData!M476:M486)</f>
        <v>2.0363636363636365E-2</v>
      </c>
      <c r="N476" s="16">
        <f>AVERAGE(ReturnData!N476:N486)</f>
        <v>2.8036363636363637E-2</v>
      </c>
      <c r="O476" s="16">
        <f>AVERAGE(ReturnData!O476:O486)</f>
        <v>1.5236363636363636E-2</v>
      </c>
      <c r="P476" s="16">
        <f>AVERAGE(ReturnData!P476:P486)</f>
        <v>1.0263636363636362E-2</v>
      </c>
      <c r="Q476" s="16">
        <f>AVERAGE(ReturnData!Q476:Q486)</f>
        <v>1.5399999999999999E-2</v>
      </c>
    </row>
    <row r="477" spans="1:17" x14ac:dyDescent="0.25">
      <c r="A477">
        <f>ReturnData!A489</f>
        <v>201408</v>
      </c>
      <c r="B477" s="16">
        <f>AVERAGE(ReturnData!B477:B487)</f>
        <v>1.3363636363636366E-2</v>
      </c>
      <c r="C477" s="16">
        <f>AVERAGE(ReturnData!C477:C487)</f>
        <v>1.6427272727272731E-2</v>
      </c>
      <c r="D477" s="16">
        <f>AVERAGE(ReturnData!D477:D487)</f>
        <v>1.9290909090909095E-2</v>
      </c>
      <c r="E477" s="16">
        <f>AVERAGE(ReturnData!E477:E487)</f>
        <v>1.1845454545454548E-2</v>
      </c>
      <c r="F477" s="16">
        <f>AVERAGE(ReturnData!F477:F487)</f>
        <v>1.1390909090909092E-2</v>
      </c>
      <c r="G477" s="16">
        <f>AVERAGE(ReturnData!G477:G487)</f>
        <v>2.0518181818181821E-2</v>
      </c>
      <c r="H477" s="16">
        <f>AVERAGE(ReturnData!H477:H487)</f>
        <v>1.4618181818181818E-2</v>
      </c>
      <c r="I477" s="16">
        <f>AVERAGE(ReturnData!I477:I487)</f>
        <v>1.1590909090909091E-2</v>
      </c>
      <c r="J477" s="16">
        <f>AVERAGE(ReturnData!J477:J487)</f>
        <v>2.4054545454545453E-2</v>
      </c>
      <c r="K477" s="16">
        <f>AVERAGE(ReturnData!K477:K487)</f>
        <v>1.8490909090909089E-2</v>
      </c>
      <c r="L477" s="16">
        <f>AVERAGE(ReturnData!L477:L487)</f>
        <v>2.0472727272727271E-2</v>
      </c>
      <c r="M477" s="16">
        <f>AVERAGE(ReturnData!M477:M487)</f>
        <v>1.6490909090909091E-2</v>
      </c>
      <c r="N477" s="16">
        <f>AVERAGE(ReturnData!N477:N487)</f>
        <v>2.2845454545454544E-2</v>
      </c>
      <c r="O477" s="16">
        <f>AVERAGE(ReturnData!O477:O487)</f>
        <v>1.599090909090909E-2</v>
      </c>
      <c r="P477" s="16">
        <f>AVERAGE(ReturnData!P477:P487)</f>
        <v>5.8909090909090907E-3</v>
      </c>
      <c r="Q477" s="16">
        <f>AVERAGE(ReturnData!Q477:Q487)</f>
        <v>1.229090909090909E-2</v>
      </c>
    </row>
    <row r="478" spans="1:17" x14ac:dyDescent="0.25">
      <c r="A478">
        <f>ReturnData!A490</f>
        <v>201409</v>
      </c>
      <c r="B478" s="16">
        <f>AVERAGE(ReturnData!B478:B488)</f>
        <v>1.2190909090909093E-2</v>
      </c>
      <c r="C478" s="16">
        <f>AVERAGE(ReturnData!C478:C488)</f>
        <v>1.2472727272727272E-2</v>
      </c>
      <c r="D478" s="16">
        <f>AVERAGE(ReturnData!D478:D488)</f>
        <v>1.7936363636363639E-2</v>
      </c>
      <c r="E478" s="16">
        <f>AVERAGE(ReturnData!E478:E488)</f>
        <v>1.2509090909090907E-2</v>
      </c>
      <c r="F478" s="16">
        <f>AVERAGE(ReturnData!F478:F488)</f>
        <v>8.7272727272727276E-3</v>
      </c>
      <c r="G478" s="16">
        <f>AVERAGE(ReturnData!G478:G488)</f>
        <v>1.7990909090909092E-2</v>
      </c>
      <c r="H478" s="16">
        <f>AVERAGE(ReturnData!H478:H488)</f>
        <v>1.6399999999999998E-2</v>
      </c>
      <c r="I478" s="16">
        <f>AVERAGE(ReturnData!I478:I488)</f>
        <v>1.0727272727272726E-2</v>
      </c>
      <c r="J478" s="16">
        <f>AVERAGE(ReturnData!J478:J488)</f>
        <v>2.8836363636363636E-2</v>
      </c>
      <c r="K478" s="16">
        <f>AVERAGE(ReturnData!K478:K488)</f>
        <v>1.3018181818181818E-2</v>
      </c>
      <c r="L478" s="16">
        <f>AVERAGE(ReturnData!L478:L488)</f>
        <v>2.0290909090909096E-2</v>
      </c>
      <c r="M478" s="16">
        <f>AVERAGE(ReturnData!M478:M488)</f>
        <v>1.3500000000000002E-2</v>
      </c>
      <c r="N478" s="16">
        <f>AVERAGE(ReturnData!N478:N488)</f>
        <v>2.2327272727272727E-2</v>
      </c>
      <c r="O478" s="16">
        <f>AVERAGE(ReturnData!O478:O488)</f>
        <v>1.4190909090909089E-2</v>
      </c>
      <c r="P478" s="16">
        <f>AVERAGE(ReturnData!P478:P488)</f>
        <v>8.3909090909090912E-3</v>
      </c>
      <c r="Q478" s="16">
        <f>AVERAGE(ReturnData!Q478:Q488)</f>
        <v>1.4272727272727272E-2</v>
      </c>
    </row>
    <row r="479" spans="1:17" x14ac:dyDescent="0.25">
      <c r="A479">
        <f>ReturnData!A491</f>
        <v>201410</v>
      </c>
      <c r="B479" s="16">
        <f>AVERAGE(ReturnData!B479:B489)</f>
        <v>1.7309090909090913E-2</v>
      </c>
      <c r="C479" s="16">
        <f>AVERAGE(ReturnData!C479:C489)</f>
        <v>1.2236363636363635E-2</v>
      </c>
      <c r="D479" s="16">
        <f>AVERAGE(ReturnData!D479:D489)</f>
        <v>1.828181818181818E-2</v>
      </c>
      <c r="E479" s="16">
        <f>AVERAGE(ReturnData!E479:E489)</f>
        <v>9.6727272727272755E-3</v>
      </c>
      <c r="F479" s="16">
        <f>AVERAGE(ReturnData!F479:F489)</f>
        <v>7.3272727272727274E-3</v>
      </c>
      <c r="G479" s="16">
        <f>AVERAGE(ReturnData!G479:G489)</f>
        <v>1.7345454545454549E-2</v>
      </c>
      <c r="H479" s="16">
        <f>AVERAGE(ReturnData!H479:H489)</f>
        <v>1.8045454545454545E-2</v>
      </c>
      <c r="I479" s="16">
        <f>AVERAGE(ReturnData!I479:I489)</f>
        <v>1.4927272727272728E-2</v>
      </c>
      <c r="J479" s="16">
        <f>AVERAGE(ReturnData!J479:J489)</f>
        <v>2.6809090909090907E-2</v>
      </c>
      <c r="K479" s="16">
        <f>AVERAGE(ReturnData!K479:K489)</f>
        <v>1.0181818181818183E-2</v>
      </c>
      <c r="L479" s="16">
        <f>AVERAGE(ReturnData!L479:L489)</f>
        <v>2.0154545454545449E-2</v>
      </c>
      <c r="M479" s="16">
        <f>AVERAGE(ReturnData!M479:M489)</f>
        <v>1.242727272727273E-2</v>
      </c>
      <c r="N479" s="16">
        <f>AVERAGE(ReturnData!N479:N489)</f>
        <v>2.0554545454545454E-2</v>
      </c>
      <c r="O479" s="16">
        <f>AVERAGE(ReturnData!O479:O489)</f>
        <v>1.8072727272727275E-2</v>
      </c>
      <c r="P479" s="16">
        <f>AVERAGE(ReturnData!P479:P489)</f>
        <v>8.0363636363636366E-3</v>
      </c>
      <c r="Q479" s="16">
        <f>AVERAGE(ReturnData!Q479:Q489)</f>
        <v>1.5036363636363636E-2</v>
      </c>
    </row>
    <row r="480" spans="1:17" x14ac:dyDescent="0.25">
      <c r="A480">
        <f>ReturnData!A492</f>
        <v>201411</v>
      </c>
      <c r="B480" s="16">
        <f>AVERAGE(ReturnData!B480:B490)</f>
        <v>1.2518181818181817E-2</v>
      </c>
      <c r="C480" s="16">
        <f>AVERAGE(ReturnData!C480:C490)</f>
        <v>-2.9545454545454545E-3</v>
      </c>
      <c r="D480" s="16">
        <f>AVERAGE(ReturnData!D480:D490)</f>
        <v>6.9181818181818172E-3</v>
      </c>
      <c r="E480" s="16">
        <f>AVERAGE(ReturnData!E480:E490)</f>
        <v>1.0163636363636363E-2</v>
      </c>
      <c r="F480" s="16">
        <f>AVERAGE(ReturnData!F480:F490)</f>
        <v>-2E-3</v>
      </c>
      <c r="G480" s="16">
        <f>AVERAGE(ReturnData!G480:G490)</f>
        <v>1.2354545454545453E-2</v>
      </c>
      <c r="H480" s="16">
        <f>AVERAGE(ReturnData!H480:H490)</f>
        <v>1.4890909090909092E-2</v>
      </c>
      <c r="I480" s="16">
        <f>AVERAGE(ReturnData!I480:I490)</f>
        <v>7.899999999999999E-3</v>
      </c>
      <c r="J480" s="16">
        <f>AVERAGE(ReturnData!J480:J490)</f>
        <v>1.5018181818181818E-2</v>
      </c>
      <c r="K480" s="16">
        <f>AVERAGE(ReturnData!K480:K490)</f>
        <v>1.6181818181818179E-3</v>
      </c>
      <c r="L480" s="16">
        <f>AVERAGE(ReturnData!L480:L490)</f>
        <v>1.4718181818181814E-2</v>
      </c>
      <c r="M480" s="16">
        <f>AVERAGE(ReturnData!M480:M490)</f>
        <v>3.627272727272729E-3</v>
      </c>
      <c r="N480" s="16">
        <f>AVERAGE(ReturnData!N480:N490)</f>
        <v>1.5972727272727274E-2</v>
      </c>
      <c r="O480" s="16">
        <f>AVERAGE(ReturnData!O480:O490)</f>
        <v>1.1972727272727272E-2</v>
      </c>
      <c r="P480" s="16">
        <f>AVERAGE(ReturnData!P480:P490)</f>
        <v>2.1818181818181832E-3</v>
      </c>
      <c r="Q480" s="16">
        <f>AVERAGE(ReturnData!Q480:Q490)</f>
        <v>1.1545454545454546E-2</v>
      </c>
    </row>
    <row r="481" spans="1:17" x14ac:dyDescent="0.25">
      <c r="A481">
        <f>ReturnData!A493</f>
        <v>201412</v>
      </c>
      <c r="B481" s="16">
        <f>AVERAGE(ReturnData!B481:B491)</f>
        <v>1.3081818181818184E-2</v>
      </c>
      <c r="C481" s="16">
        <f>AVERAGE(ReturnData!C481:C491)</f>
        <v>-6.4363636363636376E-3</v>
      </c>
      <c r="D481" s="16">
        <f>AVERAGE(ReturnData!D481:D491)</f>
        <v>2.236363636363634E-3</v>
      </c>
      <c r="E481" s="16">
        <f>AVERAGE(ReturnData!E481:E491)</f>
        <v>5.59090909090909E-3</v>
      </c>
      <c r="F481" s="16">
        <f>AVERAGE(ReturnData!F481:F491)</f>
        <v>-8.0000000000000026E-4</v>
      </c>
      <c r="G481" s="16">
        <f>AVERAGE(ReturnData!G481:G491)</f>
        <v>9.3636363636363656E-3</v>
      </c>
      <c r="H481" s="16">
        <f>AVERAGE(ReturnData!H481:H491)</f>
        <v>1.5481818181818182E-2</v>
      </c>
      <c r="I481" s="16">
        <f>AVERAGE(ReturnData!I481:I491)</f>
        <v>1.0572727272727274E-2</v>
      </c>
      <c r="J481" s="16">
        <f>AVERAGE(ReturnData!J481:J491)</f>
        <v>1.5499999999999998E-2</v>
      </c>
      <c r="K481" s="16">
        <f>AVERAGE(ReturnData!K481:K491)</f>
        <v>4.2363636363636362E-3</v>
      </c>
      <c r="L481" s="16">
        <f>AVERAGE(ReturnData!L481:L491)</f>
        <v>1.396363636363636E-2</v>
      </c>
      <c r="M481" s="16">
        <f>AVERAGE(ReturnData!M481:M491)</f>
        <v>5.8090909090909104E-3</v>
      </c>
      <c r="N481" s="16">
        <f>AVERAGE(ReturnData!N481:N491)</f>
        <v>1.5290909090909093E-2</v>
      </c>
      <c r="O481" s="16">
        <f>AVERAGE(ReturnData!O481:O491)</f>
        <v>1.9709090909090909E-2</v>
      </c>
      <c r="P481" s="16">
        <f>AVERAGE(ReturnData!P481:P491)</f>
        <v>-2.7272727272727089E-4</v>
      </c>
      <c r="Q481" s="16">
        <f>AVERAGE(ReturnData!Q481:Q491)</f>
        <v>9.4272727272727286E-3</v>
      </c>
    </row>
    <row r="482" spans="1:17" x14ac:dyDescent="0.25">
      <c r="A482">
        <f>ReturnData!A494</f>
        <v>201501</v>
      </c>
      <c r="B482" s="16">
        <f>AVERAGE(ReturnData!B482:B492)</f>
        <v>1.5654545454545456E-2</v>
      </c>
      <c r="C482" s="16">
        <f>AVERAGE(ReturnData!C482:C492)</f>
        <v>-1.3172727272727273E-2</v>
      </c>
      <c r="D482" s="16">
        <f>AVERAGE(ReturnData!D482:D492)</f>
        <v>-9.3545454545454557E-3</v>
      </c>
      <c r="E482" s="16">
        <f>AVERAGE(ReturnData!E482:E492)</f>
        <v>1.2345454545454547E-2</v>
      </c>
      <c r="F482" s="16">
        <f>AVERAGE(ReturnData!F482:F492)</f>
        <v>-3.0909090909090849E-4</v>
      </c>
      <c r="G482" s="16">
        <f>AVERAGE(ReturnData!G482:G492)</f>
        <v>5.6090909090909073E-3</v>
      </c>
      <c r="H482" s="16">
        <f>AVERAGE(ReturnData!H482:H492)</f>
        <v>1.830909090909091E-2</v>
      </c>
      <c r="I482" s="16">
        <f>AVERAGE(ReturnData!I482:I492)</f>
        <v>1.0827272727272727E-2</v>
      </c>
      <c r="J482" s="16">
        <f>AVERAGE(ReturnData!J482:J492)</f>
        <v>7.4181818181818177E-3</v>
      </c>
      <c r="K482" s="16">
        <f>AVERAGE(ReturnData!K482:K492)</f>
        <v>9.9999999999999937E-4</v>
      </c>
      <c r="L482" s="16">
        <f>AVERAGE(ReturnData!L482:L492)</f>
        <v>1.2872727272727274E-2</v>
      </c>
      <c r="M482" s="16">
        <f>AVERAGE(ReturnData!M482:M492)</f>
        <v>8.9181818181818199E-3</v>
      </c>
      <c r="N482" s="16">
        <f>AVERAGE(ReturnData!N482:N492)</f>
        <v>1.7518181818181818E-2</v>
      </c>
      <c r="O482" s="16">
        <f>AVERAGE(ReturnData!O482:O492)</f>
        <v>1.8318181818181813E-2</v>
      </c>
      <c r="P482" s="16">
        <f>AVERAGE(ReturnData!P482:P492)</f>
        <v>8.7363636363636376E-3</v>
      </c>
      <c r="Q482" s="16">
        <f>AVERAGE(ReturnData!Q482:Q492)</f>
        <v>8.6818181818181829E-3</v>
      </c>
    </row>
    <row r="483" spans="1:17" x14ac:dyDescent="0.25">
      <c r="A483">
        <f>ReturnData!A495</f>
        <v>201502</v>
      </c>
      <c r="B483" s="16">
        <f>AVERAGE(ReturnData!B483:B493)</f>
        <v>1.7009090909090904E-2</v>
      </c>
      <c r="C483" s="16">
        <f>AVERAGE(ReturnData!C483:C493)</f>
        <v>-1.3918181818181819E-2</v>
      </c>
      <c r="D483" s="16">
        <f>AVERAGE(ReturnData!D483:D493)</f>
        <v>-2.4545454545454549E-3</v>
      </c>
      <c r="E483" s="16">
        <f>AVERAGE(ReturnData!E483:E493)</f>
        <v>1.8299999999999997E-2</v>
      </c>
      <c r="F483" s="16">
        <f>AVERAGE(ReturnData!F483:F493)</f>
        <v>7.7545454545454549E-3</v>
      </c>
      <c r="G483" s="16">
        <f>AVERAGE(ReturnData!G483:G493)</f>
        <v>9.2181818181818163E-3</v>
      </c>
      <c r="H483" s="16">
        <f>AVERAGE(ReturnData!H483:H493)</f>
        <v>1.9199999999999998E-2</v>
      </c>
      <c r="I483" s="16">
        <f>AVERAGE(ReturnData!I483:I493)</f>
        <v>1.8518181818181816E-2</v>
      </c>
      <c r="J483" s="16">
        <f>AVERAGE(ReturnData!J483:J493)</f>
        <v>6.363636363636363E-3</v>
      </c>
      <c r="K483" s="16">
        <f>AVERAGE(ReturnData!K483:K493)</f>
        <v>7.4090909090909094E-3</v>
      </c>
      <c r="L483" s="16">
        <f>AVERAGE(ReturnData!L483:L493)</f>
        <v>1.4318181818181818E-2</v>
      </c>
      <c r="M483" s="16">
        <f>AVERAGE(ReturnData!M483:M493)</f>
        <v>1.3090909090909092E-2</v>
      </c>
      <c r="N483" s="16">
        <f>AVERAGE(ReturnData!N483:N493)</f>
        <v>1.9954545454545451E-2</v>
      </c>
      <c r="O483" s="16">
        <f>AVERAGE(ReturnData!O483:O493)</f>
        <v>1.7745454545454543E-2</v>
      </c>
      <c r="P483" s="16">
        <f>AVERAGE(ReturnData!P483:P493)</f>
        <v>1.6354545454545458E-2</v>
      </c>
      <c r="Q483" s="16">
        <f>AVERAGE(ReturnData!Q483:Q493)</f>
        <v>1.4490909090909092E-2</v>
      </c>
    </row>
    <row r="484" spans="1:17" x14ac:dyDescent="0.25">
      <c r="A484">
        <f>ReturnData!A496</f>
        <v>201503</v>
      </c>
      <c r="B484" s="16">
        <f>AVERAGE(ReturnData!B484:B494)</f>
        <v>1.3009090909090909E-2</v>
      </c>
      <c r="C484" s="16">
        <f>AVERAGE(ReturnData!C484:C494)</f>
        <v>-2.5090909090909094E-2</v>
      </c>
      <c r="D484" s="16">
        <f>AVERAGE(ReturnData!D484:D494)</f>
        <v>-1.1381818181818186E-2</v>
      </c>
      <c r="E484" s="16">
        <f>AVERAGE(ReturnData!E484:E494)</f>
        <v>1.0927272727272728E-2</v>
      </c>
      <c r="F484" s="16">
        <f>AVERAGE(ReturnData!F484:F494)</f>
        <v>3.5636363636363634E-3</v>
      </c>
      <c r="G484" s="16">
        <f>AVERAGE(ReturnData!G484:G494)</f>
        <v>1.6363636363636266E-4</v>
      </c>
      <c r="H484" s="16">
        <f>AVERAGE(ReturnData!H484:H494)</f>
        <v>1.3654545454545457E-2</v>
      </c>
      <c r="I484" s="16">
        <f>AVERAGE(ReturnData!I484:I494)</f>
        <v>1.0290909090909088E-2</v>
      </c>
      <c r="J484" s="16">
        <f>AVERAGE(ReturnData!J484:J494)</f>
        <v>-4.5909090909090934E-3</v>
      </c>
      <c r="K484" s="16">
        <f>AVERAGE(ReturnData!K484:K494)</f>
        <v>-3.4363636363636363E-3</v>
      </c>
      <c r="L484" s="16">
        <f>AVERAGE(ReturnData!L484:L494)</f>
        <v>4.4909090909090879E-3</v>
      </c>
      <c r="M484" s="16">
        <f>AVERAGE(ReturnData!M484:M494)</f>
        <v>-3.9090909090909074E-4</v>
      </c>
      <c r="N484" s="16">
        <f>AVERAGE(ReturnData!N484:N494)</f>
        <v>1.4563636363636364E-2</v>
      </c>
      <c r="O484" s="16">
        <f>AVERAGE(ReturnData!O484:O494)</f>
        <v>1.607272727272727E-2</v>
      </c>
      <c r="P484" s="16">
        <f>AVERAGE(ReturnData!P484:P494)</f>
        <v>1.1872727272727274E-2</v>
      </c>
      <c r="Q484" s="16">
        <f>AVERAGE(ReturnData!Q484:Q494)</f>
        <v>4.4999999999999988E-3</v>
      </c>
    </row>
    <row r="485" spans="1:17" x14ac:dyDescent="0.25">
      <c r="A485">
        <f>ReturnData!A497</f>
        <v>201504</v>
      </c>
      <c r="B485" s="16">
        <f>AVERAGE(ReturnData!B485:B495)</f>
        <v>1.4136363636363636E-2</v>
      </c>
      <c r="C485" s="16">
        <f>AVERAGE(ReturnData!C485:C495)</f>
        <v>-1.139090909090909E-2</v>
      </c>
      <c r="D485" s="16">
        <f>AVERAGE(ReturnData!D485:D495)</f>
        <v>-9.3545454545454557E-3</v>
      </c>
      <c r="E485" s="16">
        <f>AVERAGE(ReturnData!E485:E495)</f>
        <v>1.7236363636363636E-2</v>
      </c>
      <c r="F485" s="16">
        <f>AVERAGE(ReturnData!F485:F495)</f>
        <v>7.1636363636363616E-3</v>
      </c>
      <c r="G485" s="16">
        <f>AVERAGE(ReturnData!G485:G495)</f>
        <v>6.8999999999999981E-3</v>
      </c>
      <c r="H485" s="16">
        <f>AVERAGE(ReturnData!H485:H495)</f>
        <v>1.7654545454545457E-2</v>
      </c>
      <c r="I485" s="16">
        <f>AVERAGE(ReturnData!I485:I495)</f>
        <v>2.0627272727272727E-2</v>
      </c>
      <c r="J485" s="16">
        <f>AVERAGE(ReturnData!J485:J495)</f>
        <v>-4.645454545454549E-3</v>
      </c>
      <c r="K485" s="16">
        <f>AVERAGE(ReturnData!K485:K495)</f>
        <v>5.7272727272727275E-3</v>
      </c>
      <c r="L485" s="16">
        <f>AVERAGE(ReturnData!L485:L495)</f>
        <v>9.4181818181818151E-3</v>
      </c>
      <c r="M485" s="16">
        <f>AVERAGE(ReturnData!M485:M495)</f>
        <v>7.9000000000000008E-3</v>
      </c>
      <c r="N485" s="16">
        <f>AVERAGE(ReturnData!N485:N495)</f>
        <v>1.7527272727272728E-2</v>
      </c>
      <c r="O485" s="16">
        <f>AVERAGE(ReturnData!O485:O495)</f>
        <v>9.6818181818181821E-3</v>
      </c>
      <c r="P485" s="16">
        <f>AVERAGE(ReturnData!P485:P495)</f>
        <v>1.7200000000000003E-2</v>
      </c>
      <c r="Q485" s="16">
        <f>AVERAGE(ReturnData!Q485:Q495)</f>
        <v>9.4727272727272733E-3</v>
      </c>
    </row>
    <row r="486" spans="1:17" x14ac:dyDescent="0.25">
      <c r="A486">
        <f>ReturnData!A498</f>
        <v>201505</v>
      </c>
      <c r="B486" s="16">
        <f>AVERAGE(ReturnData!B486:B496)</f>
        <v>1.1954545454545456E-2</v>
      </c>
      <c r="C486" s="16">
        <f>AVERAGE(ReturnData!C486:C496)</f>
        <v>-2.1645454545454548E-2</v>
      </c>
      <c r="D486" s="16">
        <f>AVERAGE(ReturnData!D486:D496)</f>
        <v>-1.6600000000000004E-2</v>
      </c>
      <c r="E486" s="16">
        <f>AVERAGE(ReturnData!E486:E496)</f>
        <v>2.1563636363636365E-2</v>
      </c>
      <c r="F486" s="16">
        <f>AVERAGE(ReturnData!F486:F496)</f>
        <v>7.218181818181818E-3</v>
      </c>
      <c r="G486" s="16">
        <f>AVERAGE(ReturnData!G486:G496)</f>
        <v>3.6909090909090902E-3</v>
      </c>
      <c r="H486" s="16">
        <f>AVERAGE(ReturnData!H486:H496)</f>
        <v>1.4336363636363637E-2</v>
      </c>
      <c r="I486" s="16">
        <f>AVERAGE(ReturnData!I486:I496)</f>
        <v>2.2927272727272727E-2</v>
      </c>
      <c r="J486" s="16">
        <f>AVERAGE(ReturnData!J486:J496)</f>
        <v>-7.863636363636366E-3</v>
      </c>
      <c r="K486" s="16">
        <f>AVERAGE(ReturnData!K486:K496)</f>
        <v>4.2636363636363627E-3</v>
      </c>
      <c r="L486" s="16">
        <f>AVERAGE(ReturnData!L486:L496)</f>
        <v>7.1545454545454516E-3</v>
      </c>
      <c r="M486" s="16">
        <f>AVERAGE(ReturnData!M486:M496)</f>
        <v>7.2818181818181818E-3</v>
      </c>
      <c r="N486" s="16">
        <f>AVERAGE(ReturnData!N486:N496)</f>
        <v>1.4627272727272728E-2</v>
      </c>
      <c r="O486" s="16">
        <f>AVERAGE(ReturnData!O486:O496)</f>
        <v>5.7727272727272731E-3</v>
      </c>
      <c r="P486" s="16">
        <f>AVERAGE(ReturnData!P486:P496)</f>
        <v>1.8727272727272731E-2</v>
      </c>
      <c r="Q486" s="16">
        <f>AVERAGE(ReturnData!Q486:Q496)</f>
        <v>1.2900000000000002E-2</v>
      </c>
    </row>
    <row r="487" spans="1:17" x14ac:dyDescent="0.25">
      <c r="A487">
        <f>ReturnData!A499</f>
        <v>201506</v>
      </c>
      <c r="B487" s="16">
        <f>AVERAGE(ReturnData!B487:B497)</f>
        <v>8.1909090909090907E-3</v>
      </c>
      <c r="C487" s="16">
        <f>AVERAGE(ReturnData!C487:C497)</f>
        <v>-8.1727272727272759E-3</v>
      </c>
      <c r="D487" s="16">
        <f>AVERAGE(ReturnData!D487:D497)</f>
        <v>-1.173636363636364E-2</v>
      </c>
      <c r="E487" s="16">
        <f>AVERAGE(ReturnData!E487:E497)</f>
        <v>1.7645454545454544E-2</v>
      </c>
      <c r="F487" s="16">
        <f>AVERAGE(ReturnData!F487:F497)</f>
        <v>7.5727272727272718E-3</v>
      </c>
      <c r="G487" s="16">
        <f>AVERAGE(ReturnData!G487:G497)</f>
        <v>2.9999999999999988E-3</v>
      </c>
      <c r="H487" s="16">
        <f>AVERAGE(ReturnData!H487:H497)</f>
        <v>1.3627272727272727E-2</v>
      </c>
      <c r="I487" s="16">
        <f>AVERAGE(ReturnData!I487:I497)</f>
        <v>1.7063636363636364E-2</v>
      </c>
      <c r="J487" s="16">
        <f>AVERAGE(ReturnData!J487:J497)</f>
        <v>-2.5636363636363639E-3</v>
      </c>
      <c r="K487" s="16">
        <f>AVERAGE(ReturnData!K487:K497)</f>
        <v>4.8909090909090907E-3</v>
      </c>
      <c r="L487" s="16">
        <f>AVERAGE(ReturnData!L487:L497)</f>
        <v>5.2727272727272701E-3</v>
      </c>
      <c r="M487" s="16">
        <f>AVERAGE(ReturnData!M487:M497)</f>
        <v>6.5636363636363635E-3</v>
      </c>
      <c r="N487" s="16">
        <f>AVERAGE(ReturnData!N487:N497)</f>
        <v>8.7818181818181823E-3</v>
      </c>
      <c r="O487" s="16">
        <f>AVERAGE(ReturnData!O487:O497)</f>
        <v>6.0272727272727275E-3</v>
      </c>
      <c r="P487" s="16">
        <f>AVERAGE(ReturnData!P487:P497)</f>
        <v>1.6781818181818186E-2</v>
      </c>
      <c r="Q487" s="16">
        <f>AVERAGE(ReturnData!Q487:Q497)</f>
        <v>1.2018181818181818E-2</v>
      </c>
    </row>
    <row r="488" spans="1:17" x14ac:dyDescent="0.25">
      <c r="A488">
        <f>ReturnData!A500</f>
        <v>201507</v>
      </c>
      <c r="B488" s="16">
        <f>AVERAGE(ReturnData!B488:B498)</f>
        <v>8.2909090909090918E-3</v>
      </c>
      <c r="C488" s="16">
        <f>AVERAGE(ReturnData!C488:C498)</f>
        <v>-1.8672727272727271E-2</v>
      </c>
      <c r="D488" s="16">
        <f>AVERAGE(ReturnData!D488:D498)</f>
        <v>-2.0081818181818183E-2</v>
      </c>
      <c r="E488" s="16">
        <f>AVERAGE(ReturnData!E488:E498)</f>
        <v>1.7290909090909089E-2</v>
      </c>
      <c r="F488" s="16">
        <f>AVERAGE(ReturnData!F488:F498)</f>
        <v>6.4181818181818177E-3</v>
      </c>
      <c r="G488" s="16">
        <f>AVERAGE(ReturnData!G488:G498)</f>
        <v>3.1999999999999989E-3</v>
      </c>
      <c r="H488" s="16">
        <f>AVERAGE(ReturnData!H488:H498)</f>
        <v>1.5200000000000002E-2</v>
      </c>
      <c r="I488" s="16">
        <f>AVERAGE(ReturnData!I488:I498)</f>
        <v>1.7763636363636367E-2</v>
      </c>
      <c r="J488" s="16">
        <f>AVERAGE(ReturnData!J488:J498)</f>
        <v>-1.0509090909090911E-2</v>
      </c>
      <c r="K488" s="16">
        <f>AVERAGE(ReturnData!K488:K498)</f>
        <v>2.3090909090909099E-3</v>
      </c>
      <c r="L488" s="16">
        <f>AVERAGE(ReturnData!L488:L498)</f>
        <v>4.5727272727272717E-3</v>
      </c>
      <c r="M488" s="16">
        <f>AVERAGE(ReturnData!M488:M498)</f>
        <v>3.6454545454545463E-3</v>
      </c>
      <c r="N488" s="16">
        <f>AVERAGE(ReturnData!N488:N498)</f>
        <v>7.7818181818181805E-3</v>
      </c>
      <c r="O488" s="16">
        <f>AVERAGE(ReturnData!O488:O498)</f>
        <v>6.9090909090909034E-4</v>
      </c>
      <c r="P488" s="16">
        <f>AVERAGE(ReturnData!P488:P498)</f>
        <v>1.6436363636363641E-2</v>
      </c>
      <c r="Q488" s="16">
        <f>AVERAGE(ReturnData!Q488:Q498)</f>
        <v>1.2036363636363635E-2</v>
      </c>
    </row>
    <row r="489" spans="1:17" x14ac:dyDescent="0.25">
      <c r="A489">
        <f>ReturnData!A501</f>
        <v>201508</v>
      </c>
      <c r="B489" s="16">
        <f>AVERAGE(ReturnData!B489:B499)</f>
        <v>1.1281818181818181E-2</v>
      </c>
      <c r="C489" s="16">
        <f>AVERAGE(ReturnData!C489:C499)</f>
        <v>-2.5054545454545451E-2</v>
      </c>
      <c r="D489" s="16">
        <f>AVERAGE(ReturnData!D489:D499)</f>
        <v>-2.0336363636363639E-2</v>
      </c>
      <c r="E489" s="16">
        <f>AVERAGE(ReturnData!E489:E499)</f>
        <v>2.2163636363636361E-2</v>
      </c>
      <c r="F489" s="16">
        <f>AVERAGE(ReturnData!F489:F499)</f>
        <v>1.0554545454545455E-2</v>
      </c>
      <c r="G489" s="16">
        <f>AVERAGE(ReturnData!G489:G499)</f>
        <v>3.3727272727272716E-3</v>
      </c>
      <c r="H489" s="16">
        <f>AVERAGE(ReturnData!H489:H499)</f>
        <v>1.5690909090909092E-2</v>
      </c>
      <c r="I489" s="16">
        <f>AVERAGE(ReturnData!I489:I499)</f>
        <v>2.1645454545454548E-2</v>
      </c>
      <c r="J489" s="16">
        <f>AVERAGE(ReturnData!J489:J499)</f>
        <v>-1.7563636363636361E-2</v>
      </c>
      <c r="K489" s="16">
        <f>AVERAGE(ReturnData!K489:K499)</f>
        <v>7.4090909090909094E-3</v>
      </c>
      <c r="L489" s="16">
        <f>AVERAGE(ReturnData!L489:L499)</f>
        <v>2.8363636363636356E-3</v>
      </c>
      <c r="M489" s="16">
        <f>AVERAGE(ReturnData!M489:M499)</f>
        <v>6.6090909090909091E-3</v>
      </c>
      <c r="N489" s="16">
        <f>AVERAGE(ReturnData!N489:N499)</f>
        <v>7.8090909090909096E-3</v>
      </c>
      <c r="O489" s="16">
        <f>AVERAGE(ReturnData!O489:O499)</f>
        <v>1.6999999999999995E-3</v>
      </c>
      <c r="P489" s="16">
        <f>AVERAGE(ReturnData!P489:P499)</f>
        <v>1.7954545454545459E-2</v>
      </c>
      <c r="Q489" s="16">
        <f>AVERAGE(ReturnData!Q489:Q499)</f>
        <v>1.5263636363636366E-2</v>
      </c>
    </row>
    <row r="490" spans="1:17" x14ac:dyDescent="0.25">
      <c r="A490">
        <f>ReturnData!A502</f>
        <v>201509</v>
      </c>
      <c r="B490" s="16">
        <f>AVERAGE(ReturnData!B490:B500)</f>
        <v>9.0727272727272722E-3</v>
      </c>
      <c r="C490" s="16">
        <f>AVERAGE(ReturnData!C490:C500)</f>
        <v>-3.9090909090909093E-2</v>
      </c>
      <c r="D490" s="16">
        <f>AVERAGE(ReturnData!D490:D500)</f>
        <v>-3.0545454545454553E-2</v>
      </c>
      <c r="E490" s="16">
        <f>AVERAGE(ReturnData!E490:E500)</f>
        <v>2.2745454545454548E-2</v>
      </c>
      <c r="F490" s="16">
        <f>AVERAGE(ReturnData!F490:F500)</f>
        <v>6.209090909090908E-3</v>
      </c>
      <c r="G490" s="16">
        <f>AVERAGE(ReturnData!G490:G500)</f>
        <v>-5.4818181818181823E-3</v>
      </c>
      <c r="H490" s="16">
        <f>AVERAGE(ReturnData!H490:H500)</f>
        <v>1.5163636363636367E-2</v>
      </c>
      <c r="I490" s="16">
        <f>AVERAGE(ReturnData!I490:I500)</f>
        <v>1.5072727272727272E-2</v>
      </c>
      <c r="J490" s="16">
        <f>AVERAGE(ReturnData!J490:J500)</f>
        <v>-3.0627272727272729E-2</v>
      </c>
      <c r="K490" s="16">
        <f>AVERAGE(ReturnData!K490:K500)</f>
        <v>1.9363636363636352E-3</v>
      </c>
      <c r="L490" s="16">
        <f>AVERAGE(ReturnData!L490:L500)</f>
        <v>-2.6272727272727277E-3</v>
      </c>
      <c r="M490" s="16">
        <f>AVERAGE(ReturnData!M490:M500)</f>
        <v>1.3545454545454553E-3</v>
      </c>
      <c r="N490" s="16">
        <f>AVERAGE(ReturnData!N490:N500)</f>
        <v>4.9727272727272728E-3</v>
      </c>
      <c r="O490" s="16">
        <f>AVERAGE(ReturnData!O490:O500)</f>
        <v>-7.1818181818181952E-4</v>
      </c>
      <c r="P490" s="16">
        <f>AVERAGE(ReturnData!P490:P500)</f>
        <v>2.0227272727272733E-2</v>
      </c>
      <c r="Q490" s="16">
        <f>AVERAGE(ReturnData!Q490:Q500)</f>
        <v>1.3527272727272728E-2</v>
      </c>
    </row>
    <row r="491" spans="1:17" x14ac:dyDescent="0.25">
      <c r="A491">
        <f>ReturnData!A503</f>
        <v>201510</v>
      </c>
      <c r="B491" s="16">
        <f>AVERAGE(ReturnData!B491:B501)</f>
        <v>6.0181818181818166E-3</v>
      </c>
      <c r="C491" s="16">
        <f>AVERAGE(ReturnData!C491:C501)</f>
        <v>-3.0218181818181814E-2</v>
      </c>
      <c r="D491" s="16">
        <f>AVERAGE(ReturnData!D491:D501)</f>
        <v>-2.702727272727273E-2</v>
      </c>
      <c r="E491" s="16">
        <f>AVERAGE(ReturnData!E491:E501)</f>
        <v>1.6445454545454544E-2</v>
      </c>
      <c r="F491" s="16">
        <f>AVERAGE(ReturnData!F491:F501)</f>
        <v>4.4272727272727276E-3</v>
      </c>
      <c r="G491" s="16">
        <f>AVERAGE(ReturnData!G491:G501)</f>
        <v>-9.5909090909090909E-3</v>
      </c>
      <c r="H491" s="16">
        <f>AVERAGE(ReturnData!H491:H501)</f>
        <v>7.2363636363636354E-3</v>
      </c>
      <c r="I491" s="16">
        <f>AVERAGE(ReturnData!I491:I501)</f>
        <v>1.5972727272727274E-2</v>
      </c>
      <c r="J491" s="16">
        <f>AVERAGE(ReturnData!J491:J501)</f>
        <v>-3.0318181818181821E-2</v>
      </c>
      <c r="K491" s="16">
        <f>AVERAGE(ReturnData!K491:K501)</f>
        <v>4.2363636363636345E-3</v>
      </c>
      <c r="L491" s="16">
        <f>AVERAGE(ReturnData!L491:L501)</f>
        <v>-4.9727272727272736E-3</v>
      </c>
      <c r="M491" s="16">
        <f>AVERAGE(ReturnData!M491:M501)</f>
        <v>5.1636363636363633E-3</v>
      </c>
      <c r="N491" s="16">
        <f>AVERAGE(ReturnData!N491:N501)</f>
        <v>-3.0000000000000165E-4</v>
      </c>
      <c r="O491" s="16">
        <f>AVERAGE(ReturnData!O491:O501)</f>
        <v>-1.3454545454545453E-3</v>
      </c>
      <c r="P491" s="16">
        <f>AVERAGE(ReturnData!P491:P501)</f>
        <v>1.5245454545454546E-2</v>
      </c>
      <c r="Q491" s="16">
        <f>AVERAGE(ReturnData!Q491:Q501)</f>
        <v>8.090909090909093E-3</v>
      </c>
    </row>
    <row r="492" spans="1:17" x14ac:dyDescent="0.25">
      <c r="A492">
        <f>ReturnData!A504</f>
        <v>201511</v>
      </c>
      <c r="B492" s="16">
        <f>AVERAGE(ReturnData!B492:B502)</f>
        <v>3.7909090909090909E-3</v>
      </c>
      <c r="C492" s="16">
        <f>AVERAGE(ReturnData!C492:C502)</f>
        <v>-2.9972727272727272E-2</v>
      </c>
      <c r="D492" s="16">
        <f>AVERAGE(ReturnData!D492:D502)</f>
        <v>-2.8445454545454548E-2</v>
      </c>
      <c r="E492" s="16">
        <f>AVERAGE(ReturnData!E492:E502)</f>
        <v>1.4636363636363637E-2</v>
      </c>
      <c r="F492" s="16">
        <f>AVERAGE(ReturnData!F492:F502)</f>
        <v>-6.4818181818181823E-3</v>
      </c>
      <c r="G492" s="16">
        <f>AVERAGE(ReturnData!G492:G502)</f>
        <v>-1.5300000000000001E-2</v>
      </c>
      <c r="H492" s="16">
        <f>AVERAGE(ReturnData!H492:H502)</f>
        <v>7.2727272727272755E-4</v>
      </c>
      <c r="I492" s="16">
        <f>AVERAGE(ReturnData!I492:I502)</f>
        <v>7.927272727272729E-3</v>
      </c>
      <c r="J492" s="16">
        <f>AVERAGE(ReturnData!J492:J502)</f>
        <v>-4.1990909090909086E-2</v>
      </c>
      <c r="K492" s="16">
        <f>AVERAGE(ReturnData!K492:K502)</f>
        <v>-7.8727272727272743E-3</v>
      </c>
      <c r="L492" s="16">
        <f>AVERAGE(ReturnData!L492:L502)</f>
        <v>-9.2545454545454545E-3</v>
      </c>
      <c r="M492" s="16">
        <f>AVERAGE(ReturnData!M492:M502)</f>
        <v>2.9999999999999992E-4</v>
      </c>
      <c r="N492" s="16">
        <f>AVERAGE(ReturnData!N492:N502)</f>
        <v>-5.4818181818181832E-3</v>
      </c>
      <c r="O492" s="16">
        <f>AVERAGE(ReturnData!O492:O502)</f>
        <v>-7.9000000000000008E-3</v>
      </c>
      <c r="P492" s="16">
        <f>AVERAGE(ReturnData!P492:P502)</f>
        <v>1.2300000000000004E-2</v>
      </c>
      <c r="Q492" s="16">
        <f>AVERAGE(ReturnData!Q492:Q502)</f>
        <v>1.7636363636363657E-3</v>
      </c>
    </row>
    <row r="493" spans="1:17" x14ac:dyDescent="0.25">
      <c r="A493">
        <f>ReturnData!A505</f>
        <v>201512</v>
      </c>
      <c r="B493" s="16">
        <f>AVERAGE(ReturnData!B493:B503)</f>
        <v>4.8636363636363643E-3</v>
      </c>
      <c r="C493" s="16">
        <f>AVERAGE(ReturnData!C493:C503)</f>
        <v>-2.2772727272727274E-2</v>
      </c>
      <c r="D493" s="16">
        <f>AVERAGE(ReturnData!D493:D503)</f>
        <v>-8.4363636363636342E-3</v>
      </c>
      <c r="E493" s="16">
        <f>AVERAGE(ReturnData!E493:E503)</f>
        <v>8.1636363636363642E-3</v>
      </c>
      <c r="F493" s="16">
        <f>AVERAGE(ReturnData!F493:F503)</f>
        <v>-2.7000000000000006E-3</v>
      </c>
      <c r="G493" s="16">
        <f>AVERAGE(ReturnData!G493:G503)</f>
        <v>-1.9636363636363644E-3</v>
      </c>
      <c r="H493" s="16">
        <f>AVERAGE(ReturnData!H493:H503)</f>
        <v>5.1000000000000012E-3</v>
      </c>
      <c r="I493" s="16">
        <f>AVERAGE(ReturnData!I493:I503)</f>
        <v>1.1427272727272725E-2</v>
      </c>
      <c r="J493" s="16">
        <f>AVERAGE(ReturnData!J493:J503)</f>
        <v>-3.4509090909090906E-2</v>
      </c>
      <c r="K493" s="16">
        <f>AVERAGE(ReturnData!K493:K503)</f>
        <v>-2.8181818181818359E-4</v>
      </c>
      <c r="L493" s="16">
        <f>AVERAGE(ReturnData!L493:L503)</f>
        <v>-4.4999999999999988E-3</v>
      </c>
      <c r="M493" s="16">
        <f>AVERAGE(ReturnData!M493:M503)</f>
        <v>1.5363636363636376E-3</v>
      </c>
      <c r="N493" s="16">
        <f>AVERAGE(ReturnData!N493:N503)</f>
        <v>-3.6181818181818186E-3</v>
      </c>
      <c r="O493" s="16">
        <f>AVERAGE(ReturnData!O493:O503)</f>
        <v>-6.2363636363636371E-3</v>
      </c>
      <c r="P493" s="16">
        <f>AVERAGE(ReturnData!P493:P503)</f>
        <v>7.7818181818181805E-3</v>
      </c>
      <c r="Q493" s="16">
        <f>AVERAGE(ReturnData!Q493:Q503)</f>
        <v>5.3818181818181829E-3</v>
      </c>
    </row>
    <row r="494" spans="1:17" x14ac:dyDescent="0.25">
      <c r="A494">
        <f>ReturnData!A506</f>
        <v>201601</v>
      </c>
      <c r="B494" s="16">
        <f>AVERAGE(ReturnData!B494:B504)</f>
        <v>7.454545454545455E-3</v>
      </c>
      <c r="C494" s="16">
        <f>AVERAGE(ReturnData!C494:C504)</f>
        <v>-2.0163636363636359E-2</v>
      </c>
      <c r="D494" s="16">
        <f>AVERAGE(ReturnData!D494:D504)</f>
        <v>-8.2909090909090866E-3</v>
      </c>
      <c r="E494" s="16">
        <f>AVERAGE(ReturnData!E494:E504)</f>
        <v>7.3545454545454548E-3</v>
      </c>
      <c r="F494" s="16">
        <f>AVERAGE(ReturnData!F494:F504)</f>
        <v>-2.9818181818181827E-3</v>
      </c>
      <c r="G494" s="16">
        <f>AVERAGE(ReturnData!G494:G504)</f>
        <v>-4.54545454545454E-4</v>
      </c>
      <c r="H494" s="16">
        <f>AVERAGE(ReturnData!H494:H504)</f>
        <v>5.8363636363636361E-3</v>
      </c>
      <c r="I494" s="16">
        <f>AVERAGE(ReturnData!I494:I504)</f>
        <v>1.3036363636363636E-2</v>
      </c>
      <c r="J494" s="16">
        <f>AVERAGE(ReturnData!J494:J504)</f>
        <v>-2.9263636363636367E-2</v>
      </c>
      <c r="K494" s="16">
        <f>AVERAGE(ReturnData!K494:K504)</f>
        <v>-8.6363636363636471E-4</v>
      </c>
      <c r="L494" s="16">
        <f>AVERAGE(ReturnData!L494:L504)</f>
        <v>-3.6181818181818151E-3</v>
      </c>
      <c r="M494" s="16">
        <f>AVERAGE(ReturnData!M494:M504)</f>
        <v>5.6363636363636392E-4</v>
      </c>
      <c r="N494" s="16">
        <f>AVERAGE(ReturnData!N494:N504)</f>
        <v>-4.8818181818181816E-3</v>
      </c>
      <c r="O494" s="16">
        <f>AVERAGE(ReturnData!O494:O504)</f>
        <v>-1.1054545454545454E-2</v>
      </c>
      <c r="P494" s="16">
        <f>AVERAGE(ReturnData!P494:P504)</f>
        <v>7.2272727272727245E-3</v>
      </c>
      <c r="Q494" s="16">
        <f>AVERAGE(ReturnData!Q494:Q504)</f>
        <v>5.4181818181818185E-3</v>
      </c>
    </row>
    <row r="495" spans="1:17" x14ac:dyDescent="0.25">
      <c r="A495">
        <f>ReturnData!A507</f>
        <v>201602</v>
      </c>
      <c r="B495" s="16">
        <f>AVERAGE(ReturnData!B495:B505)</f>
        <v>9.7090909090909085E-3</v>
      </c>
      <c r="C495" s="16">
        <f>AVERAGE(ReturnData!C495:C505)</f>
        <v>-1.9663636363636362E-2</v>
      </c>
      <c r="D495" s="16">
        <f>AVERAGE(ReturnData!D495:D505)</f>
        <v>-1.346363636363636E-2</v>
      </c>
      <c r="E495" s="16">
        <f>AVERAGE(ReturnData!E495:E505)</f>
        <v>6.6454545454545429E-3</v>
      </c>
      <c r="F495" s="16">
        <f>AVERAGE(ReturnData!F495:F505)</f>
        <v>-5.3636363636363647E-3</v>
      </c>
      <c r="G495" s="16">
        <f>AVERAGE(ReturnData!G495:G505)</f>
        <v>-2.5181818181818187E-3</v>
      </c>
      <c r="H495" s="16">
        <f>AVERAGE(ReturnData!H495:H505)</f>
        <v>7.6000000000000009E-3</v>
      </c>
      <c r="I495" s="16">
        <f>AVERAGE(ReturnData!I495:I505)</f>
        <v>1.2263636363636365E-2</v>
      </c>
      <c r="J495" s="16">
        <f>AVERAGE(ReturnData!J495:J505)</f>
        <v>-2.3045454545454546E-2</v>
      </c>
      <c r="K495" s="16">
        <f>AVERAGE(ReturnData!K495:K505)</f>
        <v>2.8E-3</v>
      </c>
      <c r="L495" s="16">
        <f>AVERAGE(ReturnData!L495:L505)</f>
        <v>-1.272727272727262E-4</v>
      </c>
      <c r="M495" s="16">
        <f>AVERAGE(ReturnData!M495:M505)</f>
        <v>2.5454545454545465E-3</v>
      </c>
      <c r="N495" s="16">
        <f>AVERAGE(ReturnData!N495:N505)</f>
        <v>-6.0181818181818192E-3</v>
      </c>
      <c r="O495" s="16">
        <f>AVERAGE(ReturnData!O495:O505)</f>
        <v>-1.4327272727272728E-2</v>
      </c>
      <c r="P495" s="16">
        <f>AVERAGE(ReturnData!P495:P505)</f>
        <v>7.899999999999999E-3</v>
      </c>
      <c r="Q495" s="16">
        <f>AVERAGE(ReturnData!Q495:Q505)</f>
        <v>9.8545454545454544E-3</v>
      </c>
    </row>
    <row r="496" spans="1:17" x14ac:dyDescent="0.25">
      <c r="A496">
        <f>ReturnData!A508</f>
        <v>201603</v>
      </c>
      <c r="B496" s="16">
        <f>AVERAGE(ReturnData!B496:B506)</f>
        <v>4.4909090909090914E-3</v>
      </c>
      <c r="C496" s="16">
        <f>AVERAGE(ReturnData!C496:C506)</f>
        <v>-3.7536363636363639E-2</v>
      </c>
      <c r="D496" s="16">
        <f>AVERAGE(ReturnData!D496:D506)</f>
        <v>-2.1890909090909086E-2</v>
      </c>
      <c r="E496" s="16">
        <f>AVERAGE(ReturnData!E496:E506)</f>
        <v>1.1545454545454548E-3</v>
      </c>
      <c r="F496" s="16">
        <f>AVERAGE(ReturnData!F496:F506)</f>
        <v>-1.5309090909090909E-2</v>
      </c>
      <c r="G496" s="16">
        <f>AVERAGE(ReturnData!G496:G506)</f>
        <v>-2.1727272727272724E-2</v>
      </c>
      <c r="H496" s="16">
        <f>AVERAGE(ReturnData!H496:H506)</f>
        <v>-5.3636363636363658E-4</v>
      </c>
      <c r="I496" s="16">
        <f>AVERAGE(ReturnData!I496:I506)</f>
        <v>-1.2727272727272739E-3</v>
      </c>
      <c r="J496" s="16">
        <f>AVERAGE(ReturnData!J496:J506)</f>
        <v>-3.5109090909090909E-2</v>
      </c>
      <c r="K496" s="16">
        <f>AVERAGE(ReturnData!K496:K506)</f>
        <v>-9.4000000000000004E-3</v>
      </c>
      <c r="L496" s="16">
        <f>AVERAGE(ReturnData!L496:L506)</f>
        <v>-1.3281818181818178E-2</v>
      </c>
      <c r="M496" s="16">
        <f>AVERAGE(ReturnData!M496:M506)</f>
        <v>-1.3299999999999999E-2</v>
      </c>
      <c r="N496" s="16">
        <f>AVERAGE(ReturnData!N496:N506)</f>
        <v>-1.781818181818182E-2</v>
      </c>
      <c r="O496" s="16">
        <f>AVERAGE(ReturnData!O496:O506)</f>
        <v>-6.127272727272726E-3</v>
      </c>
      <c r="P496" s="16">
        <f>AVERAGE(ReturnData!P496:P506)</f>
        <v>-3.2727272727272846E-4</v>
      </c>
      <c r="Q496" s="16">
        <f>AVERAGE(ReturnData!Q496:Q506)</f>
        <v>-6.3181818181818165E-3</v>
      </c>
    </row>
    <row r="497" spans="1:17" x14ac:dyDescent="0.25">
      <c r="A497">
        <f>ReturnData!A509</f>
        <v>201604</v>
      </c>
      <c r="B497" s="16">
        <f>AVERAGE(ReturnData!B497:B507)</f>
        <v>5.8181818181818187E-3</v>
      </c>
      <c r="C497" s="16">
        <f>AVERAGE(ReturnData!C497:C507)</f>
        <v>-1.9590909090909093E-2</v>
      </c>
      <c r="D497" s="16">
        <f>AVERAGE(ReturnData!D497:D507)</f>
        <v>-2.232727272727272E-2</v>
      </c>
      <c r="E497" s="16">
        <f>AVERAGE(ReturnData!E497:E507)</f>
        <v>9.0000000000000019E-4</v>
      </c>
      <c r="F497" s="16">
        <f>AVERAGE(ReturnData!F497:F507)</f>
        <v>-8.8999999999999982E-3</v>
      </c>
      <c r="G497" s="16">
        <f>AVERAGE(ReturnData!G497:G507)</f>
        <v>-1.1727272727272723E-2</v>
      </c>
      <c r="H497" s="16">
        <f>AVERAGE(ReturnData!H497:H507)</f>
        <v>0</v>
      </c>
      <c r="I497" s="16">
        <f>AVERAGE(ReturnData!I497:I507)</f>
        <v>-1.7272727272727286E-3</v>
      </c>
      <c r="J497" s="16">
        <f>AVERAGE(ReturnData!J497:J507)</f>
        <v>-2.578181818181818E-2</v>
      </c>
      <c r="K497" s="16">
        <f>AVERAGE(ReturnData!K497:K507)</f>
        <v>-7.154545454545456E-3</v>
      </c>
      <c r="L497" s="16">
        <f>AVERAGE(ReturnData!L497:L507)</f>
        <v>-7.9090909090909055E-3</v>
      </c>
      <c r="M497" s="16">
        <f>AVERAGE(ReturnData!M497:M507)</f>
        <v>-1.0618181818181817E-2</v>
      </c>
      <c r="N497" s="16">
        <f>AVERAGE(ReturnData!N497:N507)</f>
        <v>-1.0863636363636364E-2</v>
      </c>
      <c r="O497" s="16">
        <f>AVERAGE(ReturnData!O497:O507)</f>
        <v>-4.2454545454545462E-3</v>
      </c>
      <c r="P497" s="16">
        <f>AVERAGE(ReturnData!P497:P507)</f>
        <v>-1.300000000000001E-3</v>
      </c>
      <c r="Q497" s="16">
        <f>AVERAGE(ReturnData!Q497:Q507)</f>
        <v>-9.2363636363636346E-3</v>
      </c>
    </row>
    <row r="498" spans="1:17" x14ac:dyDescent="0.25">
      <c r="A498">
        <f>ReturnData!A510</f>
        <v>201605</v>
      </c>
      <c r="B498" s="16">
        <f>AVERAGE(ReturnData!B498:B508)</f>
        <v>1.0709090909090908E-2</v>
      </c>
      <c r="C498" s="16">
        <f>AVERAGE(ReturnData!C498:C508)</f>
        <v>-1.8081818181818185E-2</v>
      </c>
      <c r="D498" s="16">
        <f>AVERAGE(ReturnData!D498:D508)</f>
        <v>-1.8509090909090906E-2</v>
      </c>
      <c r="E498" s="16">
        <f>AVERAGE(ReturnData!E498:E508)</f>
        <v>5.3545454545454556E-3</v>
      </c>
      <c r="F498" s="16">
        <f>AVERAGE(ReturnData!F498:F508)</f>
        <v>-2.8181818181818234E-4</v>
      </c>
      <c r="G498" s="16">
        <f>AVERAGE(ReturnData!G498:G508)</f>
        <v>-6.5727272727272692E-3</v>
      </c>
      <c r="H498" s="16">
        <f>AVERAGE(ReturnData!H498:H508)</f>
        <v>2.4818181818181818E-3</v>
      </c>
      <c r="I498" s="16">
        <f>AVERAGE(ReturnData!I498:I508)</f>
        <v>1.2281818181818178E-2</v>
      </c>
      <c r="J498" s="16">
        <f>AVERAGE(ReturnData!J498:J508)</f>
        <v>-1.3363636363636367E-2</v>
      </c>
      <c r="K498" s="16">
        <f>AVERAGE(ReturnData!K498:K508)</f>
        <v>-1.0818181818181838E-3</v>
      </c>
      <c r="L498" s="16">
        <f>AVERAGE(ReturnData!L498:L508)</f>
        <v>-6.7272727272727178E-4</v>
      </c>
      <c r="M498" s="16">
        <f>AVERAGE(ReturnData!M498:M508)</f>
        <v>-1.3363636363636342E-3</v>
      </c>
      <c r="N498" s="16">
        <f>AVERAGE(ReturnData!N498:N508)</f>
        <v>-3.4363636363636389E-3</v>
      </c>
      <c r="O498" s="16">
        <f>AVERAGE(ReturnData!O498:O508)</f>
        <v>2.6454545454545455E-3</v>
      </c>
      <c r="P498" s="16">
        <f>AVERAGE(ReturnData!P498:P508)</f>
        <v>4.9636363636363619E-3</v>
      </c>
      <c r="Q498" s="16">
        <f>AVERAGE(ReturnData!Q498:Q508)</f>
        <v>-3.8818181818181807E-3</v>
      </c>
    </row>
    <row r="499" spans="1:17" x14ac:dyDescent="0.25">
      <c r="A499">
        <f>ReturnData!A511</f>
        <v>201606</v>
      </c>
      <c r="B499" s="16">
        <f>AVERAGE(ReturnData!B499:B509)</f>
        <v>9.4090909090909104E-3</v>
      </c>
      <c r="C499" s="16">
        <f>AVERAGE(ReturnData!C499:C509)</f>
        <v>1.8181818181818147E-3</v>
      </c>
      <c r="D499" s="16">
        <f>AVERAGE(ReturnData!D499:D509)</f>
        <v>-5.59090909090909E-3</v>
      </c>
      <c r="E499" s="16">
        <f>AVERAGE(ReturnData!E499:E509)</f>
        <v>3.4727272727272732E-3</v>
      </c>
      <c r="F499" s="16">
        <f>AVERAGE(ReturnData!F499:F509)</f>
        <v>-1.8909090909090909E-3</v>
      </c>
      <c r="G499" s="16">
        <f>AVERAGE(ReturnData!G499:G509)</f>
        <v>-3.0999999999999986E-3</v>
      </c>
      <c r="H499" s="16">
        <f>AVERAGE(ReturnData!H499:H509)</f>
        <v>2.4454545454545458E-3</v>
      </c>
      <c r="I499" s="16">
        <f>AVERAGE(ReturnData!I499:I509)</f>
        <v>9.7727272727272715E-3</v>
      </c>
      <c r="J499" s="16">
        <f>AVERAGE(ReturnData!J499:J509)</f>
        <v>-8.8181818181818055E-4</v>
      </c>
      <c r="K499" s="16">
        <f>AVERAGE(ReturnData!K499:K509)</f>
        <v>2.1818181818181813E-4</v>
      </c>
      <c r="L499" s="16">
        <f>AVERAGE(ReturnData!L499:L509)</f>
        <v>-4.6181818181818129E-3</v>
      </c>
      <c r="M499" s="16">
        <f>AVERAGE(ReturnData!M499:M509)</f>
        <v>-1.6636363636363621E-3</v>
      </c>
      <c r="N499" s="16">
        <f>AVERAGE(ReturnData!N499:N509)</f>
        <v>-1.0454545454545465E-3</v>
      </c>
      <c r="O499" s="16">
        <f>AVERAGE(ReturnData!O499:O509)</f>
        <v>2.3363636363636364E-3</v>
      </c>
      <c r="P499" s="16">
        <f>AVERAGE(ReturnData!P499:P509)</f>
        <v>3.6999999999999989E-3</v>
      </c>
      <c r="Q499" s="16">
        <f>AVERAGE(ReturnData!Q499:Q509)</f>
        <v>-2.9454545454545432E-3</v>
      </c>
    </row>
    <row r="500" spans="1:17" x14ac:dyDescent="0.25">
      <c r="A500">
        <f>ReturnData!A512</f>
        <v>201607</v>
      </c>
      <c r="B500" s="16">
        <f>AVERAGE(ReturnData!B500:B510)</f>
        <v>1.239090909090909E-2</v>
      </c>
      <c r="C500" s="16">
        <f>AVERAGE(ReturnData!C500:C510)</f>
        <v>4.7090909090909076E-3</v>
      </c>
      <c r="D500" s="16">
        <f>AVERAGE(ReturnData!D500:D510)</f>
        <v>-2.8636363636363612E-3</v>
      </c>
      <c r="E500" s="16">
        <f>AVERAGE(ReturnData!E500:E510)</f>
        <v>-4.1727272727272733E-3</v>
      </c>
      <c r="F500" s="16">
        <f>AVERAGE(ReturnData!F500:F510)</f>
        <v>2.0909090909090861E-4</v>
      </c>
      <c r="G500" s="16">
        <f>AVERAGE(ReturnData!G500:G510)</f>
        <v>-1.7454545454545418E-3</v>
      </c>
      <c r="H500" s="16">
        <f>AVERAGE(ReturnData!H500:H510)</f>
        <v>5.5090909090909088E-3</v>
      </c>
      <c r="I500" s="16">
        <f>AVERAGE(ReturnData!I500:I510)</f>
        <v>1.1836363636363634E-2</v>
      </c>
      <c r="J500" s="16">
        <f>AVERAGE(ReturnData!J500:J510)</f>
        <v>-3.7363636363636388E-3</v>
      </c>
      <c r="K500" s="16">
        <f>AVERAGE(ReturnData!K500:K510)</f>
        <v>2.8454545454545455E-3</v>
      </c>
      <c r="L500" s="16">
        <f>AVERAGE(ReturnData!L500:L510)</f>
        <v>3.2363636363636375E-3</v>
      </c>
      <c r="M500" s="16">
        <f>AVERAGE(ReturnData!M500:M510)</f>
        <v>-1.7454545454545457E-3</v>
      </c>
      <c r="N500" s="16">
        <f>AVERAGE(ReturnData!N500:N510)</f>
        <v>1.7272727272727264E-4</v>
      </c>
      <c r="O500" s="16">
        <f>AVERAGE(ReturnData!O500:O510)</f>
        <v>9.1818181818181816E-3</v>
      </c>
      <c r="P500" s="16">
        <f>AVERAGE(ReturnData!P500:P510)</f>
        <v>4.6545454545454537E-3</v>
      </c>
      <c r="Q500" s="16">
        <f>AVERAGE(ReturnData!Q500:Q510)</f>
        <v>-2.2909090909090869E-3</v>
      </c>
    </row>
    <row r="501" spans="1:17" x14ac:dyDescent="0.25">
      <c r="A501">
        <f>ReturnData!A513</f>
        <v>201608</v>
      </c>
      <c r="B501" s="16">
        <f>AVERAGE(ReturnData!B501:B511)</f>
        <v>1.3481818181818183E-2</v>
      </c>
      <c r="C501" s="16">
        <f>AVERAGE(ReturnData!C501:C511)</f>
        <v>2.4390909090909088E-2</v>
      </c>
      <c r="D501" s="16">
        <f>AVERAGE(ReturnData!D501:D511)</f>
        <v>7.545454545454547E-3</v>
      </c>
      <c r="E501" s="16">
        <f>AVERAGE(ReturnData!E501:E511)</f>
        <v>-7.7545454545454549E-3</v>
      </c>
      <c r="F501" s="16">
        <f>AVERAGE(ReturnData!F501:F511)</f>
        <v>1.2727272727272837E-4</v>
      </c>
      <c r="G501" s="16">
        <f>AVERAGE(ReturnData!G501:G511)</f>
        <v>2.2909090909090934E-3</v>
      </c>
      <c r="H501" s="16">
        <f>AVERAGE(ReturnData!H501:H511)</f>
        <v>4.6090909090909099E-3</v>
      </c>
      <c r="I501" s="16">
        <f>AVERAGE(ReturnData!I501:I511)</f>
        <v>7.8272727272727261E-3</v>
      </c>
      <c r="J501" s="16">
        <f>AVERAGE(ReturnData!J501:J511)</f>
        <v>6.0909090909090904E-3</v>
      </c>
      <c r="K501" s="16">
        <f>AVERAGE(ReturnData!K501:K511)</f>
        <v>4.4363636363636359E-3</v>
      </c>
      <c r="L501" s="16">
        <f>AVERAGE(ReturnData!L501:L511)</f>
        <v>4.1090909090909086E-3</v>
      </c>
      <c r="M501" s="16">
        <f>AVERAGE(ReturnData!M501:M511)</f>
        <v>-4.663636363636362E-3</v>
      </c>
      <c r="N501" s="16">
        <f>AVERAGE(ReturnData!N501:N511)</f>
        <v>-2.2545454545454553E-3</v>
      </c>
      <c r="O501" s="16">
        <f>AVERAGE(ReturnData!O501:O511)</f>
        <v>1.3518181818181818E-2</v>
      </c>
      <c r="P501" s="16">
        <f>AVERAGE(ReturnData!P501:P511)</f>
        <v>-2.9090909090909259E-4</v>
      </c>
      <c r="Q501" s="16">
        <f>AVERAGE(ReturnData!Q501:Q511)</f>
        <v>-8.8909090909090882E-3</v>
      </c>
    </row>
    <row r="502" spans="1:17" x14ac:dyDescent="0.25">
      <c r="A502">
        <f>ReturnData!A514</f>
        <v>201609</v>
      </c>
      <c r="B502" s="16">
        <f>AVERAGE(ReturnData!B502:B512)</f>
        <v>1.6863636363636365E-2</v>
      </c>
      <c r="C502" s="16">
        <f>AVERAGE(ReturnData!C502:C512)</f>
        <v>3.2154545454545456E-2</v>
      </c>
      <c r="D502" s="16">
        <f>AVERAGE(ReturnData!D502:D512)</f>
        <v>8.5363636363636388E-3</v>
      </c>
      <c r="E502" s="16">
        <f>AVERAGE(ReturnData!E502:E512)</f>
        <v>-2.0363636363636369E-3</v>
      </c>
      <c r="F502" s="16">
        <f>AVERAGE(ReturnData!F502:F512)</f>
        <v>1.2554545454545455E-2</v>
      </c>
      <c r="G502" s="16">
        <f>AVERAGE(ReturnData!G502:G512)</f>
        <v>1.2972727272727275E-2</v>
      </c>
      <c r="H502" s="16">
        <f>AVERAGE(ReturnData!H502:H512)</f>
        <v>1.4181818181818183E-2</v>
      </c>
      <c r="I502" s="16">
        <f>AVERAGE(ReturnData!I502:I512)</f>
        <v>1.518181818181818E-2</v>
      </c>
      <c r="J502" s="16">
        <f>AVERAGE(ReturnData!J502:J512)</f>
        <v>2.2572727272727269E-2</v>
      </c>
      <c r="K502" s="16">
        <f>AVERAGE(ReturnData!K502:K512)</f>
        <v>9.8909090909090908E-3</v>
      </c>
      <c r="L502" s="16">
        <f>AVERAGE(ReturnData!L502:L512)</f>
        <v>1.6027272727272727E-2</v>
      </c>
      <c r="M502" s="16">
        <f>AVERAGE(ReturnData!M502:M512)</f>
        <v>6.5818181818181809E-3</v>
      </c>
      <c r="N502" s="16">
        <f>AVERAGE(ReturnData!N502:N512)</f>
        <v>7.3000000000000009E-3</v>
      </c>
      <c r="O502" s="16">
        <f>AVERAGE(ReturnData!O502:O512)</f>
        <v>1.6972727272727275E-2</v>
      </c>
      <c r="P502" s="16">
        <f>AVERAGE(ReturnData!P502:P512)</f>
        <v>8.4181818181818177E-3</v>
      </c>
      <c r="Q502" s="16">
        <f>AVERAGE(ReturnData!Q502:Q512)</f>
        <v>7.3636363636363732E-4</v>
      </c>
    </row>
    <row r="503" spans="1:17" x14ac:dyDescent="0.25">
      <c r="A503">
        <f>ReturnData!A515</f>
        <v>201610</v>
      </c>
      <c r="B503" s="16">
        <f>AVERAGE(ReturnData!B503:B513)</f>
        <v>1.660909090909091E-2</v>
      </c>
      <c r="C503" s="16">
        <f>AVERAGE(ReturnData!C503:C513)</f>
        <v>3.1209090909090909E-2</v>
      </c>
      <c r="D503" s="16">
        <f>AVERAGE(ReturnData!D503:D513)</f>
        <v>1.5290909090909093E-2</v>
      </c>
      <c r="E503" s="16">
        <f>AVERAGE(ReturnData!E503:E513)</f>
        <v>-6.4545454545454628E-4</v>
      </c>
      <c r="F503" s="16">
        <f>AVERAGE(ReturnData!F503:F513)</f>
        <v>1.9945454545454544E-2</v>
      </c>
      <c r="G503" s="16">
        <f>AVERAGE(ReturnData!G503:G513)</f>
        <v>2.3363636363636368E-2</v>
      </c>
      <c r="H503" s="16">
        <f>AVERAGE(ReturnData!H503:H513)</f>
        <v>1.4054545454545457E-2</v>
      </c>
      <c r="I503" s="16">
        <f>AVERAGE(ReturnData!I503:I513)</f>
        <v>1.6754545454545453E-2</v>
      </c>
      <c r="J503" s="16">
        <f>AVERAGE(ReturnData!J503:J513)</f>
        <v>2.5254545454545453E-2</v>
      </c>
      <c r="K503" s="16">
        <f>AVERAGE(ReturnData!K503:K513)</f>
        <v>1.9118181818181819E-2</v>
      </c>
      <c r="L503" s="16">
        <f>AVERAGE(ReturnData!L503:L513)</f>
        <v>2.1154545454545457E-2</v>
      </c>
      <c r="M503" s="16">
        <f>AVERAGE(ReturnData!M503:M513)</f>
        <v>6.4818181818181823E-3</v>
      </c>
      <c r="N503" s="16">
        <f>AVERAGE(ReturnData!N503:N513)</f>
        <v>8.8181818181818188E-3</v>
      </c>
      <c r="O503" s="16">
        <f>AVERAGE(ReturnData!O503:O513)</f>
        <v>1.4000000000000002E-2</v>
      </c>
      <c r="P503" s="16">
        <f>AVERAGE(ReturnData!P503:P513)</f>
        <v>9.3090909090909075E-3</v>
      </c>
      <c r="Q503" s="16">
        <f>AVERAGE(ReturnData!Q503:Q513)</f>
        <v>8.1000000000000013E-3</v>
      </c>
    </row>
    <row r="504" spans="1:17" x14ac:dyDescent="0.25">
      <c r="A504">
        <f>ReturnData!A516</f>
        <v>201611</v>
      </c>
      <c r="B504" s="16">
        <f>AVERAGE(ReturnData!B504:B514)</f>
        <v>8.9363636363636381E-3</v>
      </c>
      <c r="C504" s="16">
        <f>AVERAGE(ReturnData!C504:C514)</f>
        <v>2.6763636363636368E-2</v>
      </c>
      <c r="D504" s="16">
        <f>AVERAGE(ReturnData!D504:D514)</f>
        <v>6.690909090909092E-3</v>
      </c>
      <c r="E504" s="16">
        <f>AVERAGE(ReturnData!E504:E514)</f>
        <v>-8.0727272727272731E-3</v>
      </c>
      <c r="F504" s="16">
        <f>AVERAGE(ReturnData!F504:F514)</f>
        <v>8.9272727272727281E-3</v>
      </c>
      <c r="G504" s="16">
        <f>AVERAGE(ReturnData!G504:G514)</f>
        <v>7.3090909090909118E-3</v>
      </c>
      <c r="H504" s="16">
        <f>AVERAGE(ReturnData!H504:H514)</f>
        <v>5.5636363636363644E-3</v>
      </c>
      <c r="I504" s="16">
        <f>AVERAGE(ReturnData!I504:I514)</f>
        <v>6.3454545454545456E-3</v>
      </c>
      <c r="J504" s="16">
        <f>AVERAGE(ReturnData!J504:J514)</f>
        <v>2.2127272727272728E-2</v>
      </c>
      <c r="K504" s="16">
        <f>AVERAGE(ReturnData!K504:K514)</f>
        <v>1.2963636363636365E-2</v>
      </c>
      <c r="L504" s="16">
        <f>AVERAGE(ReturnData!L504:L514)</f>
        <v>1.6127272727272726E-2</v>
      </c>
      <c r="M504" s="16">
        <f>AVERAGE(ReturnData!M504:M514)</f>
        <v>4.7272727272727294E-4</v>
      </c>
      <c r="N504" s="16">
        <f>AVERAGE(ReturnData!N504:N514)</f>
        <v>3.245454545454544E-3</v>
      </c>
      <c r="O504" s="16">
        <f>AVERAGE(ReturnData!O504:O514)</f>
        <v>1.3763636363636365E-2</v>
      </c>
      <c r="P504" s="16">
        <f>AVERAGE(ReturnData!P504:P514)</f>
        <v>5.7636363636363631E-3</v>
      </c>
      <c r="Q504" s="16">
        <f>AVERAGE(ReturnData!Q504:Q514)</f>
        <v>1.4909090909090922E-3</v>
      </c>
    </row>
    <row r="505" spans="1:17" x14ac:dyDescent="0.25">
      <c r="A505">
        <f>ReturnData!A517</f>
        <v>201612</v>
      </c>
      <c r="B505" s="16">
        <f>AVERAGE(ReturnData!B505:B515)</f>
        <v>8.2818181818181801E-3</v>
      </c>
      <c r="C505" s="16">
        <f>AVERAGE(ReturnData!C505:C515)</f>
        <v>3.1190909090909092E-2</v>
      </c>
      <c r="D505" s="16">
        <f>AVERAGE(ReturnData!D505:D515)</f>
        <v>3.0363636363636374E-3</v>
      </c>
      <c r="E505" s="16">
        <f>AVERAGE(ReturnData!E505:E515)</f>
        <v>-1.1709090909090912E-2</v>
      </c>
      <c r="F505" s="16">
        <f>AVERAGE(ReturnData!F505:F515)</f>
        <v>4.9727272727272736E-3</v>
      </c>
      <c r="G505" s="16">
        <f>AVERAGE(ReturnData!G505:G515)</f>
        <v>5.5363636363636396E-3</v>
      </c>
      <c r="H505" s="16">
        <f>AVERAGE(ReturnData!H505:H515)</f>
        <v>2.700000000000001E-3</v>
      </c>
      <c r="I505" s="16">
        <f>AVERAGE(ReturnData!I505:I515)</f>
        <v>-4.1909090909090915E-3</v>
      </c>
      <c r="J505" s="16">
        <f>AVERAGE(ReturnData!J505:J515)</f>
        <v>2.0281818181818182E-2</v>
      </c>
      <c r="K505" s="16">
        <f>AVERAGE(ReturnData!K505:K515)</f>
        <v>9.7272727272727268E-3</v>
      </c>
      <c r="L505" s="16">
        <f>AVERAGE(ReturnData!L505:L515)</f>
        <v>1.2036363636363635E-2</v>
      </c>
      <c r="M505" s="16">
        <f>AVERAGE(ReturnData!M505:M515)</f>
        <v>-2.9090909090909098E-3</v>
      </c>
      <c r="N505" s="16">
        <f>AVERAGE(ReturnData!N505:N515)</f>
        <v>4.3454545454545438E-3</v>
      </c>
      <c r="O505" s="16">
        <f>AVERAGE(ReturnData!O505:O515)</f>
        <v>1.6281818181818179E-2</v>
      </c>
      <c r="P505" s="16">
        <f>AVERAGE(ReturnData!P505:P515)</f>
        <v>2.6636363636363628E-3</v>
      </c>
      <c r="Q505" s="16">
        <f>AVERAGE(ReturnData!Q505:Q515)</f>
        <v>9.090909090909118E-4</v>
      </c>
    </row>
    <row r="506" spans="1:17" x14ac:dyDescent="0.25">
      <c r="A506">
        <f>ReturnData!A518</f>
        <v>201701</v>
      </c>
      <c r="B506" s="16">
        <f>AVERAGE(ReturnData!B506:B516)</f>
        <v>3.1272727272727272E-3</v>
      </c>
      <c r="C506" s="16">
        <f>AVERAGE(ReturnData!C506:C516)</f>
        <v>4.8454545454545458E-2</v>
      </c>
      <c r="D506" s="16">
        <f>AVERAGE(ReturnData!D506:D516)</f>
        <v>2.0600000000000004E-2</v>
      </c>
      <c r="E506" s="16">
        <f>AVERAGE(ReturnData!E506:E516)</f>
        <v>-6.3454545454545465E-3</v>
      </c>
      <c r="F506" s="16">
        <f>AVERAGE(ReturnData!F506:F516)</f>
        <v>1.520909090909091E-2</v>
      </c>
      <c r="G506" s="16">
        <f>AVERAGE(ReturnData!G506:G516)</f>
        <v>1.6900000000000002E-2</v>
      </c>
      <c r="H506" s="16">
        <f>AVERAGE(ReturnData!H506:H516)</f>
        <v>6.0909090909090895E-4</v>
      </c>
      <c r="I506" s="16">
        <f>AVERAGE(ReturnData!I506:I516)</f>
        <v>5.3636363636363647E-3</v>
      </c>
      <c r="J506" s="16">
        <f>AVERAGE(ReturnData!J506:J516)</f>
        <v>4.2345454545454547E-2</v>
      </c>
      <c r="K506" s="16">
        <f>AVERAGE(ReturnData!K506:K516)</f>
        <v>1.826363636363636E-2</v>
      </c>
      <c r="L506" s="16">
        <f>AVERAGE(ReturnData!L506:L516)</f>
        <v>1.9599999999999999E-2</v>
      </c>
      <c r="M506" s="16">
        <f>AVERAGE(ReturnData!M506:M516)</f>
        <v>6.2181818181818171E-3</v>
      </c>
      <c r="N506" s="16">
        <f>AVERAGE(ReturnData!N506:N516)</f>
        <v>1.7827272727272726E-2</v>
      </c>
      <c r="O506" s="16">
        <f>AVERAGE(ReturnData!O506:O516)</f>
        <v>1.6027272727272727E-2</v>
      </c>
      <c r="P506" s="16">
        <f>AVERAGE(ReturnData!P506:P516)</f>
        <v>4.3545454545454547E-3</v>
      </c>
      <c r="Q506" s="16">
        <f>AVERAGE(ReturnData!Q506:Q516)</f>
        <v>1.5581818181818185E-2</v>
      </c>
    </row>
    <row r="507" spans="1:17" x14ac:dyDescent="0.25">
      <c r="A507">
        <f>ReturnData!A519</f>
        <v>201702</v>
      </c>
      <c r="B507" s="16">
        <f>AVERAGE(ReturnData!B507:B517)</f>
        <v>8.2181818181818189E-3</v>
      </c>
      <c r="C507" s="16">
        <f>AVERAGE(ReturnData!C507:C517)</f>
        <v>5.1418181818181814E-2</v>
      </c>
      <c r="D507" s="16">
        <f>AVERAGE(ReturnData!D507:D517)</f>
        <v>2.6536363636363636E-2</v>
      </c>
      <c r="E507" s="16">
        <f>AVERAGE(ReturnData!E507:E517)</f>
        <v>-7.6000000000000009E-3</v>
      </c>
      <c r="F507" s="16">
        <f>AVERAGE(ReturnData!F507:F517)</f>
        <v>2.0799999999999999E-2</v>
      </c>
      <c r="G507" s="16">
        <f>AVERAGE(ReturnData!G507:G517)</f>
        <v>2.8954545454545458E-2</v>
      </c>
      <c r="H507" s="16">
        <f>AVERAGE(ReturnData!H507:H517)</f>
        <v>6.6090909090909082E-3</v>
      </c>
      <c r="I507" s="16">
        <f>AVERAGE(ReturnData!I507:I517)</f>
        <v>1.2336363636363635E-2</v>
      </c>
      <c r="J507" s="16">
        <f>AVERAGE(ReturnData!J507:J517)</f>
        <v>4.9209090909090918E-2</v>
      </c>
      <c r="K507" s="16">
        <f>AVERAGE(ReturnData!K507:K517)</f>
        <v>2.1500000000000002E-2</v>
      </c>
      <c r="L507" s="16">
        <f>AVERAGE(ReturnData!L507:L517)</f>
        <v>2.6954545454545453E-2</v>
      </c>
      <c r="M507" s="16">
        <f>AVERAGE(ReturnData!M507:M517)</f>
        <v>1.7872727272727269E-2</v>
      </c>
      <c r="N507" s="16">
        <f>AVERAGE(ReturnData!N507:N517)</f>
        <v>2.6154545454545451E-2</v>
      </c>
      <c r="O507" s="16">
        <f>AVERAGE(ReturnData!O507:O517)</f>
        <v>1.5063636363636364E-2</v>
      </c>
      <c r="P507" s="16">
        <f>AVERAGE(ReturnData!P507:P517)</f>
        <v>6.4545454545454524E-3</v>
      </c>
      <c r="Q507" s="16">
        <f>AVERAGE(ReturnData!Q507:Q517)</f>
        <v>2.7990909090909087E-2</v>
      </c>
    </row>
    <row r="508" spans="1:17" x14ac:dyDescent="0.25">
      <c r="A508">
        <f>ReturnData!A520</f>
        <v>201703</v>
      </c>
      <c r="B508" s="16">
        <f>AVERAGE(ReturnData!B508:B518)</f>
        <v>8.1363636363636378E-3</v>
      </c>
      <c r="C508" s="16">
        <f>AVERAGE(ReturnData!C508:C518)</f>
        <v>5.0072727272727276E-2</v>
      </c>
      <c r="D508" s="16">
        <f>AVERAGE(ReturnData!D508:D518)</f>
        <v>2.532727272727273E-2</v>
      </c>
      <c r="E508" s="16">
        <f>AVERAGE(ReturnData!E508:E518)</f>
        <v>-7.9636363636363654E-3</v>
      </c>
      <c r="F508" s="16">
        <f>AVERAGE(ReturnData!F508:F518)</f>
        <v>1.4645454545454545E-2</v>
      </c>
      <c r="G508" s="16">
        <f>AVERAGE(ReturnData!G508:G518)</f>
        <v>2.4872727272727269E-2</v>
      </c>
      <c r="H508" s="16">
        <f>AVERAGE(ReturnData!H508:H518)</f>
        <v>8.9363636363636381E-3</v>
      </c>
      <c r="I508" s="16">
        <f>AVERAGE(ReturnData!I508:I518)</f>
        <v>1.6318181818181818E-2</v>
      </c>
      <c r="J508" s="16">
        <f>AVERAGE(ReturnData!J508:J518)</f>
        <v>4.5672727272727268E-2</v>
      </c>
      <c r="K508" s="16">
        <f>AVERAGE(ReturnData!K508:K518)</f>
        <v>2.0500000000000001E-2</v>
      </c>
      <c r="L508" s="16">
        <f>AVERAGE(ReturnData!L508:L518)</f>
        <v>2.7363636363636364E-2</v>
      </c>
      <c r="M508" s="16">
        <f>AVERAGE(ReturnData!M508:M518)</f>
        <v>1.7772727272727277E-2</v>
      </c>
      <c r="N508" s="16">
        <f>AVERAGE(ReturnData!N508:N518)</f>
        <v>2.2854545454545457E-2</v>
      </c>
      <c r="O508" s="16">
        <f>AVERAGE(ReturnData!O508:O518)</f>
        <v>1.4445454545454544E-2</v>
      </c>
      <c r="P508" s="16">
        <f>AVERAGE(ReturnData!P508:P518)</f>
        <v>7.6545454545454529E-3</v>
      </c>
      <c r="Q508" s="16">
        <f>AVERAGE(ReturnData!Q508:Q518)</f>
        <v>3.1199999999999995E-2</v>
      </c>
    </row>
    <row r="509" spans="1:17" x14ac:dyDescent="0.25">
      <c r="A509">
        <f>ReturnData!A521</f>
        <v>201704</v>
      </c>
      <c r="B509" s="16">
        <f>AVERAGE(ReturnData!B509:B519)</f>
        <v>5.8272727272727261E-3</v>
      </c>
      <c r="C509" s="16">
        <f>AVERAGE(ReturnData!C509:C519)</f>
        <v>3.0609090909090916E-2</v>
      </c>
      <c r="D509" s="16">
        <f>AVERAGE(ReturnData!D509:D519)</f>
        <v>1.3372727272727271E-2</v>
      </c>
      <c r="E509" s="16">
        <f>AVERAGE(ReturnData!E509:E519)</f>
        <v>-7.7818181818181823E-3</v>
      </c>
      <c r="F509" s="16">
        <f>AVERAGE(ReturnData!F509:F519)</f>
        <v>8.827272727272727E-3</v>
      </c>
      <c r="G509" s="16">
        <f>AVERAGE(ReturnData!G509:G519)</f>
        <v>2.115454545454545E-2</v>
      </c>
      <c r="H509" s="16">
        <f>AVERAGE(ReturnData!H509:H519)</f>
        <v>1.29E-2</v>
      </c>
      <c r="I509" s="16">
        <f>AVERAGE(ReturnData!I509:I519)</f>
        <v>9.4454545454545451E-3</v>
      </c>
      <c r="J509" s="16">
        <f>AVERAGE(ReturnData!J509:J519)</f>
        <v>3.7872727272727273E-2</v>
      </c>
      <c r="K509" s="16">
        <f>AVERAGE(ReturnData!K509:K519)</f>
        <v>1.4936363636363637E-2</v>
      </c>
      <c r="L509" s="16">
        <f>AVERAGE(ReturnData!L509:L519)</f>
        <v>2.3418181818181824E-2</v>
      </c>
      <c r="M509" s="16">
        <f>AVERAGE(ReturnData!M509:M519)</f>
        <v>9.1272727272727287E-3</v>
      </c>
      <c r="N509" s="16">
        <f>AVERAGE(ReturnData!N509:N519)</f>
        <v>2.1690909090909091E-2</v>
      </c>
      <c r="O509" s="16">
        <f>AVERAGE(ReturnData!O509:O519)</f>
        <v>1.091818181818182E-2</v>
      </c>
      <c r="P509" s="16">
        <f>AVERAGE(ReturnData!P509:P519)</f>
        <v>5.7090909090909085E-3</v>
      </c>
      <c r="Q509" s="16">
        <f>AVERAGE(ReturnData!Q509:Q519)</f>
        <v>2.9327272727272723E-2</v>
      </c>
    </row>
    <row r="510" spans="1:17" x14ac:dyDescent="0.25">
      <c r="A510">
        <f>ReturnData!A522</f>
        <v>201705</v>
      </c>
      <c r="B510" s="16">
        <f>AVERAGE(ReturnData!B510:B520)</f>
        <v>5.9545454545454519E-3</v>
      </c>
      <c r="C510" s="16">
        <f>AVERAGE(ReturnData!C510:C520)</f>
        <v>1.400909090909091E-2</v>
      </c>
      <c r="D510" s="16">
        <f>AVERAGE(ReturnData!D510:D520)</f>
        <v>3.8909090909090911E-3</v>
      </c>
      <c r="E510" s="16">
        <f>AVERAGE(ReturnData!E510:E520)</f>
        <v>-5.4727272727272715E-3</v>
      </c>
      <c r="F510" s="16">
        <f>AVERAGE(ReturnData!F510:F520)</f>
        <v>1.0327272727272727E-2</v>
      </c>
      <c r="G510" s="16">
        <f>AVERAGE(ReturnData!G510:G520)</f>
        <v>1.9054545454545452E-2</v>
      </c>
      <c r="H510" s="16">
        <f>AVERAGE(ReturnData!H510:H520)</f>
        <v>1.0490909090909091E-2</v>
      </c>
      <c r="I510" s="16">
        <f>AVERAGE(ReturnData!I510:I520)</f>
        <v>1.2218181818181817E-2</v>
      </c>
      <c r="J510" s="16">
        <f>AVERAGE(ReturnData!J510:J520)</f>
        <v>2.3281818181818181E-2</v>
      </c>
      <c r="K510" s="16">
        <f>AVERAGE(ReturnData!K510:K520)</f>
        <v>1.4972727272727275E-2</v>
      </c>
      <c r="L510" s="16">
        <f>AVERAGE(ReturnData!L510:L520)</f>
        <v>2.5454545454545455E-2</v>
      </c>
      <c r="M510" s="16">
        <f>AVERAGE(ReturnData!M510:M520)</f>
        <v>8.2090909090909107E-3</v>
      </c>
      <c r="N510" s="16">
        <f>AVERAGE(ReturnData!N510:N520)</f>
        <v>1.8245454545454544E-2</v>
      </c>
      <c r="O510" s="16">
        <f>AVERAGE(ReturnData!O510:O520)</f>
        <v>1.1981818181818182E-2</v>
      </c>
      <c r="P510" s="16">
        <f>AVERAGE(ReturnData!P510:P520)</f>
        <v>7.1272727272727286E-3</v>
      </c>
      <c r="Q510" s="16">
        <f>AVERAGE(ReturnData!Q510:Q520)</f>
        <v>2.3436363636363634E-2</v>
      </c>
    </row>
    <row r="511" spans="1:17" x14ac:dyDescent="0.25">
      <c r="A511">
        <f>ReturnData!A523</f>
        <v>201706</v>
      </c>
      <c r="B511" s="16">
        <f>AVERAGE(ReturnData!B511:B521)</f>
        <v>5.6999999999999976E-3</v>
      </c>
      <c r="C511" s="16">
        <f>AVERAGE(ReturnData!C511:C521)</f>
        <v>1.6581818181818184E-2</v>
      </c>
      <c r="D511" s="16">
        <f>AVERAGE(ReturnData!D511:D521)</f>
        <v>2.0727272727272725E-3</v>
      </c>
      <c r="E511" s="16">
        <f>AVERAGE(ReturnData!E511:E521)</f>
        <v>-2.0727272727272721E-3</v>
      </c>
      <c r="F511" s="16">
        <f>AVERAGE(ReturnData!F511:F521)</f>
        <v>1.1872727272727273E-2</v>
      </c>
      <c r="G511" s="16">
        <f>AVERAGE(ReturnData!G511:G521)</f>
        <v>2.0872727272727272E-2</v>
      </c>
      <c r="H511" s="16">
        <f>AVERAGE(ReturnData!H511:H521)</f>
        <v>8.2818181818181836E-3</v>
      </c>
      <c r="I511" s="16">
        <f>AVERAGE(ReturnData!I511:I521)</f>
        <v>1.381818181818182E-2</v>
      </c>
      <c r="J511" s="16">
        <f>AVERAGE(ReturnData!J511:J521)</f>
        <v>3.0490909090909089E-2</v>
      </c>
      <c r="K511" s="16">
        <f>AVERAGE(ReturnData!K511:K521)</f>
        <v>1.6763636363636366E-2</v>
      </c>
      <c r="L511" s="16">
        <f>AVERAGE(ReturnData!L511:L521)</f>
        <v>2.3390909090909094E-2</v>
      </c>
      <c r="M511" s="16">
        <f>AVERAGE(ReturnData!M511:M521)</f>
        <v>9.690909090909092E-3</v>
      </c>
      <c r="N511" s="16">
        <f>AVERAGE(ReturnData!N511:N521)</f>
        <v>2.2472727272727269E-2</v>
      </c>
      <c r="O511" s="16">
        <f>AVERAGE(ReturnData!O511:O521)</f>
        <v>1.0245454545454545E-2</v>
      </c>
      <c r="P511" s="16">
        <f>AVERAGE(ReturnData!P511:P521)</f>
        <v>9.754545454545455E-3</v>
      </c>
      <c r="Q511" s="16">
        <f>AVERAGE(ReturnData!Q511:Q521)</f>
        <v>2.1590909090909091E-2</v>
      </c>
    </row>
    <row r="512" spans="1:17" x14ac:dyDescent="0.25">
      <c r="A512">
        <f>ReturnData!A524</f>
        <v>201707</v>
      </c>
      <c r="B512" s="16">
        <f>AVERAGE(ReturnData!B512:B522)</f>
        <v>3.2818181818181805E-3</v>
      </c>
      <c r="C512" s="16">
        <f>AVERAGE(ReturnData!C512:C522)</f>
        <v>7.8909090909090891E-3</v>
      </c>
      <c r="D512" s="16">
        <f>AVERAGE(ReturnData!D512:D522)</f>
        <v>-3.3090909090909091E-3</v>
      </c>
      <c r="E512" s="16">
        <f>AVERAGE(ReturnData!E512:E522)</f>
        <v>-4.2636363636363635E-3</v>
      </c>
      <c r="F512" s="16">
        <f>AVERAGE(ReturnData!F512:F522)</f>
        <v>1.398181818181818E-2</v>
      </c>
      <c r="G512" s="16">
        <f>AVERAGE(ReturnData!G512:G522)</f>
        <v>2.1372727272727269E-2</v>
      </c>
      <c r="H512" s="16">
        <f>AVERAGE(ReturnData!H512:H522)</f>
        <v>7.972727272727272E-3</v>
      </c>
      <c r="I512" s="16">
        <f>AVERAGE(ReturnData!I512:I522)</f>
        <v>1.3036363636363636E-2</v>
      </c>
      <c r="J512" s="16">
        <f>AVERAGE(ReturnData!J512:J522)</f>
        <v>2.3981818181818181E-2</v>
      </c>
      <c r="K512" s="16">
        <f>AVERAGE(ReturnData!K512:K522)</f>
        <v>1.9554545454545456E-2</v>
      </c>
      <c r="L512" s="16">
        <f>AVERAGE(ReturnData!L512:L522)</f>
        <v>2.6945454545454547E-2</v>
      </c>
      <c r="M512" s="16">
        <f>AVERAGE(ReturnData!M512:M522)</f>
        <v>1.2481818181818179E-2</v>
      </c>
      <c r="N512" s="16">
        <f>AVERAGE(ReturnData!N512:N522)</f>
        <v>2.582727272727273E-2</v>
      </c>
      <c r="O512" s="16">
        <f>AVERAGE(ReturnData!O512:O522)</f>
        <v>5.7090909090909102E-3</v>
      </c>
      <c r="P512" s="16">
        <f>AVERAGE(ReturnData!P512:P522)</f>
        <v>1.1054545454545456E-2</v>
      </c>
      <c r="Q512" s="16">
        <f>AVERAGE(ReturnData!Q512:Q522)</f>
        <v>2.5399999999999992E-2</v>
      </c>
    </row>
    <row r="513" spans="1:17" x14ac:dyDescent="0.25">
      <c r="A513">
        <f>ReturnData!A525</f>
        <v>201708</v>
      </c>
      <c r="B513" s="16">
        <f>AVERAGE(ReturnData!B513:B523)</f>
        <v>8.99999999999999E-4</v>
      </c>
      <c r="C513" s="16">
        <f>AVERAGE(ReturnData!C513:C523)</f>
        <v>6.9999999999999913E-4</v>
      </c>
      <c r="D513" s="16">
        <f>AVERAGE(ReturnData!D513:D523)</f>
        <v>-9.4545454545454663E-4</v>
      </c>
      <c r="E513" s="16">
        <f>AVERAGE(ReturnData!E513:E523)</f>
        <v>1.0909090909090918E-3</v>
      </c>
      <c r="F513" s="16">
        <f>AVERAGE(ReturnData!F513:F523)</f>
        <v>9.3909090909090904E-3</v>
      </c>
      <c r="G513" s="16">
        <f>AVERAGE(ReturnData!G513:G523)</f>
        <v>1.8163636363636368E-2</v>
      </c>
      <c r="H513" s="16">
        <f>AVERAGE(ReturnData!H513:H523)</f>
        <v>6.6090909090909082E-3</v>
      </c>
      <c r="I513" s="16">
        <f>AVERAGE(ReturnData!I513:I523)</f>
        <v>9.7545454545454567E-3</v>
      </c>
      <c r="J513" s="16">
        <f>AVERAGE(ReturnData!J513:J523)</f>
        <v>1.1327272727272727E-2</v>
      </c>
      <c r="K513" s="16">
        <f>AVERAGE(ReturnData!K513:K523)</f>
        <v>1.7281818181818183E-2</v>
      </c>
      <c r="L513" s="16">
        <f>AVERAGE(ReturnData!L513:L523)</f>
        <v>1.8609090909090908E-2</v>
      </c>
      <c r="M513" s="16">
        <f>AVERAGE(ReturnData!M513:M523)</f>
        <v>6.8181818181818205E-3</v>
      </c>
      <c r="N513" s="16">
        <f>AVERAGE(ReturnData!N513:N523)</f>
        <v>2.3727272727272729E-2</v>
      </c>
      <c r="O513" s="16">
        <f>AVERAGE(ReturnData!O513:O523)</f>
        <v>4.2090909090909106E-3</v>
      </c>
      <c r="P513" s="16">
        <f>AVERAGE(ReturnData!P513:P523)</f>
        <v>5.8363636363636361E-3</v>
      </c>
      <c r="Q513" s="16">
        <f>AVERAGE(ReturnData!Q513:Q523)</f>
        <v>2.7118181818181819E-2</v>
      </c>
    </row>
    <row r="514" spans="1:17" x14ac:dyDescent="0.25">
      <c r="A514">
        <f>ReturnData!A526</f>
        <v>201709</v>
      </c>
      <c r="B514" s="16">
        <f>AVERAGE(ReturnData!B514:B524)</f>
        <v>2.9454545454545441E-3</v>
      </c>
      <c r="C514" s="16">
        <f>AVERAGE(ReturnData!C514:C524)</f>
        <v>1.6581818181818184E-2</v>
      </c>
      <c r="D514" s="16">
        <f>AVERAGE(ReturnData!D514:D524)</f>
        <v>-7.0909090909090922E-4</v>
      </c>
      <c r="E514" s="16">
        <f>AVERAGE(ReturnData!E514:E524)</f>
        <v>1.41818181818182E-3</v>
      </c>
      <c r="F514" s="16">
        <f>AVERAGE(ReturnData!F514:F524)</f>
        <v>3.7363636363636366E-3</v>
      </c>
      <c r="G514" s="16">
        <f>AVERAGE(ReturnData!G514:G524)</f>
        <v>1.6954545454545455E-2</v>
      </c>
      <c r="H514" s="16">
        <f>AVERAGE(ReturnData!H514:H524)</f>
        <v>9.4545454545454551E-3</v>
      </c>
      <c r="I514" s="16">
        <f>AVERAGE(ReturnData!I514:I524)</f>
        <v>1.0418181818181819E-2</v>
      </c>
      <c r="J514" s="16">
        <f>AVERAGE(ReturnData!J514:J524)</f>
        <v>1.9490909090909093E-2</v>
      </c>
      <c r="K514" s="16">
        <f>AVERAGE(ReturnData!K514:K524)</f>
        <v>1.5727272727272725E-2</v>
      </c>
      <c r="L514" s="16">
        <f>AVERAGE(ReturnData!L514:L524)</f>
        <v>1.9190909090909092E-2</v>
      </c>
      <c r="M514" s="16">
        <f>AVERAGE(ReturnData!M514:M524)</f>
        <v>6.4818181818181832E-3</v>
      </c>
      <c r="N514" s="16">
        <f>AVERAGE(ReturnData!N514:N524)</f>
        <v>2.3672727272727269E-2</v>
      </c>
      <c r="O514" s="16">
        <f>AVERAGE(ReturnData!O514:O524)</f>
        <v>1.0354545454545455E-2</v>
      </c>
      <c r="P514" s="16">
        <f>AVERAGE(ReturnData!P514:P524)</f>
        <v>7.3000000000000009E-3</v>
      </c>
      <c r="Q514" s="16">
        <f>AVERAGE(ReturnData!Q514:Q524)</f>
        <v>2.4327272727272729E-2</v>
      </c>
    </row>
    <row r="515" spans="1:17" x14ac:dyDescent="0.25">
      <c r="A515">
        <f>ReturnData!A527</f>
        <v>201710</v>
      </c>
      <c r="B515" s="16">
        <f>AVERAGE(ReturnData!B515:B525)</f>
        <v>3.1181818181818168E-3</v>
      </c>
      <c r="C515" s="16">
        <f>AVERAGE(ReturnData!C515:C525)</f>
        <v>1.5100000000000001E-2</v>
      </c>
      <c r="D515" s="16">
        <f>AVERAGE(ReturnData!D515:D525)</f>
        <v>-7.9454545454545455E-3</v>
      </c>
      <c r="E515" s="16">
        <f>AVERAGE(ReturnData!E515:E525)</f>
        <v>3.4454545454545458E-3</v>
      </c>
      <c r="F515" s="16">
        <f>AVERAGE(ReturnData!F515:F525)</f>
        <v>4.4363636363636376E-3</v>
      </c>
      <c r="G515" s="16">
        <f>AVERAGE(ReturnData!G515:G525)</f>
        <v>1.9881818181818185E-2</v>
      </c>
      <c r="H515" s="16">
        <f>AVERAGE(ReturnData!H515:H525)</f>
        <v>1.0954545454545455E-2</v>
      </c>
      <c r="I515" s="16">
        <f>AVERAGE(ReturnData!I515:I525)</f>
        <v>1.3418181818181819E-2</v>
      </c>
      <c r="J515" s="16">
        <f>AVERAGE(ReturnData!J515:J525)</f>
        <v>1.8772727272727274E-2</v>
      </c>
      <c r="K515" s="16">
        <f>AVERAGE(ReturnData!K515:K525)</f>
        <v>1.2618181818181818E-2</v>
      </c>
      <c r="L515" s="16">
        <f>AVERAGE(ReturnData!L515:L525)</f>
        <v>1.7509090909090915E-2</v>
      </c>
      <c r="M515" s="16">
        <f>AVERAGE(ReturnData!M515:M525)</f>
        <v>7.6454545454545464E-3</v>
      </c>
      <c r="N515" s="16">
        <f>AVERAGE(ReturnData!N515:N525)</f>
        <v>2.4E-2</v>
      </c>
      <c r="O515" s="16">
        <f>AVERAGE(ReturnData!O515:O525)</f>
        <v>1.0663636363636365E-2</v>
      </c>
      <c r="P515" s="16">
        <f>AVERAGE(ReturnData!P515:P525)</f>
        <v>5.8363636363636369E-3</v>
      </c>
      <c r="Q515" s="16">
        <f>AVERAGE(ReturnData!Q515:Q525)</f>
        <v>2.4509090909090911E-2</v>
      </c>
    </row>
    <row r="516" spans="1:17" x14ac:dyDescent="0.25">
      <c r="A516">
        <f>ReturnData!A528</f>
        <v>201711</v>
      </c>
      <c r="B516" s="16">
        <f>AVERAGE(ReturnData!B516:B526)</f>
        <v>3.4999999999999988E-3</v>
      </c>
      <c r="C516" s="16">
        <f>AVERAGE(ReturnData!C516:C526)</f>
        <v>1.4190909090909087E-2</v>
      </c>
      <c r="D516" s="16">
        <f>AVERAGE(ReturnData!D516:D526)</f>
        <v>4.845454545454546E-3</v>
      </c>
      <c r="E516" s="16">
        <f>AVERAGE(ReturnData!E516:E526)</f>
        <v>9.5727272727272727E-3</v>
      </c>
      <c r="F516" s="16">
        <f>AVERAGE(ReturnData!F516:F526)</f>
        <v>1.2509090909090909E-2</v>
      </c>
      <c r="G516" s="16">
        <f>AVERAGE(ReturnData!G516:G526)</f>
        <v>2.6645454545454549E-2</v>
      </c>
      <c r="H516" s="16">
        <f>AVERAGE(ReturnData!H516:H526)</f>
        <v>1.4863636363636364E-2</v>
      </c>
      <c r="I516" s="16">
        <f>AVERAGE(ReturnData!I516:I526)</f>
        <v>2.5809090909090907E-2</v>
      </c>
      <c r="J516" s="16">
        <f>AVERAGE(ReturnData!J516:J526)</f>
        <v>2.4818181818181819E-2</v>
      </c>
      <c r="K516" s="16">
        <f>AVERAGE(ReturnData!K516:K526)</f>
        <v>2.2063636363636365E-2</v>
      </c>
      <c r="L516" s="16">
        <f>AVERAGE(ReturnData!L516:L526)</f>
        <v>2.5709090909090907E-2</v>
      </c>
      <c r="M516" s="16">
        <f>AVERAGE(ReturnData!M516:M526)</f>
        <v>1.7627272727272728E-2</v>
      </c>
      <c r="N516" s="16">
        <f>AVERAGE(ReturnData!N516:N526)</f>
        <v>2.7881818181818178E-2</v>
      </c>
      <c r="O516" s="16">
        <f>AVERAGE(ReturnData!O516:O526)</f>
        <v>9.4999999999999998E-3</v>
      </c>
      <c r="P516" s="16">
        <f>AVERAGE(ReturnData!P516:P526)</f>
        <v>9.4181818181818186E-3</v>
      </c>
      <c r="Q516" s="16">
        <f>AVERAGE(ReturnData!Q516:Q526)</f>
        <v>2.7899999999999994E-2</v>
      </c>
    </row>
    <row r="517" spans="1:17" x14ac:dyDescent="0.25">
      <c r="A517">
        <f>ReturnData!A529</f>
        <v>201712</v>
      </c>
      <c r="B517" s="16">
        <f>AVERAGE(ReturnData!B517:B527)</f>
        <v>8.3181818181818166E-3</v>
      </c>
      <c r="C517" s="16">
        <f>AVERAGE(ReturnData!C517:C527)</f>
        <v>3.7363636363636353E-3</v>
      </c>
      <c r="D517" s="16">
        <f>AVERAGE(ReturnData!D517:D527)</f>
        <v>-3.4454545454545436E-3</v>
      </c>
      <c r="E517" s="16">
        <f>AVERAGE(ReturnData!E517:E527)</f>
        <v>1.0618181818181818E-2</v>
      </c>
      <c r="F517" s="16">
        <f>AVERAGE(ReturnData!F517:F527)</f>
        <v>3.8636363636363651E-3</v>
      </c>
      <c r="G517" s="16">
        <f>AVERAGE(ReturnData!G517:G527)</f>
        <v>2.3818181818181818E-2</v>
      </c>
      <c r="H517" s="16">
        <f>AVERAGE(ReturnData!H517:H527)</f>
        <v>1.1936363636363636E-2</v>
      </c>
      <c r="I517" s="16">
        <f>AVERAGE(ReturnData!I517:I527)</f>
        <v>2.2654545454545452E-2</v>
      </c>
      <c r="J517" s="16">
        <f>AVERAGE(ReturnData!J517:J527)</f>
        <v>7.1818181818181833E-3</v>
      </c>
      <c r="K517" s="16">
        <f>AVERAGE(ReturnData!K517:K527)</f>
        <v>1.7254545454545456E-2</v>
      </c>
      <c r="L517" s="16">
        <f>AVERAGE(ReturnData!L517:L527)</f>
        <v>2.5918181818181819E-2</v>
      </c>
      <c r="M517" s="16">
        <f>AVERAGE(ReturnData!M517:M527)</f>
        <v>1.2972727272727273E-2</v>
      </c>
      <c r="N517" s="16">
        <f>AVERAGE(ReturnData!N517:N527)</f>
        <v>1.7472727272727272E-2</v>
      </c>
      <c r="O517" s="16">
        <f>AVERAGE(ReturnData!O517:O527)</f>
        <v>1.4645454545454547E-2</v>
      </c>
      <c r="P517" s="16">
        <f>AVERAGE(ReturnData!P517:P527)</f>
        <v>1.0445454545454548E-2</v>
      </c>
      <c r="Q517" s="16">
        <f>AVERAGE(ReturnData!Q517:Q527)</f>
        <v>1.8909090909090907E-2</v>
      </c>
    </row>
    <row r="518" spans="1:17" x14ac:dyDescent="0.25">
      <c r="A518">
        <f>ReturnData!A530</f>
        <v>201801</v>
      </c>
      <c r="B518" s="16">
        <f>AVERAGE(ReturnData!B518:B528)</f>
        <v>8.3454545454545448E-3</v>
      </c>
      <c r="C518" s="16">
        <f>AVERAGE(ReturnData!C518:C528)</f>
        <v>6.3545454545454539E-3</v>
      </c>
      <c r="D518" s="16">
        <f>AVERAGE(ReturnData!D518:D528)</f>
        <v>-2.6999999999999993E-3</v>
      </c>
      <c r="E518" s="16">
        <f>AVERAGE(ReturnData!E518:E528)</f>
        <v>1.7763636363636363E-2</v>
      </c>
      <c r="F518" s="16">
        <f>AVERAGE(ReturnData!F518:F528)</f>
        <v>7.3636363636363647E-3</v>
      </c>
      <c r="G518" s="16">
        <f>AVERAGE(ReturnData!G518:G528)</f>
        <v>2.5345454545454546E-2</v>
      </c>
      <c r="H518" s="16">
        <f>AVERAGE(ReturnData!H518:H528)</f>
        <v>1.2490909090909092E-2</v>
      </c>
      <c r="I518" s="16">
        <f>AVERAGE(ReturnData!I518:I528)</f>
        <v>2.7790909090909088E-2</v>
      </c>
      <c r="J518" s="16">
        <f>AVERAGE(ReturnData!J518:J528)</f>
        <v>7.8727272727272726E-3</v>
      </c>
      <c r="K518" s="16">
        <f>AVERAGE(ReturnData!K518:K528)</f>
        <v>1.7627272727272728E-2</v>
      </c>
      <c r="L518" s="16">
        <f>AVERAGE(ReturnData!L518:L528)</f>
        <v>2.7381818181818184E-2</v>
      </c>
      <c r="M518" s="16">
        <f>AVERAGE(ReturnData!M518:M528)</f>
        <v>1.240909090909091E-2</v>
      </c>
      <c r="N518" s="16">
        <f>AVERAGE(ReturnData!N518:N528)</f>
        <v>2.2063636363636362E-2</v>
      </c>
      <c r="O518" s="16">
        <f>AVERAGE(ReturnData!O518:O528)</f>
        <v>1.3563636363636363E-2</v>
      </c>
      <c r="P518" s="16">
        <f>AVERAGE(ReturnData!P518:P528)</f>
        <v>1.9436363636363637E-2</v>
      </c>
      <c r="Q518" s="16">
        <f>AVERAGE(ReturnData!Q518:Q528)</f>
        <v>1.9E-2</v>
      </c>
    </row>
    <row r="519" spans="1:17" x14ac:dyDescent="0.25">
      <c r="A519">
        <f>ReturnData!A531</f>
        <v>201802</v>
      </c>
      <c r="B519" s="16">
        <f>AVERAGE(ReturnData!B519:B529)</f>
        <v>9.2454545454545446E-3</v>
      </c>
      <c r="C519" s="16">
        <f>AVERAGE(ReturnData!C519:C529)</f>
        <v>6.981818181818181E-3</v>
      </c>
      <c r="D519" s="16">
        <f>AVERAGE(ReturnData!D519:D529)</f>
        <v>5.7272727272727275E-3</v>
      </c>
      <c r="E519" s="16">
        <f>AVERAGE(ReturnData!E519:E529)</f>
        <v>2.0500000000000001E-2</v>
      </c>
      <c r="F519" s="16">
        <f>AVERAGE(ReturnData!F519:F529)</f>
        <v>6.1363636363636377E-3</v>
      </c>
      <c r="G519" s="16">
        <f>AVERAGE(ReturnData!G519:G529)</f>
        <v>2.3181818181818178E-2</v>
      </c>
      <c r="H519" s="16">
        <f>AVERAGE(ReturnData!H519:H529)</f>
        <v>1.2718181818181821E-2</v>
      </c>
      <c r="I519" s="16">
        <f>AVERAGE(ReturnData!I519:I529)</f>
        <v>2.7663636363636366E-2</v>
      </c>
      <c r="J519" s="16">
        <f>AVERAGE(ReturnData!J519:J529)</f>
        <v>1.670909090909091E-2</v>
      </c>
      <c r="K519" s="16">
        <f>AVERAGE(ReturnData!K519:K529)</f>
        <v>1.6299999999999999E-2</v>
      </c>
      <c r="L519" s="16">
        <f>AVERAGE(ReturnData!L519:L529)</f>
        <v>2.4736363636363643E-2</v>
      </c>
      <c r="M519" s="16">
        <f>AVERAGE(ReturnData!M519:M529)</f>
        <v>9.3272727272727275E-3</v>
      </c>
      <c r="N519" s="16">
        <f>AVERAGE(ReturnData!N519:N529)</f>
        <v>2.3136363636363632E-2</v>
      </c>
      <c r="O519" s="16">
        <f>AVERAGE(ReturnData!O519:O529)</f>
        <v>8.0636363636363631E-3</v>
      </c>
      <c r="P519" s="16">
        <f>AVERAGE(ReturnData!P519:P529)</f>
        <v>2.0072727272727273E-2</v>
      </c>
      <c r="Q519" s="16">
        <f>AVERAGE(ReturnData!Q519:Q529)</f>
        <v>1.9463636363636364E-2</v>
      </c>
    </row>
    <row r="520" spans="1:17" x14ac:dyDescent="0.25">
      <c r="A520">
        <f>ReturnData!A532</f>
        <v>201803</v>
      </c>
      <c r="B520" s="16">
        <f>AVERAGE(ReturnData!B520:B530)</f>
        <v>8.6090909090909083E-3</v>
      </c>
      <c r="C520" s="16">
        <f>AVERAGE(ReturnData!C520:C530)</f>
        <v>1.6872727272727272E-2</v>
      </c>
      <c r="D520" s="16">
        <f>AVERAGE(ReturnData!D520:D530)</f>
        <v>1.0554545454545457E-2</v>
      </c>
      <c r="E520" s="16">
        <f>AVERAGE(ReturnData!E520:E530)</f>
        <v>2.3863636363636365E-2</v>
      </c>
      <c r="F520" s="16">
        <f>AVERAGE(ReturnData!F520:F530)</f>
        <v>5.536363636363637E-3</v>
      </c>
      <c r="G520" s="16">
        <f>AVERAGE(ReturnData!G520:G530)</f>
        <v>2.1663636363636361E-2</v>
      </c>
      <c r="H520" s="16">
        <f>AVERAGE(ReturnData!H520:H530)</f>
        <v>7.0363636363636375E-3</v>
      </c>
      <c r="I520" s="16">
        <f>AVERAGE(ReturnData!I520:I530)</f>
        <v>2.8136363636363636E-2</v>
      </c>
      <c r="J520" s="16">
        <f>AVERAGE(ReturnData!J520:J530)</f>
        <v>1.1654545454545452E-2</v>
      </c>
      <c r="K520" s="16">
        <f>AVERAGE(ReturnData!K520:K530)</f>
        <v>1.7090909090909091E-2</v>
      </c>
      <c r="L520" s="16">
        <f>AVERAGE(ReturnData!L520:L530)</f>
        <v>2.7918181818181818E-2</v>
      </c>
      <c r="M520" s="16">
        <f>AVERAGE(ReturnData!M520:M530)</f>
        <v>1.3381818181818182E-2</v>
      </c>
      <c r="N520" s="16">
        <f>AVERAGE(ReturnData!N520:N530)</f>
        <v>2.5245454545454547E-2</v>
      </c>
      <c r="O520" s="16">
        <f>AVERAGE(ReturnData!O520:O530)</f>
        <v>1.8909090909090915E-3</v>
      </c>
      <c r="P520" s="16">
        <f>AVERAGE(ReturnData!P520:P530)</f>
        <v>2.6854545454545454E-2</v>
      </c>
      <c r="Q520" s="16">
        <f>AVERAGE(ReturnData!Q520:Q530)</f>
        <v>2.0890909090909092E-2</v>
      </c>
    </row>
    <row r="521" spans="1:17" x14ac:dyDescent="0.25">
      <c r="A521">
        <f>ReturnData!A533</f>
        <v>201804</v>
      </c>
      <c r="B521" s="16">
        <f>AVERAGE(ReturnData!B521:B531)</f>
        <v>2.0090909090909087E-3</v>
      </c>
      <c r="C521" s="16">
        <f>AVERAGE(ReturnData!C521:C531)</f>
        <v>1.6790909090909089E-2</v>
      </c>
      <c r="D521" s="16">
        <f>AVERAGE(ReturnData!D521:D531)</f>
        <v>1.7636363636363637E-3</v>
      </c>
      <c r="E521" s="16">
        <f>AVERAGE(ReturnData!E521:E531)</f>
        <v>2.0436363636363638E-2</v>
      </c>
      <c r="F521" s="16">
        <f>AVERAGE(ReturnData!F521:F531)</f>
        <v>4.3636363636363686E-4</v>
      </c>
      <c r="G521" s="16">
        <f>AVERAGE(ReturnData!G521:G531)</f>
        <v>1.4718181818181818E-2</v>
      </c>
      <c r="H521" s="16">
        <f>AVERAGE(ReturnData!H521:H531)</f>
        <v>2.0272727272727278E-3</v>
      </c>
      <c r="I521" s="16">
        <f>AVERAGE(ReturnData!I521:I531)</f>
        <v>1.6409090909090908E-2</v>
      </c>
      <c r="J521" s="16">
        <f>AVERAGE(ReturnData!J521:J531)</f>
        <v>1.5463636363636363E-2</v>
      </c>
      <c r="K521" s="16">
        <f>AVERAGE(ReturnData!K521:K531)</f>
        <v>1.091818181818182E-2</v>
      </c>
      <c r="L521" s="16">
        <f>AVERAGE(ReturnData!L521:L531)</f>
        <v>2.5881818181818183E-2</v>
      </c>
      <c r="M521" s="16">
        <f>AVERAGE(ReturnData!M521:M531)</f>
        <v>8.0454545454545466E-3</v>
      </c>
      <c r="N521" s="16">
        <f>AVERAGE(ReturnData!N521:N531)</f>
        <v>2.4363636363636365E-2</v>
      </c>
      <c r="O521" s="16">
        <f>AVERAGE(ReturnData!O521:O531)</f>
        <v>-2.5727272727272734E-3</v>
      </c>
      <c r="P521" s="16">
        <f>AVERAGE(ReturnData!P521:P531)</f>
        <v>2.3300000000000001E-2</v>
      </c>
      <c r="Q521" s="16">
        <f>AVERAGE(ReturnData!Q521:Q531)</f>
        <v>2.0654545454545457E-2</v>
      </c>
    </row>
    <row r="522" spans="1:17" x14ac:dyDescent="0.25">
      <c r="A522">
        <f>ReturnData!A534</f>
        <v>201805</v>
      </c>
      <c r="B522" s="16">
        <f>AVERAGE(ReturnData!B522:B532)</f>
        <v>8.1818181818182263E-5</v>
      </c>
      <c r="C522" s="16">
        <f>AVERAGE(ReturnData!C522:C532)</f>
        <v>1.7336363636363636E-2</v>
      </c>
      <c r="D522" s="16">
        <f>AVERAGE(ReturnData!D522:D532)</f>
        <v>7.0727272727272722E-3</v>
      </c>
      <c r="E522" s="16">
        <f>AVERAGE(ReturnData!E522:E532)</f>
        <v>2.1436363636363639E-2</v>
      </c>
      <c r="F522" s="16">
        <f>AVERAGE(ReturnData!F522:F532)</f>
        <v>-4.7909090909090896E-3</v>
      </c>
      <c r="G522" s="16">
        <f>AVERAGE(ReturnData!G522:G532)</f>
        <v>1.2490909090909091E-2</v>
      </c>
      <c r="H522" s="16">
        <f>AVERAGE(ReturnData!H522:H532)</f>
        <v>2.3636363636363638E-3</v>
      </c>
      <c r="I522" s="16">
        <f>AVERAGE(ReturnData!I522:I532)</f>
        <v>1.2690909090909093E-2</v>
      </c>
      <c r="J522" s="16">
        <f>AVERAGE(ReturnData!J522:J532)</f>
        <v>1.0636363636363638E-2</v>
      </c>
      <c r="K522" s="16">
        <f>AVERAGE(ReturnData!K522:K532)</f>
        <v>7.9818181818181819E-3</v>
      </c>
      <c r="L522" s="16">
        <f>AVERAGE(ReturnData!L522:L532)</f>
        <v>2.3090909090909092E-2</v>
      </c>
      <c r="M522" s="16">
        <f>AVERAGE(ReturnData!M522:M532)</f>
        <v>3.1272727272727298E-3</v>
      </c>
      <c r="N522" s="16">
        <f>AVERAGE(ReturnData!N522:N532)</f>
        <v>1.9409090909090907E-2</v>
      </c>
      <c r="O522" s="16">
        <f>AVERAGE(ReturnData!O522:O532)</f>
        <v>9.09090909090872E-6</v>
      </c>
      <c r="P522" s="16">
        <f>AVERAGE(ReturnData!P522:P532)</f>
        <v>1.7109090909090911E-2</v>
      </c>
      <c r="Q522" s="16">
        <f>AVERAGE(ReturnData!Q522:Q532)</f>
        <v>1.7372727272727272E-2</v>
      </c>
    </row>
    <row r="523" spans="1:17" x14ac:dyDescent="0.25">
      <c r="A523">
        <f>ReturnData!A535</f>
        <v>201806</v>
      </c>
      <c r="B523" s="16">
        <f>AVERAGE(ReturnData!B523:B533)</f>
        <v>-3.8727272727272725E-3</v>
      </c>
      <c r="C523" s="16">
        <f>AVERAGE(ReturnData!C523:C533)</f>
        <v>1.6409090909090908E-2</v>
      </c>
      <c r="D523" s="16">
        <f>AVERAGE(ReturnData!D523:D533)</f>
        <v>1.9372727272727271E-2</v>
      </c>
      <c r="E523" s="16">
        <f>AVERAGE(ReturnData!E523:E533)</f>
        <v>2.4727272727272723E-2</v>
      </c>
      <c r="F523" s="16">
        <f>AVERAGE(ReturnData!F523:F533)</f>
        <v>-6.263636363636361E-3</v>
      </c>
      <c r="G523" s="16">
        <f>AVERAGE(ReturnData!G523:G533)</f>
        <v>1.4990909090909089E-2</v>
      </c>
      <c r="H523" s="16">
        <f>AVERAGE(ReturnData!H523:H533)</f>
        <v>-3.4545454545454536E-3</v>
      </c>
      <c r="I523" s="16">
        <f>AVERAGE(ReturnData!I523:I533)</f>
        <v>1.4090909090909088E-2</v>
      </c>
      <c r="J523" s="16">
        <f>AVERAGE(ReturnData!J523:J533)</f>
        <v>1.8163636363636364E-2</v>
      </c>
      <c r="K523" s="16">
        <f>AVERAGE(ReturnData!K523:K533)</f>
        <v>5.3363636363636356E-3</v>
      </c>
      <c r="L523" s="16">
        <f>AVERAGE(ReturnData!L523:L533)</f>
        <v>1.6899999999999998E-2</v>
      </c>
      <c r="M523" s="16">
        <f>AVERAGE(ReturnData!M523:M533)</f>
        <v>3.9909090909090936E-3</v>
      </c>
      <c r="N523" s="16">
        <f>AVERAGE(ReturnData!N523:N533)</f>
        <v>1.5881818181818181E-2</v>
      </c>
      <c r="O523" s="16">
        <f>AVERAGE(ReturnData!O523:O533)</f>
        <v>3.2727272727272656E-4</v>
      </c>
      <c r="P523" s="16">
        <f>AVERAGE(ReturnData!P523:P533)</f>
        <v>1.9163636363636362E-2</v>
      </c>
      <c r="Q523" s="16">
        <f>AVERAGE(ReturnData!Q523:Q533)</f>
        <v>1.9445454545454547E-2</v>
      </c>
    </row>
    <row r="524" spans="1:17" x14ac:dyDescent="0.25">
      <c r="A524">
        <f>ReturnData!A536</f>
        <v>201807</v>
      </c>
      <c r="B524" s="16">
        <f>AVERAGE(ReturnData!B524:B534)</f>
        <v>-2.0090909090909087E-3</v>
      </c>
      <c r="C524" s="16">
        <f>AVERAGE(ReturnData!C524:C534)</f>
        <v>2.0463636363636364E-2</v>
      </c>
      <c r="D524" s="16">
        <f>AVERAGE(ReturnData!D524:D534)</f>
        <v>2.2627272727272722E-2</v>
      </c>
      <c r="E524" s="16">
        <f>AVERAGE(ReturnData!E524:E534)</f>
        <v>2.0181818181818183E-2</v>
      </c>
      <c r="F524" s="16">
        <f>AVERAGE(ReturnData!F524:F534)</f>
        <v>-7.5181818181818153E-3</v>
      </c>
      <c r="G524" s="16">
        <f>AVERAGE(ReturnData!G524:G534)</f>
        <v>1.6127272727272726E-2</v>
      </c>
      <c r="H524" s="16">
        <f>AVERAGE(ReturnData!H524:H534)</f>
        <v>-6.1999999999999998E-3</v>
      </c>
      <c r="I524" s="16">
        <f>AVERAGE(ReturnData!I524:I534)</f>
        <v>1.4836363636363635E-2</v>
      </c>
      <c r="J524" s="16">
        <f>AVERAGE(ReturnData!J524:J534)</f>
        <v>2.3427272727272731E-2</v>
      </c>
      <c r="K524" s="16">
        <f>AVERAGE(ReturnData!K524:K534)</f>
        <v>5.8000000000000005E-3</v>
      </c>
      <c r="L524" s="16">
        <f>AVERAGE(ReturnData!L524:L534)</f>
        <v>2.3399999999999997E-2</v>
      </c>
      <c r="M524" s="16">
        <f>AVERAGE(ReturnData!M524:M534)</f>
        <v>6.9363636363636381E-3</v>
      </c>
      <c r="N524" s="16">
        <f>AVERAGE(ReturnData!N524:N534)</f>
        <v>1.7345454545454549E-2</v>
      </c>
      <c r="O524" s="16">
        <f>AVERAGE(ReturnData!O524:O534)</f>
        <v>2.2636363636363635E-3</v>
      </c>
      <c r="P524" s="16">
        <f>AVERAGE(ReturnData!P524:P534)</f>
        <v>2.1381818181818179E-2</v>
      </c>
      <c r="Q524" s="16">
        <f>AVERAGE(ReturnData!Q524:Q534)</f>
        <v>1.438181818181818E-2</v>
      </c>
    </row>
    <row r="525" spans="1:17" x14ac:dyDescent="0.25">
      <c r="A525">
        <f>ReturnData!A537</f>
        <v>201808</v>
      </c>
      <c r="B525" s="16">
        <f>AVERAGE(ReturnData!B525:B535)</f>
        <v>1.1363636363636367E-3</v>
      </c>
      <c r="C525" s="16">
        <f>AVERAGE(ReturnData!C525:C535)</f>
        <v>1.1654545454545452E-2</v>
      </c>
      <c r="D525" s="16">
        <f>AVERAGE(ReturnData!D525:D535)</f>
        <v>2.1327272727272726E-2</v>
      </c>
      <c r="E525" s="16">
        <f>AVERAGE(ReturnData!E525:E535)</f>
        <v>2.4790909090909086E-2</v>
      </c>
      <c r="F525" s="16">
        <f>AVERAGE(ReturnData!F525:F535)</f>
        <v>-1.454545454545454E-3</v>
      </c>
      <c r="G525" s="16">
        <f>AVERAGE(ReturnData!G525:G535)</f>
        <v>1.3627272727272722E-2</v>
      </c>
      <c r="H525" s="16">
        <f>AVERAGE(ReturnData!H525:H535)</f>
        <v>-4.3454545454545447E-3</v>
      </c>
      <c r="I525" s="16">
        <f>AVERAGE(ReturnData!I525:I535)</f>
        <v>1.7936363636363632E-2</v>
      </c>
      <c r="J525" s="16">
        <f>AVERAGE(ReturnData!J525:J535)</f>
        <v>1.7563636363636365E-2</v>
      </c>
      <c r="K525" s="16">
        <f>AVERAGE(ReturnData!K525:K535)</f>
        <v>1.0818181818181818E-3</v>
      </c>
      <c r="L525" s="16">
        <f>AVERAGE(ReturnData!L525:L535)</f>
        <v>1.7818181818181813E-2</v>
      </c>
      <c r="M525" s="16">
        <f>AVERAGE(ReturnData!M525:M535)</f>
        <v>9.3909090909090921E-3</v>
      </c>
      <c r="N525" s="16">
        <f>AVERAGE(ReturnData!N525:N535)</f>
        <v>1.400909090909091E-2</v>
      </c>
      <c r="O525" s="16">
        <f>AVERAGE(ReturnData!O525:O535)</f>
        <v>1.9181818181818169E-3</v>
      </c>
      <c r="P525" s="16">
        <f>AVERAGE(ReturnData!P525:P535)</f>
        <v>2.3654545454545452E-2</v>
      </c>
      <c r="Q525" s="16">
        <f>AVERAGE(ReturnData!Q525:Q535)</f>
        <v>1.1772727272727273E-2</v>
      </c>
    </row>
    <row r="526" spans="1:17" x14ac:dyDescent="0.25">
      <c r="A526">
        <f>ReturnData!A538</f>
        <v>201809</v>
      </c>
      <c r="B526" s="16">
        <f>AVERAGE(ReturnData!B526:B536)</f>
        <v>4.8818181818181816E-3</v>
      </c>
      <c r="C526" s="16">
        <f>AVERAGE(ReturnData!C526:C536)</f>
        <v>9.1636363636363651E-3</v>
      </c>
      <c r="D526" s="16">
        <f>AVERAGE(ReturnData!D526:D536)</f>
        <v>2.6954545454545453E-2</v>
      </c>
      <c r="E526" s="16">
        <f>AVERAGE(ReturnData!E526:E536)</f>
        <v>2.871818181818182E-2</v>
      </c>
      <c r="F526" s="16">
        <f>AVERAGE(ReturnData!F526:F536)</f>
        <v>4.0181818181818183E-3</v>
      </c>
      <c r="G526" s="16">
        <f>AVERAGE(ReturnData!G526:G536)</f>
        <v>1.6181818181818179E-2</v>
      </c>
      <c r="H526" s="16">
        <f>AVERAGE(ReturnData!H526:H536)</f>
        <v>9.6363636363636475E-4</v>
      </c>
      <c r="I526" s="16">
        <f>AVERAGE(ReturnData!I526:I536)</f>
        <v>2.0309090909090909E-2</v>
      </c>
      <c r="J526" s="16">
        <f>AVERAGE(ReturnData!J526:J536)</f>
        <v>1.9909090909090911E-2</v>
      </c>
      <c r="K526" s="16">
        <f>AVERAGE(ReturnData!K526:K536)</f>
        <v>9.7999999999999979E-3</v>
      </c>
      <c r="L526" s="16">
        <f>AVERAGE(ReturnData!L526:L536)</f>
        <v>1.9799999999999998E-2</v>
      </c>
      <c r="M526" s="16">
        <f>AVERAGE(ReturnData!M526:M536)</f>
        <v>7.9909090909090919E-3</v>
      </c>
      <c r="N526" s="16">
        <f>AVERAGE(ReturnData!N526:N536)</f>
        <v>1.945454545454545E-2</v>
      </c>
      <c r="O526" s="16">
        <f>AVERAGE(ReturnData!O526:O536)</f>
        <v>1.4818181818181807E-3</v>
      </c>
      <c r="P526" s="16">
        <f>AVERAGE(ReturnData!P526:P536)</f>
        <v>2.7745454545454549E-2</v>
      </c>
      <c r="Q526" s="16">
        <f>AVERAGE(ReturnData!Q526:Q536)</f>
        <v>1.6809090909090909E-2</v>
      </c>
    </row>
    <row r="527" spans="1:17" x14ac:dyDescent="0.25">
      <c r="A527">
        <f>ReturnData!A539</f>
        <v>201810</v>
      </c>
      <c r="B527" s="16">
        <f>AVERAGE(ReturnData!B527:B537)</f>
        <v>4.6818181818181811E-3</v>
      </c>
      <c r="C527" s="16">
        <f>AVERAGE(ReturnData!C527:C537)</f>
        <v>1.463636363636364E-3</v>
      </c>
      <c r="D527" s="16">
        <f>AVERAGE(ReturnData!D527:D537)</f>
        <v>1.4327272727272728E-2</v>
      </c>
      <c r="E527" s="16">
        <f>AVERAGE(ReturnData!E527:E537)</f>
        <v>3.2136363636363637E-2</v>
      </c>
      <c r="F527" s="16">
        <f>AVERAGE(ReturnData!F527:F537)</f>
        <v>1.8636363636363627E-3</v>
      </c>
      <c r="G527" s="16">
        <f>AVERAGE(ReturnData!G527:G537)</f>
        <v>9.518181818181818E-3</v>
      </c>
      <c r="H527" s="16">
        <f>AVERAGE(ReturnData!H527:H537)</f>
        <v>3.0636363636363643E-3</v>
      </c>
      <c r="I527" s="16">
        <f>AVERAGE(ReturnData!I527:I537)</f>
        <v>1.5154545454545455E-2</v>
      </c>
      <c r="J527" s="16">
        <f>AVERAGE(ReturnData!J527:J537)</f>
        <v>1.3581818181818183E-2</v>
      </c>
      <c r="K527" s="16">
        <f>AVERAGE(ReturnData!K527:K537)</f>
        <v>5.6909090909090911E-3</v>
      </c>
      <c r="L527" s="16">
        <f>AVERAGE(ReturnData!L527:L537)</f>
        <v>1.7872727272727273E-2</v>
      </c>
      <c r="M527" s="16">
        <f>AVERAGE(ReturnData!M527:M537)</f>
        <v>2.1636363636363645E-3</v>
      </c>
      <c r="N527" s="16">
        <f>AVERAGE(ReturnData!N527:N537)</f>
        <v>1.5672727272727269E-2</v>
      </c>
      <c r="O527" s="16">
        <f>AVERAGE(ReturnData!O527:O537)</f>
        <v>4.0999999999999995E-3</v>
      </c>
      <c r="P527" s="16">
        <f>AVERAGE(ReturnData!P527:P537)</f>
        <v>3.5436363636363641E-2</v>
      </c>
      <c r="Q527" s="16">
        <f>AVERAGE(ReturnData!Q527:Q537)</f>
        <v>1.4236363636363636E-2</v>
      </c>
    </row>
    <row r="528" spans="1:17" x14ac:dyDescent="0.25">
      <c r="A528">
        <f>ReturnData!A540</f>
        <v>201811</v>
      </c>
      <c r="B528" s="16">
        <f>AVERAGE(ReturnData!B528:B538)</f>
        <v>3.4818181818181818E-3</v>
      </c>
      <c r="C528" s="16">
        <f>AVERAGE(ReturnData!C528:C538)</f>
        <v>-1.6636363636363663E-3</v>
      </c>
      <c r="D528" s="16">
        <f>AVERAGE(ReturnData!D528:D538)</f>
        <v>1.7090909090909087E-2</v>
      </c>
      <c r="E528" s="16">
        <f>AVERAGE(ReturnData!E528:E538)</f>
        <v>2.9918181818181819E-2</v>
      </c>
      <c r="F528" s="16">
        <f>AVERAGE(ReturnData!F528:F538)</f>
        <v>4.1454545454545442E-3</v>
      </c>
      <c r="G528" s="16">
        <f>AVERAGE(ReturnData!G528:G538)</f>
        <v>2.3636363636363638E-3</v>
      </c>
      <c r="H528" s="16">
        <f>AVERAGE(ReturnData!H528:H538)</f>
        <v>9.0727272727272722E-3</v>
      </c>
      <c r="I528" s="16">
        <f>AVERAGE(ReturnData!I528:I538)</f>
        <v>1.1590909090909089E-2</v>
      </c>
      <c r="J528" s="16">
        <f>AVERAGE(ReturnData!J528:J538)</f>
        <v>1.0927272727272728E-2</v>
      </c>
      <c r="K528" s="16">
        <f>AVERAGE(ReturnData!K528:K538)</f>
        <v>8.1727272727272742E-3</v>
      </c>
      <c r="L528" s="16">
        <f>AVERAGE(ReturnData!L528:L538)</f>
        <v>1.2418181818181821E-2</v>
      </c>
      <c r="M528" s="16">
        <f>AVERAGE(ReturnData!M528:M538)</f>
        <v>-2.5272727272727261E-3</v>
      </c>
      <c r="N528" s="16">
        <f>AVERAGE(ReturnData!N528:N538)</f>
        <v>1.9172727272727272E-2</v>
      </c>
      <c r="O528" s="16">
        <f>AVERAGE(ReturnData!O528:O538)</f>
        <v>8.4545454545454366E-4</v>
      </c>
      <c r="P528" s="16">
        <f>AVERAGE(ReturnData!P528:P538)</f>
        <v>3.2300000000000002E-2</v>
      </c>
      <c r="Q528" s="16">
        <f>AVERAGE(ReturnData!Q528:Q538)</f>
        <v>9.2999999999999975E-3</v>
      </c>
    </row>
    <row r="529" spans="1:17" x14ac:dyDescent="0.25">
      <c r="A529">
        <f>ReturnData!A541</f>
        <v>201812</v>
      </c>
      <c r="B529" s="16">
        <f>AVERAGE(ReturnData!B529:B539)</f>
        <v>-3.9090909090909101E-4</v>
      </c>
      <c r="C529" s="16">
        <f>AVERAGE(ReturnData!C529:C539)</f>
        <v>-1.0981818181818185E-2</v>
      </c>
      <c r="D529" s="16">
        <f>AVERAGE(ReturnData!D529:D539)</f>
        <v>3.5999999999999995E-3</v>
      </c>
      <c r="E529" s="16">
        <f>AVERAGE(ReturnData!E529:E539)</f>
        <v>1.3227272727272726E-2</v>
      </c>
      <c r="F529" s="16">
        <f>AVERAGE(ReturnData!F529:F539)</f>
        <v>-1.0518181818181819E-2</v>
      </c>
      <c r="G529" s="16">
        <f>AVERAGE(ReturnData!G529:G539)</f>
        <v>-1.1563636363636364E-2</v>
      </c>
      <c r="H529" s="16">
        <f>AVERAGE(ReturnData!H529:H539)</f>
        <v>4.5636363636363635E-3</v>
      </c>
      <c r="I529" s="16">
        <f>AVERAGE(ReturnData!I529:I539)</f>
        <v>-7.3909090909090921E-3</v>
      </c>
      <c r="J529" s="16">
        <f>AVERAGE(ReturnData!J529:J539)</f>
        <v>1.6272727272727298E-3</v>
      </c>
      <c r="K529" s="16">
        <f>AVERAGE(ReturnData!K529:K539)</f>
        <v>-2.8909090909090916E-3</v>
      </c>
      <c r="L529" s="16">
        <f>AVERAGE(ReturnData!L529:L539)</f>
        <v>4.5454545454545492E-5</v>
      </c>
      <c r="M529" s="16">
        <f>AVERAGE(ReturnData!M529:M539)</f>
        <v>-5.5818181818181808E-3</v>
      </c>
      <c r="N529" s="16">
        <f>AVERAGE(ReturnData!N529:N539)</f>
        <v>4.9909090909090936E-3</v>
      </c>
      <c r="O529" s="16">
        <f>AVERAGE(ReturnData!O529:O539)</f>
        <v>-1.4181818181818182E-3</v>
      </c>
      <c r="P529" s="16">
        <f>AVERAGE(ReturnData!P529:P539)</f>
        <v>1.7154545454545454E-2</v>
      </c>
      <c r="Q529" s="16">
        <f>AVERAGE(ReturnData!Q529:Q539)</f>
        <v>7.0909090909090922E-4</v>
      </c>
    </row>
    <row r="530" spans="1:17" x14ac:dyDescent="0.25">
      <c r="A530">
        <f>ReturnData!A542</f>
        <v>201901</v>
      </c>
      <c r="B530" s="16">
        <f>AVERAGE(ReturnData!B530:B540)</f>
        <v>1.4E-3</v>
      </c>
      <c r="C530" s="16">
        <f>AVERAGE(ReturnData!C530:C540)</f>
        <v>-2.3045454545454546E-2</v>
      </c>
      <c r="D530" s="16">
        <f>AVERAGE(ReturnData!D530:D540)</f>
        <v>-3.0818181818181825E-3</v>
      </c>
      <c r="E530" s="16">
        <f>AVERAGE(ReturnData!E530:E540)</f>
        <v>9.063636363636364E-3</v>
      </c>
      <c r="F530" s="16">
        <f>AVERAGE(ReturnData!F530:F540)</f>
        <v>-5.3000000000000009E-3</v>
      </c>
      <c r="G530" s="16">
        <f>AVERAGE(ReturnData!G530:G540)</f>
        <v>-8.0272727272727284E-3</v>
      </c>
      <c r="H530" s="16">
        <f>AVERAGE(ReturnData!H530:H540)</f>
        <v>6.9636363636363654E-3</v>
      </c>
      <c r="I530" s="16">
        <f>AVERAGE(ReturnData!I530:I540)</f>
        <v>-8.2181818181818172E-3</v>
      </c>
      <c r="J530" s="16">
        <f>AVERAGE(ReturnData!J530:J540)</f>
        <v>-1.3100000000000001E-2</v>
      </c>
      <c r="K530" s="16">
        <f>AVERAGE(ReturnData!K530:K540)</f>
        <v>2.3818181818181846E-3</v>
      </c>
      <c r="L530" s="16">
        <f>AVERAGE(ReturnData!L530:L540)</f>
        <v>2.4727272727272727E-3</v>
      </c>
      <c r="M530" s="16">
        <f>AVERAGE(ReturnData!M530:M540)</f>
        <v>-6.8181818181818111E-4</v>
      </c>
      <c r="N530" s="16">
        <f>AVERAGE(ReturnData!N530:N540)</f>
        <v>5.6727272727272755E-3</v>
      </c>
      <c r="O530" s="16">
        <f>AVERAGE(ReturnData!O530:O540)</f>
        <v>6.0909090909090887E-3</v>
      </c>
      <c r="P530" s="16">
        <f>AVERAGE(ReturnData!P530:P540)</f>
        <v>1.7727272727272727E-2</v>
      </c>
      <c r="Q530" s="16">
        <f>AVERAGE(ReturnData!Q530:Q540)</f>
        <v>2.3363636363636369E-3</v>
      </c>
    </row>
    <row r="531" spans="1:17" x14ac:dyDescent="0.25">
      <c r="A531">
        <f>ReturnData!A543</f>
        <v>201902</v>
      </c>
      <c r="B531" s="16">
        <f>AVERAGE(ReturnData!B531:B541)</f>
        <v>-9.1000000000000004E-3</v>
      </c>
      <c r="C531" s="16">
        <f>AVERAGE(ReturnData!C531:C541)</f>
        <v>-3.2509090909090911E-2</v>
      </c>
      <c r="D531" s="16">
        <f>AVERAGE(ReturnData!D531:D541)</f>
        <v>-1.7672727272727271E-2</v>
      </c>
      <c r="E531" s="16">
        <f>AVERAGE(ReturnData!E531:E541)</f>
        <v>-4.1363636363636377E-3</v>
      </c>
      <c r="F531" s="16">
        <f>AVERAGE(ReturnData!F531:F541)</f>
        <v>-1.7890909090909093E-2</v>
      </c>
      <c r="G531" s="16">
        <f>AVERAGE(ReturnData!G531:G541)</f>
        <v>-1.6827272727272729E-2</v>
      </c>
      <c r="H531" s="16">
        <f>AVERAGE(ReturnData!H531:H541)</f>
        <v>-9.9999999999999959E-4</v>
      </c>
      <c r="I531" s="16">
        <f>AVERAGE(ReturnData!I531:I541)</f>
        <v>-1.7754545454545457E-2</v>
      </c>
      <c r="J531" s="16">
        <f>AVERAGE(ReturnData!J531:J541)</f>
        <v>-2.981818181818182E-2</v>
      </c>
      <c r="K531" s="16">
        <f>AVERAGE(ReturnData!K531:K541)</f>
        <v>-9.1545454545454499E-3</v>
      </c>
      <c r="L531" s="16">
        <f>AVERAGE(ReturnData!L531:L541)</f>
        <v>-1.179090909090909E-2</v>
      </c>
      <c r="M531" s="16">
        <f>AVERAGE(ReturnData!M531:M541)</f>
        <v>-1.3318181818181818E-2</v>
      </c>
      <c r="N531" s="16">
        <f>AVERAGE(ReturnData!N531:N541)</f>
        <v>-1.2536363636363634E-2</v>
      </c>
      <c r="O531" s="16">
        <f>AVERAGE(ReturnData!O531:O541)</f>
        <v>4.3181818181818174E-3</v>
      </c>
      <c r="P531" s="16">
        <f>AVERAGE(ReturnData!P531:P541)</f>
        <v>-4.6363636363636052E-4</v>
      </c>
      <c r="Q531" s="16">
        <f>AVERAGE(ReturnData!Q531:Q541)</f>
        <v>-1.3745454545454545E-2</v>
      </c>
    </row>
    <row r="532" spans="1:17" x14ac:dyDescent="0.25">
      <c r="A532">
        <f>ReturnData!A544</f>
        <v>201903</v>
      </c>
      <c r="B532" s="16">
        <f>AVERAGE(ReturnData!B532:B542)</f>
        <v>2.118181818181819E-3</v>
      </c>
      <c r="C532" s="16">
        <f>AVERAGE(ReturnData!C532:C542)</f>
        <v>-2.230909090909091E-2</v>
      </c>
      <c r="D532" s="16">
        <f>AVERAGE(ReturnData!D532:D542)</f>
        <v>1.6090909090909109E-3</v>
      </c>
      <c r="E532" s="16">
        <f>AVERAGE(ReturnData!E532:E542)</f>
        <v>9.745454545454545E-3</v>
      </c>
      <c r="F532" s="16">
        <f>AVERAGE(ReturnData!F532:F542)</f>
        <v>-2.0363636363636404E-3</v>
      </c>
      <c r="G532" s="16">
        <f>AVERAGE(ReturnData!G532:G542)</f>
        <v>-6.7909090909090922E-3</v>
      </c>
      <c r="H532" s="16">
        <f>AVERAGE(ReturnData!H532:H542)</f>
        <v>7.59090909090909E-3</v>
      </c>
      <c r="I532" s="16">
        <f>AVERAGE(ReturnData!I532:I542)</f>
        <v>-9.5454545454545412E-4</v>
      </c>
      <c r="J532" s="16">
        <f>AVERAGE(ReturnData!J532:J542)</f>
        <v>-1.2463636363636369E-2</v>
      </c>
      <c r="K532" s="16">
        <f>AVERAGE(ReturnData!K532:K542)</f>
        <v>7.0181818181818175E-3</v>
      </c>
      <c r="L532" s="16">
        <f>AVERAGE(ReturnData!L532:L542)</f>
        <v>-2.8454545454545451E-3</v>
      </c>
      <c r="M532" s="16">
        <f>AVERAGE(ReturnData!M532:M542)</f>
        <v>-7.2727272727272669E-4</v>
      </c>
      <c r="N532" s="16">
        <f>AVERAGE(ReturnData!N532:N542)</f>
        <v>1.3181818181818219E-3</v>
      </c>
      <c r="O532" s="16">
        <f>AVERAGE(ReturnData!O532:O542)</f>
        <v>1.3372727272727271E-2</v>
      </c>
      <c r="P532" s="16">
        <f>AVERAGE(ReturnData!P532:P542)</f>
        <v>1.0436363636363639E-2</v>
      </c>
      <c r="Q532" s="16">
        <f>AVERAGE(ReturnData!Q532:Q542)</f>
        <v>-2.4272727272727297E-3</v>
      </c>
    </row>
    <row r="533" spans="1:17" x14ac:dyDescent="0.25">
      <c r="A533">
        <f>ReturnData!A545</f>
        <v>201904</v>
      </c>
      <c r="B533" s="16">
        <f>AVERAGE(ReturnData!B533:B543)</f>
        <v>1.6272727272727272E-3</v>
      </c>
      <c r="C533" s="16">
        <f>AVERAGE(ReturnData!C533:C543)</f>
        <v>-1.6136363636363636E-2</v>
      </c>
      <c r="D533" s="16">
        <f>AVERAGE(ReturnData!D533:D543)</f>
        <v>1.0909090909090938E-3</v>
      </c>
      <c r="E533" s="16">
        <f>AVERAGE(ReturnData!E533:E543)</f>
        <v>1.4445454545454546E-2</v>
      </c>
      <c r="F533" s="16">
        <f>AVERAGE(ReturnData!F533:F543)</f>
        <v>6.7272727272727232E-3</v>
      </c>
      <c r="G533" s="16">
        <f>AVERAGE(ReturnData!G533:G543)</f>
        <v>-1.5818181818181836E-3</v>
      </c>
      <c r="H533" s="16">
        <f>AVERAGE(ReturnData!H533:H543)</f>
        <v>1.2200000000000001E-2</v>
      </c>
      <c r="I533" s="16">
        <f>AVERAGE(ReturnData!I533:I543)</f>
        <v>2.5818181818181838E-3</v>
      </c>
      <c r="J533" s="16">
        <f>AVERAGE(ReturnData!J533:J543)</f>
        <v>-5.0636363636363639E-3</v>
      </c>
      <c r="K533" s="16">
        <f>AVERAGE(ReturnData!K533:K543)</f>
        <v>1.2963636363636365E-2</v>
      </c>
      <c r="L533" s="16">
        <f>AVERAGE(ReturnData!L533:L543)</f>
        <v>5.1636363636363642E-3</v>
      </c>
      <c r="M533" s="16">
        <f>AVERAGE(ReturnData!M533:M543)</f>
        <v>8.0181818181818184E-3</v>
      </c>
      <c r="N533" s="16">
        <f>AVERAGE(ReturnData!N533:N543)</f>
        <v>9.6363636363636391E-3</v>
      </c>
      <c r="O533" s="16">
        <f>AVERAGE(ReturnData!O533:O543)</f>
        <v>1.3727272727272725E-2</v>
      </c>
      <c r="P533" s="16">
        <f>AVERAGE(ReturnData!P533:P543)</f>
        <v>1.2981818181818183E-2</v>
      </c>
      <c r="Q533" s="16">
        <f>AVERAGE(ReturnData!Q533:Q543)</f>
        <v>3.1999999999999984E-3</v>
      </c>
    </row>
    <row r="534" spans="1:17" x14ac:dyDescent="0.25">
      <c r="A534">
        <f>ReturnData!A546</f>
        <v>201905</v>
      </c>
      <c r="B534" s="16">
        <f>AVERAGE(ReturnData!B534:B544)</f>
        <v>6.8636363636363626E-3</v>
      </c>
      <c r="C534" s="16">
        <f>AVERAGE(ReturnData!C534:C544)</f>
        <v>-9.4818181818181798E-3</v>
      </c>
      <c r="D534" s="16">
        <f>AVERAGE(ReturnData!D534:D544)</f>
        <v>-6.3181818181818148E-3</v>
      </c>
      <c r="E534" s="16">
        <f>AVERAGE(ReturnData!E534:E544)</f>
        <v>1.1863636363636364E-2</v>
      </c>
      <c r="F534" s="16">
        <f>AVERAGE(ReturnData!F534:F544)</f>
        <v>5.6363636363636321E-3</v>
      </c>
      <c r="G534" s="16">
        <f>AVERAGE(ReturnData!G534:G544)</f>
        <v>-5.3181818181818191E-3</v>
      </c>
      <c r="H534" s="16">
        <f>AVERAGE(ReturnData!H534:H544)</f>
        <v>1.7590909090909095E-2</v>
      </c>
      <c r="I534" s="16">
        <f>AVERAGE(ReturnData!I534:I544)</f>
        <v>5.790909090909094E-3</v>
      </c>
      <c r="J534" s="16">
        <f>AVERAGE(ReturnData!J534:J544)</f>
        <v>-1.2645454545454548E-2</v>
      </c>
      <c r="K534" s="16">
        <f>AVERAGE(ReturnData!K534:K544)</f>
        <v>1.4290909090909088E-2</v>
      </c>
      <c r="L534" s="16">
        <f>AVERAGE(ReturnData!L534:L544)</f>
        <v>1.0036363636363637E-2</v>
      </c>
      <c r="M534" s="16">
        <f>AVERAGE(ReturnData!M534:M544)</f>
        <v>5.7090909090909085E-3</v>
      </c>
      <c r="N534" s="16">
        <f>AVERAGE(ReturnData!N534:N544)</f>
        <v>7.7272727272727302E-3</v>
      </c>
      <c r="O534" s="16">
        <f>AVERAGE(ReturnData!O534:O544)</f>
        <v>1.4227272727272726E-2</v>
      </c>
      <c r="P534" s="16">
        <f>AVERAGE(ReturnData!P534:P544)</f>
        <v>1.2145454545454548E-2</v>
      </c>
      <c r="Q534" s="16">
        <f>AVERAGE(ReturnData!Q534:Q544)</f>
        <v>-1.1818181818182062E-4</v>
      </c>
    </row>
    <row r="535" spans="1:17" x14ac:dyDescent="0.25">
      <c r="A535">
        <f>ReturnData!A547</f>
        <v>201906</v>
      </c>
      <c r="B535" s="16">
        <f>AVERAGE(ReturnData!B535:B545)</f>
        <v>1.1418181818181817E-2</v>
      </c>
      <c r="C535" s="16">
        <f>AVERAGE(ReturnData!C535:C545)</f>
        <v>-1.4045454545454543E-2</v>
      </c>
      <c r="D535" s="16">
        <f>AVERAGE(ReturnData!D535:D545)</f>
        <v>-9.3818181818181769E-3</v>
      </c>
      <c r="E535" s="16">
        <f>AVERAGE(ReturnData!E535:E545)</f>
        <v>1.3345454545454547E-2</v>
      </c>
      <c r="F535" s="16">
        <f>AVERAGE(ReturnData!F535:F545)</f>
        <v>8.4909090909090872E-3</v>
      </c>
      <c r="G535" s="16">
        <f>AVERAGE(ReturnData!G535:G545)</f>
        <v>-2.7909090909090935E-3</v>
      </c>
      <c r="H535" s="16">
        <f>AVERAGE(ReturnData!H535:H545)</f>
        <v>1.6936363636363638E-2</v>
      </c>
      <c r="I535" s="16">
        <f>AVERAGE(ReturnData!I535:I545)</f>
        <v>9.0000000000000011E-3</v>
      </c>
      <c r="J535" s="16">
        <f>AVERAGE(ReturnData!J535:J545)</f>
        <v>-2.013636363636364E-2</v>
      </c>
      <c r="K535" s="16">
        <f>AVERAGE(ReturnData!K535:K545)</f>
        <v>1.7000000000000001E-2</v>
      </c>
      <c r="L535" s="16">
        <f>AVERAGE(ReturnData!L535:L545)</f>
        <v>9.9909090909090937E-3</v>
      </c>
      <c r="M535" s="16">
        <f>AVERAGE(ReturnData!M535:M545)</f>
        <v>4.0909090909090904E-3</v>
      </c>
      <c r="N535" s="16">
        <f>AVERAGE(ReturnData!N535:N545)</f>
        <v>8.3818181818181847E-3</v>
      </c>
      <c r="O535" s="16">
        <f>AVERAGE(ReturnData!O535:O545)</f>
        <v>1.4936363636363637E-2</v>
      </c>
      <c r="P535" s="16">
        <f>AVERAGE(ReturnData!P535:P545)</f>
        <v>1.6418181818181818E-2</v>
      </c>
      <c r="Q535" s="16">
        <f>AVERAGE(ReturnData!Q535:Q545)</f>
        <v>6.0181818181818166E-3</v>
      </c>
    </row>
    <row r="536" spans="1:17" x14ac:dyDescent="0.25">
      <c r="A536">
        <f>ReturnData!A548</f>
        <v>201907</v>
      </c>
      <c r="B536" s="16">
        <f>AVERAGE(ReturnData!B536:B546)</f>
        <v>3.6454545454545463E-3</v>
      </c>
      <c r="C536" s="16">
        <f>AVERAGE(ReturnData!C536:C546)</f>
        <v>-2.0690909090909093E-2</v>
      </c>
      <c r="D536" s="16">
        <f>AVERAGE(ReturnData!D536:D546)</f>
        <v>-2.0554545454545457E-2</v>
      </c>
      <c r="E536" s="16">
        <f>AVERAGE(ReturnData!E536:E546)</f>
        <v>-2.1181818181818172E-3</v>
      </c>
      <c r="F536" s="16">
        <f>AVERAGE(ReturnData!F536:F546)</f>
        <v>-4.0909090909091325E-4</v>
      </c>
      <c r="G536" s="16">
        <f>AVERAGE(ReturnData!G536:G546)</f>
        <v>-1.4463636363636366E-2</v>
      </c>
      <c r="H536" s="16">
        <f>AVERAGE(ReturnData!H536:H546)</f>
        <v>1.1763636363636363E-2</v>
      </c>
      <c r="I536" s="16">
        <f>AVERAGE(ReturnData!I536:I546)</f>
        <v>-6.3636363636363445E-4</v>
      </c>
      <c r="J536" s="16">
        <f>AVERAGE(ReturnData!J536:J546)</f>
        <v>-2.9518181818181822E-2</v>
      </c>
      <c r="K536" s="16">
        <f>AVERAGE(ReturnData!K536:K546)</f>
        <v>1.4990909090909089E-2</v>
      </c>
      <c r="L536" s="16">
        <f>AVERAGE(ReturnData!L536:L546)</f>
        <v>2.1090909090909116E-3</v>
      </c>
      <c r="M536" s="16">
        <f>AVERAGE(ReturnData!M536:M546)</f>
        <v>-6.2818181818181809E-3</v>
      </c>
      <c r="N536" s="16">
        <f>AVERAGE(ReturnData!N536:N546)</f>
        <v>3.8818181818181859E-3</v>
      </c>
      <c r="O536" s="16">
        <f>AVERAGE(ReturnData!O536:O546)</f>
        <v>1.1154545454545457E-2</v>
      </c>
      <c r="P536" s="16">
        <f>AVERAGE(ReturnData!P536:P546)</f>
        <v>8.2545454545454571E-3</v>
      </c>
      <c r="Q536" s="16">
        <f>AVERAGE(ReturnData!Q536:Q546)</f>
        <v>1.8818181818181802E-3</v>
      </c>
    </row>
    <row r="537" spans="1:17" x14ac:dyDescent="0.25">
      <c r="A537">
        <f>ReturnData!A549</f>
        <v>201908</v>
      </c>
      <c r="B537" s="16">
        <f>AVERAGE(ReturnData!B537:B547)</f>
        <v>5.8000000000000022E-3</v>
      </c>
      <c r="C537" s="16">
        <f>AVERAGE(ReturnData!C537:C547)</f>
        <v>-6.1999999999999963E-3</v>
      </c>
      <c r="D537" s="16">
        <f>AVERAGE(ReturnData!D537:D547)</f>
        <v>-1.3436363636363635E-2</v>
      </c>
      <c r="E537" s="16">
        <f>AVERAGE(ReturnData!E537:E547)</f>
        <v>6.1181818181818195E-3</v>
      </c>
      <c r="F537" s="16">
        <f>AVERAGE(ReturnData!F537:F547)</f>
        <v>6.8545454545454517E-3</v>
      </c>
      <c r="G537" s="16">
        <f>AVERAGE(ReturnData!G537:G547)</f>
        <v>-1.6554545454545457E-2</v>
      </c>
      <c r="H537" s="16">
        <f>AVERAGE(ReturnData!H537:H547)</f>
        <v>1.0645454545454546E-2</v>
      </c>
      <c r="I537" s="16">
        <f>AVERAGE(ReturnData!I537:I547)</f>
        <v>5.7818181818181831E-3</v>
      </c>
      <c r="J537" s="16">
        <f>AVERAGE(ReturnData!J537:J547)</f>
        <v>-1.8800000000000004E-2</v>
      </c>
      <c r="K537" s="16">
        <f>AVERAGE(ReturnData!K537:K547)</f>
        <v>1.659090909090909E-2</v>
      </c>
      <c r="L537" s="16">
        <f>AVERAGE(ReturnData!L537:L547)</f>
        <v>9.0090909090909093E-3</v>
      </c>
      <c r="M537" s="16">
        <f>AVERAGE(ReturnData!M537:M547)</f>
        <v>3.6727272727272733E-3</v>
      </c>
      <c r="N537" s="16">
        <f>AVERAGE(ReturnData!N537:N547)</f>
        <v>3.4181818181818219E-3</v>
      </c>
      <c r="O537" s="16">
        <f>AVERAGE(ReturnData!O537:O547)</f>
        <v>1.2927272727272726E-2</v>
      </c>
      <c r="P537" s="16">
        <f>AVERAGE(ReturnData!P537:P547)</f>
        <v>1.1545454545454546E-2</v>
      </c>
      <c r="Q537" s="16">
        <f>AVERAGE(ReturnData!Q537:Q547)</f>
        <v>3.6454545454545446E-3</v>
      </c>
    </row>
    <row r="538" spans="1:17" x14ac:dyDescent="0.25">
      <c r="A538">
        <f>ReturnData!A550</f>
        <v>201909</v>
      </c>
      <c r="B538" s="16">
        <f>AVERAGE(ReturnData!B538:B548)</f>
        <v>7.2909090909090918E-3</v>
      </c>
      <c r="C538" s="16">
        <f>AVERAGE(ReturnData!C538:C548)</f>
        <v>-2.1818181818181781E-4</v>
      </c>
      <c r="D538" s="16">
        <f>AVERAGE(ReturnData!D538:D548)</f>
        <v>-1.317272727272727E-2</v>
      </c>
      <c r="E538" s="16">
        <f>AVERAGE(ReturnData!E538:E548)</f>
        <v>2.5545454545454547E-3</v>
      </c>
      <c r="F538" s="16">
        <f>AVERAGE(ReturnData!F538:F548)</f>
        <v>8.9818181818181794E-3</v>
      </c>
      <c r="G538" s="16">
        <f>AVERAGE(ReturnData!G538:G548)</f>
        <v>-1.6409090909090908E-2</v>
      </c>
      <c r="H538" s="16">
        <f>AVERAGE(ReturnData!H538:H548)</f>
        <v>7.1272727272727286E-3</v>
      </c>
      <c r="I538" s="16">
        <f>AVERAGE(ReturnData!I538:I548)</f>
        <v>5.6363636363636364E-3</v>
      </c>
      <c r="J538" s="16">
        <f>AVERAGE(ReturnData!J538:J548)</f>
        <v>-1.8227272727272731E-2</v>
      </c>
      <c r="K538" s="16">
        <f>AVERAGE(ReturnData!K538:K548)</f>
        <v>1.5518181818181818E-2</v>
      </c>
      <c r="L538" s="16">
        <f>AVERAGE(ReturnData!L538:L548)</f>
        <v>6.9363636363636381E-3</v>
      </c>
      <c r="M538" s="16">
        <f>AVERAGE(ReturnData!M538:M548)</f>
        <v>3.5454545454545448E-3</v>
      </c>
      <c r="N538" s="16">
        <f>AVERAGE(ReturnData!N538:N548)</f>
        <v>3.1727272727272754E-3</v>
      </c>
      <c r="O538" s="16">
        <f>AVERAGE(ReturnData!O538:O548)</f>
        <v>1.1163636363636365E-2</v>
      </c>
      <c r="P538" s="16">
        <f>AVERAGE(ReturnData!P538:P548)</f>
        <v>3.8090909090909091E-3</v>
      </c>
      <c r="Q538" s="16">
        <f>AVERAGE(ReturnData!Q538:Q548)</f>
        <v>4.2727272727272709E-3</v>
      </c>
    </row>
    <row r="539" spans="1:17" x14ac:dyDescent="0.25">
      <c r="A539">
        <f>ReturnData!A551</f>
        <v>201910</v>
      </c>
      <c r="B539" s="16">
        <f>AVERAGE(ReturnData!B539:B549)</f>
        <v>9.8727272727272761E-3</v>
      </c>
      <c r="C539" s="16">
        <f>AVERAGE(ReturnData!C539:C549)</f>
        <v>-1.2363636363636381E-3</v>
      </c>
      <c r="D539" s="16">
        <f>AVERAGE(ReturnData!D539:D549)</f>
        <v>-2.4336363636363635E-2</v>
      </c>
      <c r="E539" s="16">
        <f>AVERAGE(ReturnData!E539:E549)</f>
        <v>-2.7272727272727271E-3</v>
      </c>
      <c r="F539" s="16">
        <f>AVERAGE(ReturnData!F539:F549)</f>
        <v>6.9636363636363628E-3</v>
      </c>
      <c r="G539" s="16">
        <f>AVERAGE(ReturnData!G539:G549)</f>
        <v>-1.9472727272727273E-2</v>
      </c>
      <c r="H539" s="16">
        <f>AVERAGE(ReturnData!H539:H549)</f>
        <v>3.9727272727272745E-3</v>
      </c>
      <c r="I539" s="16">
        <f>AVERAGE(ReturnData!I539:I549)</f>
        <v>9.4727272727272733E-3</v>
      </c>
      <c r="J539" s="16">
        <f>AVERAGE(ReturnData!J539:J549)</f>
        <v>-2.8536363636363641E-2</v>
      </c>
      <c r="K539" s="16">
        <f>AVERAGE(ReturnData!K539:K549)</f>
        <v>1.0954545454545455E-2</v>
      </c>
      <c r="L539" s="16">
        <f>AVERAGE(ReturnData!L539:L549)</f>
        <v>2.8727272727272716E-3</v>
      </c>
      <c r="M539" s="16">
        <f>AVERAGE(ReturnData!M539:M549)</f>
        <v>1.6909090909090908E-3</v>
      </c>
      <c r="N539" s="16">
        <f>AVERAGE(ReturnData!N539:N549)</f>
        <v>-2.218181818181814E-3</v>
      </c>
      <c r="O539" s="16">
        <f>AVERAGE(ReturnData!O539:O549)</f>
        <v>1.4800000000000001E-2</v>
      </c>
      <c r="P539" s="16">
        <f>AVERAGE(ReturnData!P539:P549)</f>
        <v>2.9545454545454558E-3</v>
      </c>
      <c r="Q539" s="16">
        <f>AVERAGE(ReturnData!Q539:Q549)</f>
        <v>1.7545454545454537E-3</v>
      </c>
    </row>
    <row r="540" spans="1:17" x14ac:dyDescent="0.25">
      <c r="A540">
        <f>ReturnData!A552</f>
        <v>201911</v>
      </c>
      <c r="B540" s="16">
        <f>AVERAGE(ReturnData!B540:B550)</f>
        <v>1.0954545454545456E-2</v>
      </c>
      <c r="C540" s="16">
        <f>AVERAGE(ReturnData!C540:C550)</f>
        <v>9.5545454545454527E-3</v>
      </c>
      <c r="D540" s="16">
        <f>AVERAGE(ReturnData!D540:D550)</f>
        <v>-9.9545454545454503E-3</v>
      </c>
      <c r="E540" s="16">
        <f>AVERAGE(ReturnData!E540:E550)</f>
        <v>1.5409090909090912E-2</v>
      </c>
      <c r="F540" s="16">
        <f>AVERAGE(ReturnData!F540:F550)</f>
        <v>1.7981818181818179E-2</v>
      </c>
      <c r="G540" s="16">
        <f>AVERAGE(ReturnData!G540:G550)</f>
        <v>-3.0454545454545452E-3</v>
      </c>
      <c r="H540" s="16">
        <f>AVERAGE(ReturnData!H540:H550)</f>
        <v>6.4090909090909112E-3</v>
      </c>
      <c r="I540" s="16">
        <f>AVERAGE(ReturnData!I540:I550)</f>
        <v>2.5218181818181817E-2</v>
      </c>
      <c r="J540" s="16">
        <f>AVERAGE(ReturnData!J540:J550)</f>
        <v>-1.152727272727273E-2</v>
      </c>
      <c r="K540" s="16">
        <f>AVERAGE(ReturnData!K540:K550)</f>
        <v>2.2009090909090905E-2</v>
      </c>
      <c r="L540" s="16">
        <f>AVERAGE(ReturnData!L540:L550)</f>
        <v>1.6590909090909097E-2</v>
      </c>
      <c r="M540" s="16">
        <f>AVERAGE(ReturnData!M540:M550)</f>
        <v>7.5636363636363635E-3</v>
      </c>
      <c r="N540" s="16">
        <f>AVERAGE(ReturnData!N540:N550)</f>
        <v>8.1727272727272742E-3</v>
      </c>
      <c r="O540" s="16">
        <f>AVERAGE(ReturnData!O540:O550)</f>
        <v>1.8436363636363636E-2</v>
      </c>
      <c r="P540" s="16">
        <f>AVERAGE(ReturnData!P540:P550)</f>
        <v>1.0381818181818181E-2</v>
      </c>
      <c r="Q540" s="16">
        <f>AVERAGE(ReturnData!Q540:Q550)</f>
        <v>9.1818181818181816E-3</v>
      </c>
    </row>
    <row r="541" spans="1:17" x14ac:dyDescent="0.25">
      <c r="A541">
        <f>ReturnData!A553</f>
        <v>201912</v>
      </c>
      <c r="B541" s="16">
        <f>AVERAGE(ReturnData!B541:B551)</f>
        <v>6.6818181818181829E-3</v>
      </c>
      <c r="C541" s="16">
        <f>AVERAGE(ReturnData!C541:C551)</f>
        <v>1.2463636363636366E-2</v>
      </c>
      <c r="D541" s="16">
        <f>AVERAGE(ReturnData!D541:D551)</f>
        <v>-9.7818181818181815E-3</v>
      </c>
      <c r="E541" s="16">
        <f>AVERAGE(ReturnData!E541:E551)</f>
        <v>1.4845454545454549E-2</v>
      </c>
      <c r="F541" s="16">
        <f>AVERAGE(ReturnData!F541:F551)</f>
        <v>1.8645454545454545E-2</v>
      </c>
      <c r="G541" s="16">
        <f>AVERAGE(ReturnData!G541:G551)</f>
        <v>-9.6363636363636374E-3</v>
      </c>
      <c r="H541" s="16">
        <f>AVERAGE(ReturnData!H541:H551)</f>
        <v>5.000000000000001E-3</v>
      </c>
      <c r="I541" s="16">
        <f>AVERAGE(ReturnData!I541:I551)</f>
        <v>2.4654545454545453E-2</v>
      </c>
      <c r="J541" s="16">
        <f>AVERAGE(ReturnData!J541:J551)</f>
        <v>-5.5909090909090934E-3</v>
      </c>
      <c r="K541" s="16">
        <f>AVERAGE(ReturnData!K541:K551)</f>
        <v>1.6372727272727268E-2</v>
      </c>
      <c r="L541" s="16">
        <f>AVERAGE(ReturnData!L541:L551)</f>
        <v>1.6927272727272732E-2</v>
      </c>
      <c r="M541" s="16">
        <f>AVERAGE(ReturnData!M541:M551)</f>
        <v>8.8999999999999982E-3</v>
      </c>
      <c r="N541" s="16">
        <f>AVERAGE(ReturnData!N541:N551)</f>
        <v>3.9545454545454571E-3</v>
      </c>
      <c r="O541" s="16">
        <f>AVERAGE(ReturnData!O541:O551)</f>
        <v>1.4190909090909093E-2</v>
      </c>
      <c r="P541" s="16">
        <f>AVERAGE(ReturnData!P541:P551)</f>
        <v>8.3454545454545465E-3</v>
      </c>
      <c r="Q541" s="16">
        <f>AVERAGE(ReturnData!Q541:Q551)</f>
        <v>9.6818181818181803E-3</v>
      </c>
    </row>
    <row r="542" spans="1:17" x14ac:dyDescent="0.25">
      <c r="A542">
        <f>ReturnData!A554</f>
        <v>202001</v>
      </c>
      <c r="B542" s="16">
        <f>AVERAGE(ReturnData!B542:B552)</f>
        <v>1.6672727272727273E-2</v>
      </c>
      <c r="C542" s="16">
        <f>AVERAGE(ReturnData!C542:C552)</f>
        <v>2.172727272727273E-2</v>
      </c>
      <c r="D542" s="16">
        <f>AVERAGE(ReturnData!D542:D552)</f>
        <v>3.2818181818181813E-3</v>
      </c>
      <c r="E542" s="16">
        <f>AVERAGE(ReturnData!E542:E552)</f>
        <v>2.5900000000000003E-2</v>
      </c>
      <c r="F542" s="16">
        <f>AVERAGE(ReturnData!F542:F552)</f>
        <v>2.9518181818181811E-2</v>
      </c>
      <c r="G542" s="16">
        <f>AVERAGE(ReturnData!G542:G552)</f>
        <v>1.4363636363636358E-3</v>
      </c>
      <c r="H542" s="16">
        <f>AVERAGE(ReturnData!H542:H552)</f>
        <v>1.4354545454545455E-2</v>
      </c>
      <c r="I542" s="16">
        <f>AVERAGE(ReturnData!I542:I552)</f>
        <v>3.0590909090909092E-2</v>
      </c>
      <c r="J542" s="16">
        <f>AVERAGE(ReturnData!J542:J552)</f>
        <v>1.3381818181818179E-2</v>
      </c>
      <c r="K542" s="16">
        <f>AVERAGE(ReturnData!K542:K552)</f>
        <v>2.9863636363636349E-2</v>
      </c>
      <c r="L542" s="16">
        <f>AVERAGE(ReturnData!L542:L552)</f>
        <v>2.7727272727272732E-2</v>
      </c>
      <c r="M542" s="16">
        <f>AVERAGE(ReturnData!M542:M552)</f>
        <v>1.9827272727272725E-2</v>
      </c>
      <c r="N542" s="16">
        <f>AVERAGE(ReturnData!N542:N552)</f>
        <v>1.999090909090909E-2</v>
      </c>
      <c r="O542" s="16">
        <f>AVERAGE(ReturnData!O542:O552)</f>
        <v>1.6572727272727274E-2</v>
      </c>
      <c r="P542" s="16">
        <f>AVERAGE(ReturnData!P542:P552)</f>
        <v>1.9436363636363637E-2</v>
      </c>
      <c r="Q542" s="16">
        <f>AVERAGE(ReturnData!Q542:Q552)</f>
        <v>2.5409090909090905E-2</v>
      </c>
    </row>
    <row r="543" spans="1:17" x14ac:dyDescent="0.25">
      <c r="A543">
        <f>ReturnData!A555</f>
        <v>202002</v>
      </c>
      <c r="B543" s="16">
        <f>AVERAGE(ReturnData!B543:B553)</f>
        <v>1.4427272727272726E-2</v>
      </c>
      <c r="C543" s="16">
        <f>AVERAGE(ReturnData!C543:C553)</f>
        <v>2.2127272727272721E-2</v>
      </c>
      <c r="D543" s="16">
        <f>AVERAGE(ReturnData!D543:D553)</f>
        <v>-4.0909090909091011E-4</v>
      </c>
      <c r="E543" s="16">
        <f>AVERAGE(ReturnData!E543:E553)</f>
        <v>2.1109090909090911E-2</v>
      </c>
      <c r="F543" s="16">
        <f>AVERAGE(ReturnData!F543:F553)</f>
        <v>1.9445454545454547E-2</v>
      </c>
      <c r="G543" s="16">
        <f>AVERAGE(ReturnData!G543:G553)</f>
        <v>-2.4181818181818167E-3</v>
      </c>
      <c r="H543" s="16">
        <f>AVERAGE(ReturnData!H543:H553)</f>
        <v>1.4172727272727274E-2</v>
      </c>
      <c r="I543" s="16">
        <f>AVERAGE(ReturnData!I543:I553)</f>
        <v>2.2645454545454548E-2</v>
      </c>
      <c r="J543" s="16">
        <f>AVERAGE(ReturnData!J543:J553)</f>
        <v>-1.4454545454545471E-3</v>
      </c>
      <c r="K543" s="16">
        <f>AVERAGE(ReturnData!K543:K553)</f>
        <v>1.9718181818181819E-2</v>
      </c>
      <c r="L543" s="16">
        <f>AVERAGE(ReturnData!L543:L553)</f>
        <v>2.4000000000000007E-2</v>
      </c>
      <c r="M543" s="16">
        <f>AVERAGE(ReturnData!M543:M553)</f>
        <v>1.8009090909090909E-2</v>
      </c>
      <c r="N543" s="16">
        <f>AVERAGE(ReturnData!N543:N553)</f>
        <v>7.2999999999999983E-3</v>
      </c>
      <c r="O543" s="16">
        <f>AVERAGE(ReturnData!O543:O553)</f>
        <v>1.5381818181818181E-2</v>
      </c>
      <c r="P543" s="16">
        <f>AVERAGE(ReturnData!P543:P553)</f>
        <v>1.2645454545454545E-2</v>
      </c>
      <c r="Q543" s="16">
        <f>AVERAGE(ReturnData!Q543:Q553)</f>
        <v>1.8845454545454547E-2</v>
      </c>
    </row>
    <row r="544" spans="1:17" x14ac:dyDescent="0.25">
      <c r="A544">
        <f>ReturnData!A556</f>
        <v>202003</v>
      </c>
      <c r="B544" s="16">
        <f>AVERAGE(ReturnData!B544:B554)</f>
        <v>1.6818181818181819E-2</v>
      </c>
      <c r="C544" s="16">
        <f>AVERAGE(ReturnData!C544:C554)</f>
        <v>1.0972727272727271E-2</v>
      </c>
      <c r="D544" s="16">
        <f>AVERAGE(ReturnData!D544:D554)</f>
        <v>-1.3599999999999999E-2</v>
      </c>
      <c r="E544" s="16">
        <f>AVERAGE(ReturnData!E544:E554)</f>
        <v>1.1118181818181817E-2</v>
      </c>
      <c r="F544" s="16">
        <f>AVERAGE(ReturnData!F544:F554)</f>
        <v>9.918181818181819E-3</v>
      </c>
      <c r="G544" s="16">
        <f>AVERAGE(ReturnData!G544:G554)</f>
        <v>-1.3000000000000001E-2</v>
      </c>
      <c r="H544" s="16">
        <f>AVERAGE(ReturnData!H544:H554)</f>
        <v>9.4999999999999998E-3</v>
      </c>
      <c r="I544" s="16">
        <f>AVERAGE(ReturnData!I544:I554)</f>
        <v>2.0845454545454549E-2</v>
      </c>
      <c r="J544" s="16">
        <f>AVERAGE(ReturnData!J544:J554)</f>
        <v>-1.7427272727272729E-2</v>
      </c>
      <c r="K544" s="16">
        <f>AVERAGE(ReturnData!K544:K554)</f>
        <v>1.5036363636363636E-2</v>
      </c>
      <c r="L544" s="16">
        <f>AVERAGE(ReturnData!L544:L554)</f>
        <v>1.5309090909090911E-2</v>
      </c>
      <c r="M544" s="16">
        <f>AVERAGE(ReturnData!M544:M554)</f>
        <v>1.8318181818181817E-2</v>
      </c>
      <c r="N544" s="16">
        <f>AVERAGE(ReturnData!N544:N554)</f>
        <v>1.9727272727272731E-3</v>
      </c>
      <c r="O544" s="16">
        <f>AVERAGE(ReturnData!O544:O554)</f>
        <v>1.6536363636363641E-2</v>
      </c>
      <c r="P544" s="16">
        <f>AVERAGE(ReturnData!P544:P554)</f>
        <v>1.4472727272727276E-2</v>
      </c>
      <c r="Q544" s="16">
        <f>AVERAGE(ReturnData!Q544:Q554)</f>
        <v>1.410909090909091E-2</v>
      </c>
    </row>
    <row r="545" spans="1:17" x14ac:dyDescent="0.25">
      <c r="A545">
        <f>ReturnData!A557</f>
        <v>202004</v>
      </c>
      <c r="B545" s="16">
        <f>AVERAGE(ReturnData!B545:B555)</f>
        <v>5.2727272727272735E-3</v>
      </c>
      <c r="C545" s="16">
        <f>AVERAGE(ReturnData!C545:C555)</f>
        <v>-1.763636363636365E-3</v>
      </c>
      <c r="D545" s="16">
        <f>AVERAGE(ReturnData!D545:D555)</f>
        <v>-2.9609090909090908E-2</v>
      </c>
      <c r="E545" s="16">
        <f>AVERAGE(ReturnData!E545:E555)</f>
        <v>3.1090909090909099E-3</v>
      </c>
      <c r="F545" s="16">
        <f>AVERAGE(ReturnData!F545:F555)</f>
        <v>-1.0818181818181801E-3</v>
      </c>
      <c r="G545" s="16">
        <f>AVERAGE(ReturnData!G545:G555)</f>
        <v>-2.0609090909090907E-2</v>
      </c>
      <c r="H545" s="16">
        <f>AVERAGE(ReturnData!H545:H555)</f>
        <v>4.4545454545454435E-4</v>
      </c>
      <c r="I545" s="16">
        <f>AVERAGE(ReturnData!I545:I555)</f>
        <v>1.2200000000000004E-2</v>
      </c>
      <c r="J545" s="16">
        <f>AVERAGE(ReturnData!J545:J555)</f>
        <v>-2.2745454545454548E-2</v>
      </c>
      <c r="K545" s="16">
        <f>AVERAGE(ReturnData!K545:K555)</f>
        <v>9.9090909090909091E-3</v>
      </c>
      <c r="L545" s="16">
        <f>AVERAGE(ReturnData!L545:L555)</f>
        <v>6.8727272727272751E-3</v>
      </c>
      <c r="M545" s="16">
        <f>AVERAGE(ReturnData!M545:M555)</f>
        <v>1.4827272727272724E-2</v>
      </c>
      <c r="N545" s="16">
        <f>AVERAGE(ReturnData!N545:N555)</f>
        <v>-5.5818181818181826E-3</v>
      </c>
      <c r="O545" s="16">
        <f>AVERAGE(ReturnData!O545:O555)</f>
        <v>4.5545454545454561E-3</v>
      </c>
      <c r="P545" s="16">
        <f>AVERAGE(ReturnData!P545:P555)</f>
        <v>4.9545454545454537E-3</v>
      </c>
      <c r="Q545" s="16">
        <f>AVERAGE(ReturnData!Q545:Q555)</f>
        <v>6.6727272727272737E-3</v>
      </c>
    </row>
    <row r="546" spans="1:17" x14ac:dyDescent="0.25">
      <c r="A546">
        <f>ReturnData!A558</f>
        <v>202005</v>
      </c>
      <c r="B546" s="16">
        <f>AVERAGE(ReturnData!B546:B556)</f>
        <v>-8.1454545454545443E-3</v>
      </c>
      <c r="C546" s="16">
        <f>AVERAGE(ReturnData!C546:C556)</f>
        <v>-1.3300000000000005E-2</v>
      </c>
      <c r="D546" s="16">
        <f>AVERAGE(ReturnData!D546:D556)</f>
        <v>-6.1190909090909094E-2</v>
      </c>
      <c r="E546" s="16">
        <f>AVERAGE(ReturnData!E546:E556)</f>
        <v>-1.9872727272727275E-2</v>
      </c>
      <c r="F546" s="16">
        <f>AVERAGE(ReturnData!F546:F556)</f>
        <v>-1.9927272727272727E-2</v>
      </c>
      <c r="G546" s="16">
        <f>AVERAGE(ReturnData!G546:G556)</f>
        <v>-4.2590909090909096E-2</v>
      </c>
      <c r="H546" s="16">
        <f>AVERAGE(ReturnData!H546:H556)</f>
        <v>-4.5454545454545811E-5</v>
      </c>
      <c r="I546" s="16">
        <f>AVERAGE(ReturnData!I546:I556)</f>
        <v>-1.2045454545454543E-2</v>
      </c>
      <c r="J546" s="16">
        <f>AVERAGE(ReturnData!J546:J556)</f>
        <v>-4.0536363636363641E-2</v>
      </c>
      <c r="K546" s="16">
        <f>AVERAGE(ReturnData!K546:K556)</f>
        <v>-1.0927272727272723E-2</v>
      </c>
      <c r="L546" s="16">
        <f>AVERAGE(ReturnData!L546:L556)</f>
        <v>-8.2909090909090884E-3</v>
      </c>
      <c r="M546" s="16">
        <f>AVERAGE(ReturnData!M546:M556)</f>
        <v>-8.2181818181818189E-3</v>
      </c>
      <c r="N546" s="16">
        <f>AVERAGE(ReturnData!N546:N556)</f>
        <v>-3.090909090909091E-2</v>
      </c>
      <c r="O546" s="16">
        <f>AVERAGE(ReturnData!O546:O556)</f>
        <v>-8.1181818181818143E-3</v>
      </c>
      <c r="P546" s="16">
        <f>AVERAGE(ReturnData!P546:P556)</f>
        <v>-3.1454545454545455E-3</v>
      </c>
      <c r="Q546" s="16">
        <f>AVERAGE(ReturnData!Q546:Q556)</f>
        <v>-1.8154545454545454E-2</v>
      </c>
    </row>
    <row r="547" spans="1:17" x14ac:dyDescent="0.25">
      <c r="A547">
        <f>ReturnData!A559</f>
        <v>202006</v>
      </c>
      <c r="B547" s="16">
        <f>AVERAGE(ReturnData!B547:B557)</f>
        <v>2.9818181818181827E-3</v>
      </c>
      <c r="C547" s="16">
        <f>AVERAGE(ReturnData!C547:C557)</f>
        <v>1.176363636363636E-2</v>
      </c>
      <c r="D547" s="16">
        <f>AVERAGE(ReturnData!D547:D557)</f>
        <v>-2.0572727272727267E-2</v>
      </c>
      <c r="E547" s="16">
        <f>AVERAGE(ReturnData!E547:E557)</f>
        <v>-1.5454545454545772E-4</v>
      </c>
      <c r="F547" s="16">
        <f>AVERAGE(ReturnData!F547:F557)</f>
        <v>4.5999999999999956E-3</v>
      </c>
      <c r="G547" s="16">
        <f>AVERAGE(ReturnData!G547:G557)</f>
        <v>-1.3990909090909094E-2</v>
      </c>
      <c r="H547" s="16">
        <f>AVERAGE(ReturnData!H547:H557)</f>
        <v>1.2518181818181819E-2</v>
      </c>
      <c r="I547" s="16">
        <f>AVERAGE(ReturnData!I547:I557)</f>
        <v>1.2081818181818187E-2</v>
      </c>
      <c r="J547" s="16">
        <f>AVERAGE(ReturnData!J547:J557)</f>
        <v>-1.5909090909090907E-2</v>
      </c>
      <c r="K547" s="16">
        <f>AVERAGE(ReturnData!K547:K557)</f>
        <v>3.4363636363636376E-3</v>
      </c>
      <c r="L547" s="16">
        <f>AVERAGE(ReturnData!L547:L557)</f>
        <v>1.4372727272727275E-2</v>
      </c>
      <c r="M547" s="16">
        <f>AVERAGE(ReturnData!M547:M557)</f>
        <v>2.5472727272727272E-2</v>
      </c>
      <c r="N547" s="16">
        <f>AVERAGE(ReturnData!N547:N557)</f>
        <v>-1.4972727272727275E-2</v>
      </c>
      <c r="O547" s="16">
        <f>AVERAGE(ReturnData!O547:O557)</f>
        <v>-2.0909090909090877E-3</v>
      </c>
      <c r="P547" s="16">
        <f>AVERAGE(ReturnData!P547:P557)</f>
        <v>1.8809090909090911E-2</v>
      </c>
      <c r="Q547" s="16">
        <f>AVERAGE(ReturnData!Q547:Q557)</f>
        <v>-2.2545454545454561E-3</v>
      </c>
    </row>
    <row r="548" spans="1:17" x14ac:dyDescent="0.25">
      <c r="A548">
        <f>ReturnData!A560</f>
        <v>202007</v>
      </c>
      <c r="B548" s="16">
        <f>AVERAGE(ReturnData!B548:B558)</f>
        <v>1.2909090909090923E-3</v>
      </c>
      <c r="C548" s="16">
        <f>AVERAGE(ReturnData!C548:C558)</f>
        <v>1.6818181818181808E-3</v>
      </c>
      <c r="D548" s="16">
        <f>AVERAGE(ReturnData!D548:D558)</f>
        <v>-2.8263636363636355E-2</v>
      </c>
      <c r="E548" s="16">
        <f>AVERAGE(ReturnData!E548:E558)</f>
        <v>1.9272727272727219E-3</v>
      </c>
      <c r="F548" s="16">
        <f>AVERAGE(ReturnData!F548:F558)</f>
        <v>2.2727272727272746E-4</v>
      </c>
      <c r="G548" s="16">
        <f>AVERAGE(ReturnData!G548:G558)</f>
        <v>-8.2272727272727289E-3</v>
      </c>
      <c r="H548" s="16">
        <f>AVERAGE(ReturnData!H548:H558)</f>
        <v>9.7363636363636367E-3</v>
      </c>
      <c r="I548" s="16">
        <f>AVERAGE(ReturnData!I548:I558)</f>
        <v>1.6972727272727275E-2</v>
      </c>
      <c r="J548" s="16">
        <f>AVERAGE(ReturnData!J548:J558)</f>
        <v>-2.52E-2</v>
      </c>
      <c r="K548" s="16">
        <f>AVERAGE(ReturnData!K548:K558)</f>
        <v>1.3363636363636405E-3</v>
      </c>
      <c r="L548" s="16">
        <f>AVERAGE(ReturnData!L548:L558)</f>
        <v>1.1354545454545456E-2</v>
      </c>
      <c r="M548" s="16">
        <f>AVERAGE(ReturnData!M548:M558)</f>
        <v>2.4427272727272721E-2</v>
      </c>
      <c r="N548" s="16">
        <f>AVERAGE(ReturnData!N548:N558)</f>
        <v>-1.5481818181818178E-2</v>
      </c>
      <c r="O548" s="16">
        <f>AVERAGE(ReturnData!O548:O558)</f>
        <v>-1.218181818181814E-3</v>
      </c>
      <c r="P548" s="16">
        <f>AVERAGE(ReturnData!P548:P558)</f>
        <v>1.4590909090909092E-2</v>
      </c>
      <c r="Q548" s="16">
        <f>AVERAGE(ReturnData!Q548:Q558)</f>
        <v>-4.5636363636363635E-3</v>
      </c>
    </row>
    <row r="549" spans="1:17" x14ac:dyDescent="0.25">
      <c r="A549">
        <f>ReturnData!A561</f>
        <v>202008</v>
      </c>
      <c r="B549" s="16">
        <f>AVERAGE(ReturnData!B549:B559)</f>
        <v>-5.4545454545454374E-4</v>
      </c>
      <c r="C549" s="16">
        <f>AVERAGE(ReturnData!C549:C559)</f>
        <v>1.180909090909091E-2</v>
      </c>
      <c r="D549" s="16">
        <f>AVERAGE(ReturnData!D549:D559)</f>
        <v>-2.6263636363636354E-2</v>
      </c>
      <c r="E549" s="16">
        <f>AVERAGE(ReturnData!E549:E559)</f>
        <v>3.7818181818181766E-3</v>
      </c>
      <c r="F549" s="16">
        <f>AVERAGE(ReturnData!F549:F559)</f>
        <v>2.3454545454545468E-3</v>
      </c>
      <c r="G549" s="16">
        <f>AVERAGE(ReturnData!G549:G559)</f>
        <v>-6.9090909090909116E-3</v>
      </c>
      <c r="H549" s="16">
        <f>AVERAGE(ReturnData!H549:H559)</f>
        <v>8.7000000000000011E-3</v>
      </c>
      <c r="I549" s="16">
        <f>AVERAGE(ReturnData!I549:I559)</f>
        <v>1.7327272727272729E-2</v>
      </c>
      <c r="J549" s="16">
        <f>AVERAGE(ReturnData!J549:J559)</f>
        <v>-1.8618181818181815E-2</v>
      </c>
      <c r="K549" s="16">
        <f>AVERAGE(ReturnData!K549:K559)</f>
        <v>3.1090909090909125E-3</v>
      </c>
      <c r="L549" s="16">
        <f>AVERAGE(ReturnData!L549:L559)</f>
        <v>1.2845454545454547E-2</v>
      </c>
      <c r="M549" s="16">
        <f>AVERAGE(ReturnData!M549:M559)</f>
        <v>3.3963636363636363E-2</v>
      </c>
      <c r="N549" s="16">
        <f>AVERAGE(ReturnData!N549:N559)</f>
        <v>-1.4E-2</v>
      </c>
      <c r="O549" s="16">
        <f>AVERAGE(ReturnData!O549:O559)</f>
        <v>-4.8454545454545417E-3</v>
      </c>
      <c r="P549" s="16">
        <f>AVERAGE(ReturnData!P549:P559)</f>
        <v>1.8627272727272728E-2</v>
      </c>
      <c r="Q549" s="16">
        <f>AVERAGE(ReturnData!Q549:Q559)</f>
        <v>-7.7181818181818176E-3</v>
      </c>
    </row>
    <row r="550" spans="1:17" x14ac:dyDescent="0.25">
      <c r="A550">
        <f>ReturnData!A562</f>
        <v>202009</v>
      </c>
      <c r="B550" s="16">
        <f>AVERAGE(ReturnData!B550:B560)</f>
        <v>2.3909090909090924E-3</v>
      </c>
      <c r="C550" s="16">
        <f>AVERAGE(ReturnData!C550:C560)</f>
        <v>2.3190909090909092E-2</v>
      </c>
      <c r="D550" s="16">
        <f>AVERAGE(ReturnData!D550:D560)</f>
        <v>-2.2745454545454534E-2</v>
      </c>
      <c r="E550" s="16">
        <f>AVERAGE(ReturnData!E550:E560)</f>
        <v>8.3727272727272661E-3</v>
      </c>
      <c r="F550" s="16">
        <f>AVERAGE(ReturnData!F550:F560)</f>
        <v>1.4918181818181815E-2</v>
      </c>
      <c r="G550" s="16">
        <f>AVERAGE(ReturnData!G550:G560)</f>
        <v>5.1545454545454525E-3</v>
      </c>
      <c r="H550" s="16">
        <f>AVERAGE(ReturnData!H550:H560)</f>
        <v>1.3290909090909091E-2</v>
      </c>
      <c r="I550" s="16">
        <f>AVERAGE(ReturnData!I550:I560)</f>
        <v>2.1709090909090914E-2</v>
      </c>
      <c r="J550" s="16">
        <f>AVERAGE(ReturnData!J550:J560)</f>
        <v>-5.6454545454545446E-3</v>
      </c>
      <c r="K550" s="16">
        <f>AVERAGE(ReturnData!K550:K560)</f>
        <v>6.2818181818181853E-3</v>
      </c>
      <c r="L550" s="16">
        <f>AVERAGE(ReturnData!L550:L560)</f>
        <v>2.2472727272727276E-2</v>
      </c>
      <c r="M550" s="16">
        <f>AVERAGE(ReturnData!M550:M560)</f>
        <v>5.6054545454545447E-2</v>
      </c>
      <c r="N550" s="16">
        <f>AVERAGE(ReturnData!N550:N560)</f>
        <v>-1.0118181818181818E-2</v>
      </c>
      <c r="O550" s="16">
        <f>AVERAGE(ReturnData!O550:O560)</f>
        <v>-2.1999999999999962E-3</v>
      </c>
      <c r="P550" s="16">
        <f>AVERAGE(ReturnData!P550:P560)</f>
        <v>2.8127272727272726E-2</v>
      </c>
      <c r="Q550" s="16">
        <f>AVERAGE(ReturnData!Q550:Q560)</f>
        <v>-1.5363636363636352E-3</v>
      </c>
    </row>
    <row r="551" spans="1:17" x14ac:dyDescent="0.25">
      <c r="A551">
        <f>ReturnData!A563</f>
        <v>202010</v>
      </c>
      <c r="B551" s="16">
        <f>AVERAGE(ReturnData!B551:B561)</f>
        <v>5.0363636363636374E-3</v>
      </c>
      <c r="C551" s="16">
        <f>AVERAGE(ReturnData!C551:C561)</f>
        <v>2.5527272727272728E-2</v>
      </c>
      <c r="D551" s="16">
        <f>AVERAGE(ReturnData!D551:D561)</f>
        <v>-2.7299999999999994E-2</v>
      </c>
      <c r="E551" s="16">
        <f>AVERAGE(ReturnData!E551:E561)</f>
        <v>1.1390909090909089E-2</v>
      </c>
      <c r="F551" s="16">
        <f>AVERAGE(ReturnData!F551:F561)</f>
        <v>2.0499999999999997E-2</v>
      </c>
      <c r="G551" s="16">
        <f>AVERAGE(ReturnData!G551:G561)</f>
        <v>4.8181818181818195E-3</v>
      </c>
      <c r="H551" s="16">
        <f>AVERAGE(ReturnData!H551:H561)</f>
        <v>1.6236363636363636E-2</v>
      </c>
      <c r="I551" s="16">
        <f>AVERAGE(ReturnData!I551:I561)</f>
        <v>2.5590909090909095E-2</v>
      </c>
      <c r="J551" s="16">
        <f>AVERAGE(ReturnData!J551:J561)</f>
        <v>-4.5818181818181834E-3</v>
      </c>
      <c r="K551" s="16">
        <f>AVERAGE(ReturnData!K551:K561)</f>
        <v>1.3936363636363637E-2</v>
      </c>
      <c r="L551" s="16">
        <f>AVERAGE(ReturnData!L551:L561)</f>
        <v>2.400909090909091E-2</v>
      </c>
      <c r="M551" s="16">
        <f>AVERAGE(ReturnData!M551:M561)</f>
        <v>8.6690909090909096E-2</v>
      </c>
      <c r="N551" s="16">
        <f>AVERAGE(ReturnData!N551:N561)</f>
        <v>-1.9909090909090888E-3</v>
      </c>
      <c r="O551" s="16">
        <f>AVERAGE(ReturnData!O551:O561)</f>
        <v>-7.8090909090909044E-3</v>
      </c>
      <c r="P551" s="16">
        <f>AVERAGE(ReturnData!P551:P561)</f>
        <v>3.5890909090909091E-2</v>
      </c>
      <c r="Q551" s="16">
        <f>AVERAGE(ReturnData!Q551:Q561)</f>
        <v>4.8181818181818048E-4</v>
      </c>
    </row>
    <row r="552" spans="1:17" x14ac:dyDescent="0.25">
      <c r="A552">
        <f>ReturnData!A564</f>
        <v>202011</v>
      </c>
      <c r="B552" s="16">
        <f>AVERAGE(ReturnData!B552:B562)</f>
        <v>4.7000000000000011E-3</v>
      </c>
      <c r="C552" s="16">
        <f>AVERAGE(ReturnData!C552:C562)</f>
        <v>2.3354545454545451E-2</v>
      </c>
      <c r="D552" s="16">
        <f>AVERAGE(ReturnData!D552:D562)</f>
        <v>-3.9409090909090901E-2</v>
      </c>
      <c r="E552" s="16">
        <f>AVERAGE(ReturnData!E552:E562)</f>
        <v>1.7854545454545453E-2</v>
      </c>
      <c r="F552" s="16">
        <f>AVERAGE(ReturnData!F552:F562)</f>
        <v>2.0772727272727276E-2</v>
      </c>
      <c r="G552" s="16">
        <f>AVERAGE(ReturnData!G552:G562)</f>
        <v>7.6181818181818182E-3</v>
      </c>
      <c r="H552" s="16">
        <f>AVERAGE(ReturnData!H552:H562)</f>
        <v>1.1190909090909093E-2</v>
      </c>
      <c r="I552" s="16">
        <f>AVERAGE(ReturnData!I552:I562)</f>
        <v>2.3490909090909094E-2</v>
      </c>
      <c r="J552" s="16">
        <f>AVERAGE(ReturnData!J552:J562)</f>
        <v>-1.2263636363636371E-2</v>
      </c>
      <c r="K552" s="16">
        <f>AVERAGE(ReturnData!K552:K562)</f>
        <v>1.3590909090909093E-2</v>
      </c>
      <c r="L552" s="16">
        <f>AVERAGE(ReturnData!L552:L562)</f>
        <v>2.0272727272727276E-2</v>
      </c>
      <c r="M552" s="16">
        <f>AVERAGE(ReturnData!M552:M562)</f>
        <v>7.2527272727272718E-2</v>
      </c>
      <c r="N552" s="16">
        <f>AVERAGE(ReturnData!N552:N562)</f>
        <v>-2.0545454545454543E-3</v>
      </c>
      <c r="O552" s="16">
        <f>AVERAGE(ReturnData!O552:O562)</f>
        <v>-6.8363636363636352E-3</v>
      </c>
      <c r="P552" s="16">
        <f>AVERAGE(ReturnData!P552:P562)</f>
        <v>3.1827272727272725E-2</v>
      </c>
      <c r="Q552" s="16">
        <f>AVERAGE(ReturnData!Q552:Q562)</f>
        <v>-6.3E-3</v>
      </c>
    </row>
    <row r="553" spans="1:17" x14ac:dyDescent="0.25">
      <c r="A553">
        <f>ReturnData!A565</f>
        <v>202012</v>
      </c>
      <c r="B553" s="16">
        <f>AVERAGE(ReturnData!B553:B563)</f>
        <v>5.5454545454545654E-4</v>
      </c>
      <c r="C553" s="16">
        <f>AVERAGE(ReturnData!C553:C563)</f>
        <v>2.6809090909090904E-2</v>
      </c>
      <c r="D553" s="16">
        <f>AVERAGE(ReturnData!D553:D563)</f>
        <v>-4.4654545454545447E-2</v>
      </c>
      <c r="E553" s="16">
        <f>AVERAGE(ReturnData!E553:E563)</f>
        <v>1.2627272727272725E-2</v>
      </c>
      <c r="F553" s="16">
        <f>AVERAGE(ReturnData!F553:F563)</f>
        <v>2.4254545454545459E-2</v>
      </c>
      <c r="G553" s="16">
        <f>AVERAGE(ReturnData!G553:G563)</f>
        <v>3.345454545454543E-3</v>
      </c>
      <c r="H553" s="16">
        <f>AVERAGE(ReturnData!H553:H563)</f>
        <v>4.0272727272727274E-3</v>
      </c>
      <c r="I553" s="16">
        <f>AVERAGE(ReturnData!I553:I563)</f>
        <v>2.0527272727272727E-2</v>
      </c>
      <c r="J553" s="16">
        <f>AVERAGE(ReturnData!J553:J563)</f>
        <v>-1.1145454545454552E-2</v>
      </c>
      <c r="K553" s="16">
        <f>AVERAGE(ReturnData!K553:K563)</f>
        <v>1.5154545454545455E-2</v>
      </c>
      <c r="L553" s="16">
        <f>AVERAGE(ReturnData!L553:L563)</f>
        <v>1.6563636363636367E-2</v>
      </c>
      <c r="M553" s="16">
        <f>AVERAGE(ReturnData!M553:M563)</f>
        <v>6.6390909090909084E-2</v>
      </c>
      <c r="N553" s="16">
        <f>AVERAGE(ReturnData!N553:N563)</f>
        <v>-1.011818181818182E-2</v>
      </c>
      <c r="O553" s="16">
        <f>AVERAGE(ReturnData!O553:O563)</f>
        <v>-8.2727272727272446E-4</v>
      </c>
      <c r="P553" s="16">
        <f>AVERAGE(ReturnData!P553:P563)</f>
        <v>2.696363636363636E-2</v>
      </c>
      <c r="Q553" s="16">
        <f>AVERAGE(ReturnData!Q553:Q563)</f>
        <v>-1.2245454545454549E-2</v>
      </c>
    </row>
    <row r="554" spans="1:17" x14ac:dyDescent="0.25">
      <c r="A554">
        <f>ReturnData!A566</f>
        <v>202101</v>
      </c>
      <c r="B554" s="16">
        <f>AVERAGE(ReturnData!B554:B564)</f>
        <v>6.5818181818181835E-3</v>
      </c>
      <c r="C554" s="16">
        <f>AVERAGE(ReturnData!C554:C564)</f>
        <v>2.5581818181818181E-2</v>
      </c>
      <c r="D554" s="16">
        <f>AVERAGE(ReturnData!D554:D564)</f>
        <v>-2.4018181818181807E-2</v>
      </c>
      <c r="E554" s="16">
        <f>AVERAGE(ReturnData!E554:E564)</f>
        <v>1.9654545454545449E-2</v>
      </c>
      <c r="F554" s="16">
        <f>AVERAGE(ReturnData!F554:F564)</f>
        <v>3.5772727272727275E-2</v>
      </c>
      <c r="G554" s="16">
        <f>AVERAGE(ReturnData!G554:G564)</f>
        <v>1.397272727272727E-2</v>
      </c>
      <c r="H554" s="16">
        <f>AVERAGE(ReturnData!H554:H564)</f>
        <v>6.8727272727272725E-3</v>
      </c>
      <c r="I554" s="16">
        <f>AVERAGE(ReturnData!I554:I564)</f>
        <v>2.6336363636363637E-2</v>
      </c>
      <c r="J554" s="16">
        <f>AVERAGE(ReturnData!J554:J564)</f>
        <v>5.536363636363637E-3</v>
      </c>
      <c r="K554" s="16">
        <f>AVERAGE(ReturnData!K554:K564)</f>
        <v>2.8454545454545458E-2</v>
      </c>
      <c r="L554" s="16">
        <f>AVERAGE(ReturnData!L554:L564)</f>
        <v>2.5154545454545461E-2</v>
      </c>
      <c r="M554" s="16">
        <f>AVERAGE(ReturnData!M554:M564)</f>
        <v>8.9454545454545453E-2</v>
      </c>
      <c r="N554" s="16">
        <f>AVERAGE(ReturnData!N554:N564)</f>
        <v>9.8090909090909097E-3</v>
      </c>
      <c r="O554" s="16">
        <f>AVERAGE(ReturnData!O554:O564)</f>
        <v>-2.1272727272727246E-3</v>
      </c>
      <c r="P554" s="16">
        <f>AVERAGE(ReturnData!P554:P564)</f>
        <v>3.32E-2</v>
      </c>
      <c r="Q554" s="16">
        <f>AVERAGE(ReturnData!Q554:Q564)</f>
        <v>1.9090909090909008E-4</v>
      </c>
    </row>
    <row r="555" spans="1:17" x14ac:dyDescent="0.25">
      <c r="A555">
        <f>ReturnData!A567</f>
        <v>202102</v>
      </c>
      <c r="B555" s="16">
        <f>AVERAGE(ReturnData!B555:B565)</f>
        <v>8.845454545454547E-3</v>
      </c>
      <c r="C555" s="16">
        <f>AVERAGE(ReturnData!C555:C565)</f>
        <v>3.9254545454545452E-2</v>
      </c>
      <c r="D555" s="16">
        <f>AVERAGE(ReturnData!D555:D565)</f>
        <v>-7.481818181818178E-3</v>
      </c>
      <c r="E555" s="16">
        <f>AVERAGE(ReturnData!E555:E565)</f>
        <v>2.8790909090909089E-2</v>
      </c>
      <c r="F555" s="16">
        <f>AVERAGE(ReturnData!F555:F565)</f>
        <v>4.8363636363636359E-2</v>
      </c>
      <c r="G555" s="16">
        <f>AVERAGE(ReturnData!G555:G565)</f>
        <v>2.5527272727272728E-2</v>
      </c>
      <c r="H555" s="16">
        <f>AVERAGE(ReturnData!H555:H565)</f>
        <v>1.0518181818181817E-2</v>
      </c>
      <c r="I555" s="16">
        <f>AVERAGE(ReturnData!I555:I565)</f>
        <v>2.5027272727272731E-2</v>
      </c>
      <c r="J555" s="16">
        <f>AVERAGE(ReturnData!J555:J565)</f>
        <v>2.5318181818181816E-2</v>
      </c>
      <c r="K555" s="16">
        <f>AVERAGE(ReturnData!K555:K565)</f>
        <v>2.984545454545455E-2</v>
      </c>
      <c r="L555" s="16">
        <f>AVERAGE(ReturnData!L555:L565)</f>
        <v>3.0818181818181821E-2</v>
      </c>
      <c r="M555" s="16">
        <f>AVERAGE(ReturnData!M555:M565)</f>
        <v>9.8954545454545434E-2</v>
      </c>
      <c r="N555" s="16">
        <f>AVERAGE(ReturnData!N555:N565)</f>
        <v>1.0127272727272724E-2</v>
      </c>
      <c r="O555" s="16">
        <f>AVERAGE(ReturnData!O555:O565)</f>
        <v>-5.9454545454545454E-3</v>
      </c>
      <c r="P555" s="16">
        <f>AVERAGE(ReturnData!P555:P565)</f>
        <v>3.2945454545454549E-2</v>
      </c>
      <c r="Q555" s="16">
        <f>AVERAGE(ReturnData!Q555:Q565)</f>
        <v>8.7181818181818176E-3</v>
      </c>
    </row>
    <row r="556" spans="1:17" x14ac:dyDescent="0.25">
      <c r="A556">
        <f>ReturnData!A568</f>
        <v>202103</v>
      </c>
      <c r="B556" s="16">
        <f>AVERAGE(ReturnData!B556:B566)</f>
        <v>1.2654545454545458E-2</v>
      </c>
      <c r="C556" s="16">
        <f>AVERAGE(ReturnData!C556:C566)</f>
        <v>4.8745454545454536E-2</v>
      </c>
      <c r="D556" s="16">
        <f>AVERAGE(ReturnData!D556:D566)</f>
        <v>1.0927272727272732E-2</v>
      </c>
      <c r="E556" s="16">
        <f>AVERAGE(ReturnData!E556:E566)</f>
        <v>3.3227272727272723E-2</v>
      </c>
      <c r="F556" s="16">
        <f>AVERAGE(ReturnData!F556:F566)</f>
        <v>6.2900000000000011E-2</v>
      </c>
      <c r="G556" s="16">
        <f>AVERAGE(ReturnData!G556:G566)</f>
        <v>3.5836363636363631E-2</v>
      </c>
      <c r="H556" s="16">
        <f>AVERAGE(ReturnData!H556:H566)</f>
        <v>1.7090909090909091E-2</v>
      </c>
      <c r="I556" s="16">
        <f>AVERAGE(ReturnData!I556:I566)</f>
        <v>3.3363636363636366E-2</v>
      </c>
      <c r="J556" s="16">
        <f>AVERAGE(ReturnData!J556:J566)</f>
        <v>3.0518181818181812E-2</v>
      </c>
      <c r="K556" s="16">
        <f>AVERAGE(ReturnData!K556:K566)</f>
        <v>3.4154545454545458E-2</v>
      </c>
      <c r="L556" s="16">
        <f>AVERAGE(ReturnData!L556:L566)</f>
        <v>3.9727272727272729E-2</v>
      </c>
      <c r="M556" s="16">
        <f>AVERAGE(ReturnData!M556:M566)</f>
        <v>0.11384545454545454</v>
      </c>
      <c r="N556" s="16">
        <f>AVERAGE(ReturnData!N556:N566)</f>
        <v>1.5772727272727275E-2</v>
      </c>
      <c r="O556" s="16">
        <f>AVERAGE(ReturnData!O556:O566)</f>
        <v>2.6090909090909094E-3</v>
      </c>
      <c r="P556" s="16">
        <f>AVERAGE(ReturnData!P556:P566)</f>
        <v>3.8890909090909094E-2</v>
      </c>
      <c r="Q556" s="16">
        <f>AVERAGE(ReturnData!Q556:Q566)</f>
        <v>1.5872727272727271E-2</v>
      </c>
    </row>
    <row r="557" spans="1:17" x14ac:dyDescent="0.25">
      <c r="A557">
        <f>ReturnData!A569</f>
        <v>202104</v>
      </c>
      <c r="B557" s="16">
        <f>AVERAGE(ReturnData!B557:B567)</f>
        <v>2.224545454545454E-2</v>
      </c>
      <c r="C557" s="16">
        <f>AVERAGE(ReturnData!C557:C567)</f>
        <v>6.9427272727272726E-2</v>
      </c>
      <c r="D557" s="16">
        <f>AVERAGE(ReturnData!D557:D567)</f>
        <v>6.4409090909090916E-2</v>
      </c>
      <c r="E557" s="16">
        <f>AVERAGE(ReturnData!E557:E567)</f>
        <v>5.5881818181818171E-2</v>
      </c>
      <c r="F557" s="16">
        <f>AVERAGE(ReturnData!F557:F567)</f>
        <v>7.983636363636365E-2</v>
      </c>
      <c r="G557" s="16">
        <f>AVERAGE(ReturnData!G557:G567)</f>
        <v>5.5854545454545462E-2</v>
      </c>
      <c r="H557" s="16">
        <f>AVERAGE(ReturnData!H557:H567)</f>
        <v>1.780909090909091E-2</v>
      </c>
      <c r="I557" s="16">
        <f>AVERAGE(ReturnData!I557:I567)</f>
        <v>5.16E-2</v>
      </c>
      <c r="J557" s="16">
        <f>AVERAGE(ReturnData!J557:J567)</f>
        <v>6.654545454545456E-2</v>
      </c>
      <c r="K557" s="16">
        <f>AVERAGE(ReturnData!K557:K567)</f>
        <v>5.4763636363636355E-2</v>
      </c>
      <c r="L557" s="16">
        <f>AVERAGE(ReturnData!L557:L567)</f>
        <v>5.4018181818181812E-2</v>
      </c>
      <c r="M557" s="16">
        <f>AVERAGE(ReturnData!M557:M567)</f>
        <v>0.12653636363636364</v>
      </c>
      <c r="N557" s="16">
        <f>AVERAGE(ReturnData!N557:N567)</f>
        <v>4.4354545454545452E-2</v>
      </c>
      <c r="O557" s="16">
        <f>AVERAGE(ReturnData!O557:O567)</f>
        <v>1.0218181818181817E-2</v>
      </c>
      <c r="P557" s="16">
        <f>AVERAGE(ReturnData!P557:P567)</f>
        <v>4.0527272727272724E-2</v>
      </c>
      <c r="Q557" s="16">
        <f>AVERAGE(ReturnData!Q557:Q567)</f>
        <v>4.3990909090909087E-2</v>
      </c>
    </row>
    <row r="558" spans="1:17" x14ac:dyDescent="0.25">
      <c r="A558">
        <f>ReturnData!A570</f>
        <v>202105</v>
      </c>
      <c r="B558" s="16">
        <f>AVERAGE(ReturnData!B558:B568)</f>
        <v>2.1009090909090911E-2</v>
      </c>
      <c r="C558" s="16">
        <f>AVERAGE(ReturnData!C558:C568)</f>
        <v>5.4299999999999987E-2</v>
      </c>
      <c r="D558" s="16">
        <f>AVERAGE(ReturnData!D558:D568)</f>
        <v>3.6718181818181816E-2</v>
      </c>
      <c r="E558" s="16">
        <f>AVERAGE(ReturnData!E558:E568)</f>
        <v>4.641818181818181E-2</v>
      </c>
      <c r="F558" s="16">
        <f>AVERAGE(ReturnData!F558:F568)</f>
        <v>6.1236363636363637E-2</v>
      </c>
      <c r="G558" s="16">
        <f>AVERAGE(ReturnData!G558:G568)</f>
        <v>4.6309090909090904E-2</v>
      </c>
      <c r="H558" s="16">
        <f>AVERAGE(ReturnData!H558:H568)</f>
        <v>1.2772727272727274E-2</v>
      </c>
      <c r="I558" s="16">
        <f>AVERAGE(ReturnData!I558:I568)</f>
        <v>4.8609090909090907E-2</v>
      </c>
      <c r="J558" s="16">
        <f>AVERAGE(ReturnData!J558:J568)</f>
        <v>7.6236363636363644E-2</v>
      </c>
      <c r="K558" s="16">
        <f>AVERAGE(ReturnData!K558:K568)</f>
        <v>4.8854545454545456E-2</v>
      </c>
      <c r="L558" s="16">
        <f>AVERAGE(ReturnData!L558:L568)</f>
        <v>4.5172727272727281E-2</v>
      </c>
      <c r="M558" s="16">
        <f>AVERAGE(ReturnData!M558:M568)</f>
        <v>0.10410909090909092</v>
      </c>
      <c r="N558" s="16">
        <f>AVERAGE(ReturnData!N558:N568)</f>
        <v>4.4345454545454549E-2</v>
      </c>
      <c r="O558" s="16">
        <f>AVERAGE(ReturnData!O558:O568)</f>
        <v>1.5027272727272724E-2</v>
      </c>
      <c r="P558" s="16">
        <f>AVERAGE(ReturnData!P558:P568)</f>
        <v>2.689090909090909E-2</v>
      </c>
      <c r="Q558" s="16">
        <f>AVERAGE(ReturnData!Q558:Q568)</f>
        <v>3.849090909090909E-2</v>
      </c>
    </row>
    <row r="559" spans="1:17" x14ac:dyDescent="0.25">
      <c r="A559">
        <f>ReturnData!A571</f>
        <v>202106</v>
      </c>
      <c r="B559" s="16">
        <f>AVERAGE(ReturnData!B559:B569)</f>
        <v>2.1418181818181822E-2</v>
      </c>
      <c r="C559" s="16">
        <f>AVERAGE(ReturnData!C559:C569)</f>
        <v>5.6399999999999999E-2</v>
      </c>
      <c r="D559" s="16">
        <f>AVERAGE(ReturnData!D559:D569)</f>
        <v>3.6754545454545456E-2</v>
      </c>
      <c r="E559" s="16">
        <f>AVERAGE(ReturnData!E559:E569)</f>
        <v>4.0645454545454547E-2</v>
      </c>
      <c r="F559" s="16">
        <f>AVERAGE(ReturnData!F559:F569)</f>
        <v>5.9845454545454542E-2</v>
      </c>
      <c r="G559" s="16">
        <f>AVERAGE(ReturnData!G559:G569)</f>
        <v>4.0818181818181816E-2</v>
      </c>
      <c r="H559" s="16">
        <f>AVERAGE(ReturnData!H559:H569)</f>
        <v>1.1563636363636364E-2</v>
      </c>
      <c r="I559" s="16">
        <f>AVERAGE(ReturnData!I559:I569)</f>
        <v>4.1536363636363642E-2</v>
      </c>
      <c r="J559" s="16">
        <f>AVERAGE(ReturnData!J559:J569)</f>
        <v>7.3536363636363636E-2</v>
      </c>
      <c r="K559" s="16">
        <f>AVERAGE(ReturnData!K559:K569)</f>
        <v>4.6309090909090918E-2</v>
      </c>
      <c r="L559" s="16">
        <f>AVERAGE(ReturnData!L559:L569)</f>
        <v>3.9854545454545462E-2</v>
      </c>
      <c r="M559" s="16">
        <f>AVERAGE(ReturnData!M559:M569)</f>
        <v>0.1004</v>
      </c>
      <c r="N559" s="16">
        <f>AVERAGE(ReturnData!N559:N569)</f>
        <v>4.121818181818182E-2</v>
      </c>
      <c r="O559" s="16">
        <f>AVERAGE(ReturnData!O559:O569)</f>
        <v>1.4454545454545453E-2</v>
      </c>
      <c r="P559" s="16">
        <f>AVERAGE(ReturnData!P559:P569)</f>
        <v>3.1754545454545459E-2</v>
      </c>
      <c r="Q559" s="16">
        <f>AVERAGE(ReturnData!Q559:Q569)</f>
        <v>4.0818181818181816E-2</v>
      </c>
    </row>
    <row r="560" spans="1:17" x14ac:dyDescent="0.25">
      <c r="A560">
        <f>ReturnData!A572</f>
        <v>202107</v>
      </c>
      <c r="B560" s="16">
        <f>AVERAGE(ReturnData!B560:B570)</f>
        <v>2.4163636363636366E-2</v>
      </c>
      <c r="C560" s="16">
        <f>AVERAGE(ReturnData!C560:C570)</f>
        <v>5.8163636363636369E-2</v>
      </c>
      <c r="D560" s="16">
        <f>AVERAGE(ReturnData!D560:D570)</f>
        <v>4.2781818181818185E-2</v>
      </c>
      <c r="E560" s="16">
        <f>AVERAGE(ReturnData!E560:E570)</f>
        <v>3.7345454545454543E-2</v>
      </c>
      <c r="F560" s="16">
        <f>AVERAGE(ReturnData!F560:F570)</f>
        <v>5.7254545454545468E-2</v>
      </c>
      <c r="G560" s="16">
        <f>AVERAGE(ReturnData!G560:G570)</f>
        <v>4.4163636363636363E-2</v>
      </c>
      <c r="H560" s="16">
        <f>AVERAGE(ReturnData!H560:H570)</f>
        <v>1.5445454545454547E-2</v>
      </c>
      <c r="I560" s="16">
        <f>AVERAGE(ReturnData!I560:I570)</f>
        <v>3.896363636363636E-2</v>
      </c>
      <c r="J560" s="16">
        <f>AVERAGE(ReturnData!J560:J570)</f>
        <v>8.2454545454545461E-2</v>
      </c>
      <c r="K560" s="16">
        <f>AVERAGE(ReturnData!K560:K570)</f>
        <v>3.9845454545454552E-2</v>
      </c>
      <c r="L560" s="16">
        <f>AVERAGE(ReturnData!L560:L570)</f>
        <v>3.8990909090909097E-2</v>
      </c>
      <c r="M560" s="16">
        <f>AVERAGE(ReturnData!M560:M570)</f>
        <v>8.4890909090909086E-2</v>
      </c>
      <c r="N560" s="16">
        <f>AVERAGE(ReturnData!N560:N570)</f>
        <v>4.183636363636363E-2</v>
      </c>
      <c r="O560" s="16">
        <f>AVERAGE(ReturnData!O560:O570)</f>
        <v>1.7945454545454542E-2</v>
      </c>
      <c r="P560" s="16">
        <f>AVERAGE(ReturnData!P560:P570)</f>
        <v>2.4663636363636367E-2</v>
      </c>
      <c r="Q560" s="16">
        <f>AVERAGE(ReturnData!Q560:Q570)</f>
        <v>4.402727272727272E-2</v>
      </c>
    </row>
    <row r="561" spans="1:17" x14ac:dyDescent="0.25">
      <c r="A561">
        <f>ReturnData!A573</f>
        <v>202108</v>
      </c>
      <c r="B561" s="16">
        <f>AVERAGE(ReturnData!B561:B571)</f>
        <v>1.6981818181818178E-2</v>
      </c>
      <c r="C561" s="16">
        <f>AVERAGE(ReturnData!C561:C571)</f>
        <v>4.1527272727272718E-2</v>
      </c>
      <c r="D561" s="16">
        <f>AVERAGE(ReturnData!D561:D571)</f>
        <v>5.2545454545454541E-2</v>
      </c>
      <c r="E561" s="16">
        <f>AVERAGE(ReturnData!E561:E571)</f>
        <v>4.4463636363636358E-2</v>
      </c>
      <c r="F561" s="16">
        <f>AVERAGE(ReturnData!F561:F571)</f>
        <v>5.1254545454545448E-2</v>
      </c>
      <c r="G561" s="16">
        <f>AVERAGE(ReturnData!G561:G571)</f>
        <v>3.315454545454545E-2</v>
      </c>
      <c r="H561" s="16">
        <f>AVERAGE(ReturnData!H561:H571)</f>
        <v>1.3227272727272726E-2</v>
      </c>
      <c r="I561" s="16">
        <f>AVERAGE(ReturnData!I561:I571)</f>
        <v>2.8818181818181819E-2</v>
      </c>
      <c r="J561" s="16">
        <f>AVERAGE(ReturnData!J561:J571)</f>
        <v>7.4854545454545451E-2</v>
      </c>
      <c r="K561" s="16">
        <f>AVERAGE(ReturnData!K561:K571)</f>
        <v>3.9245454545454556E-2</v>
      </c>
      <c r="L561" s="16">
        <f>AVERAGE(ReturnData!L561:L571)</f>
        <v>3.7345454545454543E-2</v>
      </c>
      <c r="M561" s="16">
        <f>AVERAGE(ReturnData!M561:M571)</f>
        <v>7.3099999999999998E-2</v>
      </c>
      <c r="N561" s="16">
        <f>AVERAGE(ReturnData!N561:N571)</f>
        <v>3.6718181818181816E-2</v>
      </c>
      <c r="O561" s="16">
        <f>AVERAGE(ReturnData!O561:O571)</f>
        <v>1.0890909090909088E-2</v>
      </c>
      <c r="P561" s="16">
        <f>AVERAGE(ReturnData!P561:P571)</f>
        <v>1.9072727272727272E-2</v>
      </c>
      <c r="Q561" s="16">
        <f>AVERAGE(ReturnData!Q561:Q571)</f>
        <v>4.0181818181818173E-2</v>
      </c>
    </row>
    <row r="562" spans="1:17" x14ac:dyDescent="0.25">
      <c r="A562">
        <f>ReturnData!A574</f>
        <v>202109</v>
      </c>
      <c r="B562" s="16">
        <f>AVERAGE(ReturnData!B562:B572)</f>
        <v>1.3245454545454543E-2</v>
      </c>
      <c r="C562" s="16">
        <f>AVERAGE(ReturnData!C562:C572)</f>
        <v>3.8190909090909081E-2</v>
      </c>
      <c r="D562" s="16">
        <f>AVERAGE(ReturnData!D562:D572)</f>
        <v>4.5436363636363636E-2</v>
      </c>
      <c r="E562" s="16">
        <f>AVERAGE(ReturnData!E562:E572)</f>
        <v>3.7427272727272726E-2</v>
      </c>
      <c r="F562" s="16">
        <f>AVERAGE(ReturnData!F562:F572)</f>
        <v>4.5036363636363638E-2</v>
      </c>
      <c r="G562" s="16">
        <f>AVERAGE(ReturnData!G562:G572)</f>
        <v>2.8354545454545452E-2</v>
      </c>
      <c r="H562" s="16">
        <f>AVERAGE(ReturnData!H562:H572)</f>
        <v>1.3399999999999997E-2</v>
      </c>
      <c r="I562" s="16">
        <f>AVERAGE(ReturnData!I562:I572)</f>
        <v>2.357272727272727E-2</v>
      </c>
      <c r="J562" s="16">
        <f>AVERAGE(ReturnData!J562:J572)</f>
        <v>7.389090909090909E-2</v>
      </c>
      <c r="K562" s="16">
        <f>AVERAGE(ReturnData!K562:K572)</f>
        <v>3.164545454545456E-2</v>
      </c>
      <c r="L562" s="16">
        <f>AVERAGE(ReturnData!L562:L572)</f>
        <v>3.3672727272727271E-2</v>
      </c>
      <c r="M562" s="16">
        <f>AVERAGE(ReturnData!M562:M572)</f>
        <v>3.7663636363636364E-2</v>
      </c>
      <c r="N562" s="16">
        <f>AVERAGE(ReturnData!N562:N572)</f>
        <v>2.4318181818181808E-2</v>
      </c>
      <c r="O562" s="16">
        <f>AVERAGE(ReturnData!O562:O572)</f>
        <v>1.5627272727272726E-2</v>
      </c>
      <c r="P562" s="16">
        <f>AVERAGE(ReturnData!P562:P572)</f>
        <v>1.0772727272727274E-2</v>
      </c>
      <c r="Q562" s="16">
        <f>AVERAGE(ReturnData!Q562:Q572)</f>
        <v>3.5918181818181814E-2</v>
      </c>
    </row>
    <row r="563" spans="1:17" x14ac:dyDescent="0.25">
      <c r="A563">
        <f>ReturnData!A575</f>
        <v>202110</v>
      </c>
      <c r="B563" s="16">
        <f>AVERAGE(ReturnData!B563:B573)</f>
        <v>1.4618181818181813E-2</v>
      </c>
      <c r="C563" s="16">
        <f>AVERAGE(ReturnData!C563:C573)</f>
        <v>3.6836363636363632E-2</v>
      </c>
      <c r="D563" s="16">
        <f>AVERAGE(ReturnData!D563:D573)</f>
        <v>5.8236363636363642E-2</v>
      </c>
      <c r="E563" s="16">
        <f>AVERAGE(ReturnData!E563:E573)</f>
        <v>3.1718181818181819E-2</v>
      </c>
      <c r="F563" s="16">
        <f>AVERAGE(ReturnData!F563:F573)</f>
        <v>3.7627272727272731E-2</v>
      </c>
      <c r="G563" s="16">
        <f>AVERAGE(ReturnData!G563:G573)</f>
        <v>2.8109090909090903E-2</v>
      </c>
      <c r="H563" s="16">
        <f>AVERAGE(ReturnData!H563:H573)</f>
        <v>1.7763636363636363E-2</v>
      </c>
      <c r="I563" s="16">
        <f>AVERAGE(ReturnData!I563:I573)</f>
        <v>2.5236363636363633E-2</v>
      </c>
      <c r="J563" s="16">
        <f>AVERAGE(ReturnData!J563:J573)</f>
        <v>8.1572727272727255E-2</v>
      </c>
      <c r="K563" s="16">
        <f>AVERAGE(ReturnData!K563:K573)</f>
        <v>3.6554545454545465E-2</v>
      </c>
      <c r="L563" s="16">
        <f>AVERAGE(ReturnData!L563:L573)</f>
        <v>3.7536363636363639E-2</v>
      </c>
      <c r="M563" s="16">
        <f>AVERAGE(ReturnData!M563:M573)</f>
        <v>4.7863636363636358E-2</v>
      </c>
      <c r="N563" s="16">
        <f>AVERAGE(ReturnData!N563:N573)</f>
        <v>2.4490909090909087E-2</v>
      </c>
      <c r="O563" s="16">
        <f>AVERAGE(ReturnData!O563:O573)</f>
        <v>1.8854545454545454E-2</v>
      </c>
      <c r="P563" s="16">
        <f>AVERAGE(ReturnData!P563:P573)</f>
        <v>1.7527272727272725E-2</v>
      </c>
      <c r="Q563" s="16">
        <f>AVERAGE(ReturnData!Q563:Q573)</f>
        <v>4.2236363636363627E-2</v>
      </c>
    </row>
    <row r="564" spans="1:17" x14ac:dyDescent="0.25">
      <c r="A564">
        <f>ReturnData!A576</f>
        <v>202111</v>
      </c>
      <c r="B564" s="16">
        <f>AVERAGE(ReturnData!B564:B574)</f>
        <v>1.4609090909090905E-2</v>
      </c>
      <c r="C564" s="16">
        <f>AVERAGE(ReturnData!C564:C574)</f>
        <v>2.3281818181818181E-2</v>
      </c>
      <c r="D564" s="16">
        <f>AVERAGE(ReturnData!D564:D574)</f>
        <v>7.2754545454545461E-2</v>
      </c>
      <c r="E564" s="16">
        <f>AVERAGE(ReturnData!E564:E574)</f>
        <v>2.4836363636363636E-2</v>
      </c>
      <c r="F564" s="16">
        <f>AVERAGE(ReturnData!F564:F574)</f>
        <v>2.6572727272727279E-2</v>
      </c>
      <c r="G564" s="16">
        <f>AVERAGE(ReturnData!G564:G574)</f>
        <v>2.4381818181818182E-2</v>
      </c>
      <c r="H564" s="16">
        <f>AVERAGE(ReturnData!H564:H574)</f>
        <v>1.7018181818181818E-2</v>
      </c>
      <c r="I564" s="16">
        <f>AVERAGE(ReturnData!I564:I574)</f>
        <v>2.5109090909090904E-2</v>
      </c>
      <c r="J564" s="16">
        <f>AVERAGE(ReturnData!J564:J574)</f>
        <v>6.525454545454544E-2</v>
      </c>
      <c r="K564" s="16">
        <f>AVERAGE(ReturnData!K564:K574)</f>
        <v>2.6218181818181831E-2</v>
      </c>
      <c r="L564" s="16">
        <f>AVERAGE(ReturnData!L564:L574)</f>
        <v>3.2845454545454553E-2</v>
      </c>
      <c r="M564" s="16">
        <f>AVERAGE(ReturnData!M564:M574)</f>
        <v>5.5018181818181813E-2</v>
      </c>
      <c r="N564" s="16">
        <f>AVERAGE(ReturnData!N564:N574)</f>
        <v>2.6754545454545454E-2</v>
      </c>
      <c r="O564" s="16">
        <f>AVERAGE(ReturnData!O564:O574)</f>
        <v>1.0372727272727271E-2</v>
      </c>
      <c r="P564" s="16">
        <f>AVERAGE(ReturnData!P564:P574)</f>
        <v>1.5045454545454546E-2</v>
      </c>
      <c r="Q564" s="16">
        <f>AVERAGE(ReturnData!Q564:Q574)</f>
        <v>4.1563636363636351E-2</v>
      </c>
    </row>
    <row r="565" spans="1:17" x14ac:dyDescent="0.25">
      <c r="A565">
        <f>ReturnData!A577</f>
        <v>202112</v>
      </c>
      <c r="B565" s="16">
        <f>AVERAGE(ReturnData!B565:B575)</f>
        <v>8.9727272727272711E-3</v>
      </c>
      <c r="C565" s="16">
        <f>AVERAGE(ReturnData!C565:C575)</f>
        <v>2.3999999999999997E-2</v>
      </c>
      <c r="D565" s="16">
        <f>AVERAGE(ReturnData!D565:D575)</f>
        <v>5.5836363636363642E-2</v>
      </c>
      <c r="E565" s="16">
        <f>AVERAGE(ReturnData!E565:E575)</f>
        <v>2.2063636363636365E-2</v>
      </c>
      <c r="F565" s="16">
        <f>AVERAGE(ReturnData!F565:F575)</f>
        <v>1.7081818181818184E-2</v>
      </c>
      <c r="G565" s="16">
        <f>AVERAGE(ReturnData!G565:G575)</f>
        <v>1.9436363636363637E-2</v>
      </c>
      <c r="H565" s="16">
        <f>AVERAGE(ReturnData!H565:H575)</f>
        <v>1.3972727272727274E-2</v>
      </c>
      <c r="I565" s="16">
        <f>AVERAGE(ReturnData!I565:I575)</f>
        <v>2.9618181818181821E-2</v>
      </c>
      <c r="J565" s="16">
        <f>AVERAGE(ReturnData!J565:J575)</f>
        <v>5.7072727272727268E-2</v>
      </c>
      <c r="K565" s="16">
        <f>AVERAGE(ReturnData!K565:K575)</f>
        <v>1.5054545454545454E-2</v>
      </c>
      <c r="L565" s="16">
        <f>AVERAGE(ReturnData!L565:L575)</f>
        <v>2.6845454545454547E-2</v>
      </c>
      <c r="M565" s="16">
        <f>AVERAGE(ReturnData!M565:M575)</f>
        <v>5.5036363636363633E-2</v>
      </c>
      <c r="N565" s="16">
        <f>AVERAGE(ReturnData!N565:N575)</f>
        <v>1.410909090909091E-2</v>
      </c>
      <c r="O565" s="16">
        <f>AVERAGE(ReturnData!O565:O575)</f>
        <v>1.2581818181818182E-2</v>
      </c>
      <c r="P565" s="16">
        <f>AVERAGE(ReturnData!P565:P575)</f>
        <v>1.0918181818181818E-2</v>
      </c>
      <c r="Q565" s="16">
        <f>AVERAGE(ReturnData!Q565:Q575)</f>
        <v>3.3163636363636367E-2</v>
      </c>
    </row>
    <row r="566" spans="1:17" x14ac:dyDescent="0.25">
      <c r="A566">
        <f>ReturnData!A578</f>
        <v>202201</v>
      </c>
      <c r="B566" s="16">
        <f>AVERAGE(ReturnData!B566:B576)</f>
        <v>2.8909090909090903E-3</v>
      </c>
      <c r="C566" s="16">
        <f>AVERAGE(ReturnData!C566:C576)</f>
        <v>1.6045454545454547E-2</v>
      </c>
      <c r="D566" s="16">
        <f>AVERAGE(ReturnData!D566:D576)</f>
        <v>4.532727272727273E-2</v>
      </c>
      <c r="E566" s="16">
        <f>AVERAGE(ReturnData!E566:E576)</f>
        <v>1.7763636363636367E-2</v>
      </c>
      <c r="F566" s="16">
        <f>AVERAGE(ReturnData!F566:F576)</f>
        <v>4.1818181818181754E-4</v>
      </c>
      <c r="G566" s="16">
        <f>AVERAGE(ReturnData!G566:G576)</f>
        <v>1.377272727272727E-2</v>
      </c>
      <c r="H566" s="16">
        <f>AVERAGE(ReturnData!H566:H576)</f>
        <v>9.700000000000002E-3</v>
      </c>
      <c r="I566" s="16">
        <f>AVERAGE(ReturnData!I566:I576)</f>
        <v>3.442727272727273E-2</v>
      </c>
      <c r="J566" s="16">
        <f>AVERAGE(ReturnData!J566:J576)</f>
        <v>4.5499999999999992E-2</v>
      </c>
      <c r="K566" s="16">
        <f>AVERAGE(ReturnData!K566:K576)</f>
        <v>1.2800000000000001E-2</v>
      </c>
      <c r="L566" s="16">
        <f>AVERAGE(ReturnData!L566:L576)</f>
        <v>2.929090909090909E-2</v>
      </c>
      <c r="M566" s="16">
        <f>AVERAGE(ReturnData!M566:M576)</f>
        <v>4.3490909090909087E-2</v>
      </c>
      <c r="N566" s="16">
        <f>AVERAGE(ReturnData!N566:N576)</f>
        <v>8.1727272727272707E-3</v>
      </c>
      <c r="O566" s="16">
        <f>AVERAGE(ReturnData!O566:O576)</f>
        <v>1.0227272727272725E-2</v>
      </c>
      <c r="P566" s="16">
        <f>AVERAGE(ReturnData!P566:P576)</f>
        <v>1.0654545454545453E-2</v>
      </c>
      <c r="Q566" s="16">
        <f>AVERAGE(ReturnData!Q566:Q576)</f>
        <v>2.1718181818181817E-2</v>
      </c>
    </row>
    <row r="567" spans="1:17" x14ac:dyDescent="0.25">
      <c r="A567">
        <f>ReturnData!A579</f>
        <v>202202</v>
      </c>
      <c r="B567" s="16">
        <f>AVERAGE(ReturnData!B567:B577)</f>
        <v>1.6436363636363634E-2</v>
      </c>
      <c r="C567" s="16">
        <f>AVERAGE(ReturnData!C567:C577)</f>
        <v>2.3372727272727271E-2</v>
      </c>
      <c r="D567" s="16">
        <f>AVERAGE(ReturnData!D567:D577)</f>
        <v>4.367272727272728E-2</v>
      </c>
      <c r="E567" s="16">
        <f>AVERAGE(ReturnData!E567:E577)</f>
        <v>1.9018181818181819E-2</v>
      </c>
      <c r="F567" s="16">
        <f>AVERAGE(ReturnData!F567:F577)</f>
        <v>-4.0909090909090881E-4</v>
      </c>
      <c r="G567" s="16">
        <f>AVERAGE(ReturnData!G567:G577)</f>
        <v>1.8209090909090907E-2</v>
      </c>
      <c r="H567" s="16">
        <f>AVERAGE(ReturnData!H567:H577)</f>
        <v>1.9327272727272731E-2</v>
      </c>
      <c r="I567" s="16">
        <f>AVERAGE(ReturnData!I567:I577)</f>
        <v>3.8336363636363641E-2</v>
      </c>
      <c r="J567" s="16">
        <f>AVERAGE(ReturnData!J567:J577)</f>
        <v>5.8763636363636358E-2</v>
      </c>
      <c r="K567" s="16">
        <f>AVERAGE(ReturnData!K567:K577)</f>
        <v>1.6045454545454543E-2</v>
      </c>
      <c r="L567" s="16">
        <f>AVERAGE(ReturnData!L567:L577)</f>
        <v>2.9227272727272727E-2</v>
      </c>
      <c r="M567" s="16">
        <f>AVERAGE(ReturnData!M567:M577)</f>
        <v>3.1100000000000003E-2</v>
      </c>
      <c r="N567" s="16">
        <f>AVERAGE(ReturnData!N567:N577)</f>
        <v>1.9809090909090905E-2</v>
      </c>
      <c r="O567" s="16">
        <f>AVERAGE(ReturnData!O567:O577)</f>
        <v>1.8399999999999996E-2</v>
      </c>
      <c r="P567" s="16">
        <f>AVERAGE(ReturnData!P567:P577)</f>
        <v>1.0636363636363635E-2</v>
      </c>
      <c r="Q567" s="16">
        <f>AVERAGE(ReturnData!Q567:Q577)</f>
        <v>2.8563636363636367E-2</v>
      </c>
    </row>
    <row r="568" spans="1:17" x14ac:dyDescent="0.25">
      <c r="A568">
        <f>ReturnData!A580</f>
        <v>202203</v>
      </c>
      <c r="B568" s="16">
        <f>AVERAGE(ReturnData!B568:B578)</f>
        <v>1.6154545454545453E-2</v>
      </c>
      <c r="C568" s="16">
        <f>AVERAGE(ReturnData!C568:C578)</f>
        <v>1.0172727272727273E-2</v>
      </c>
      <c r="D568" s="16">
        <f>AVERAGE(ReturnData!D568:D578)</f>
        <v>3.8172727272727275E-2</v>
      </c>
      <c r="E568" s="16">
        <f>AVERAGE(ReturnData!E568:E578)</f>
        <v>4.5545454545454561E-3</v>
      </c>
      <c r="F568" s="16">
        <f>AVERAGE(ReturnData!F568:F578)</f>
        <v>-1.5063636363636364E-2</v>
      </c>
      <c r="G568" s="16">
        <f>AVERAGE(ReturnData!G568:G578)</f>
        <v>1.0599999999999998E-2</v>
      </c>
      <c r="H568" s="16">
        <f>AVERAGE(ReturnData!H568:H578)</f>
        <v>1.7872727272727273E-2</v>
      </c>
      <c r="I568" s="16">
        <f>AVERAGE(ReturnData!I568:I578)</f>
        <v>2.7436363636363644E-2</v>
      </c>
      <c r="J568" s="16">
        <f>AVERAGE(ReturnData!J568:J578)</f>
        <v>3.3527272727272725E-2</v>
      </c>
      <c r="K568" s="16">
        <f>AVERAGE(ReturnData!K568:K578)</f>
        <v>8.2636363636363636E-3</v>
      </c>
      <c r="L568" s="16">
        <f>AVERAGE(ReturnData!L568:L578)</f>
        <v>1.5436363636363637E-2</v>
      </c>
      <c r="M568" s="16">
        <f>AVERAGE(ReturnData!M568:M578)</f>
        <v>3.0090909090909088E-2</v>
      </c>
      <c r="N568" s="16">
        <f>AVERAGE(ReturnData!N568:N578)</f>
        <v>9.1818181818181816E-3</v>
      </c>
      <c r="O568" s="16">
        <f>AVERAGE(ReturnData!O568:O578)</f>
        <v>2.0645454545454547E-2</v>
      </c>
      <c r="P568" s="16">
        <f>AVERAGE(ReturnData!P568:P578)</f>
        <v>4.7999999999999996E-3</v>
      </c>
      <c r="Q568" s="16">
        <f>AVERAGE(ReturnData!Q568:Q578)</f>
        <v>1.8163636363636364E-2</v>
      </c>
    </row>
    <row r="569" spans="1:17" x14ac:dyDescent="0.25">
      <c r="A569">
        <f>ReturnData!A581</f>
        <v>202204</v>
      </c>
      <c r="B569" s="16">
        <f>AVERAGE(ReturnData!B569:B579)</f>
        <v>9.5818181818181827E-3</v>
      </c>
      <c r="C569" s="16">
        <f>AVERAGE(ReturnData!C569:C579)</f>
        <v>1.898181818181818E-2</v>
      </c>
      <c r="D569" s="16">
        <f>AVERAGE(ReturnData!D569:D579)</f>
        <v>4.3509090909090914E-2</v>
      </c>
      <c r="E569" s="16">
        <f>AVERAGE(ReturnData!E569:E579)</f>
        <v>-1.509090909090907E-3</v>
      </c>
      <c r="F569" s="16">
        <f>AVERAGE(ReturnData!F569:F579)</f>
        <v>-1.6790909090909092E-2</v>
      </c>
      <c r="G569" s="16">
        <f>AVERAGE(ReturnData!G569:G579)</f>
        <v>3.5818181818181808E-3</v>
      </c>
      <c r="H569" s="16">
        <f>AVERAGE(ReturnData!H569:H579)</f>
        <v>1.0790909090909092E-2</v>
      </c>
      <c r="I569" s="16">
        <f>AVERAGE(ReturnData!I569:I579)</f>
        <v>6.7454545454545458E-3</v>
      </c>
      <c r="J569" s="16">
        <f>AVERAGE(ReturnData!J569:J579)</f>
        <v>3.4990909090909093E-2</v>
      </c>
      <c r="K569" s="16">
        <f>AVERAGE(ReturnData!K569:K579)</f>
        <v>3.8818181818181812E-3</v>
      </c>
      <c r="L569" s="16">
        <f>AVERAGE(ReturnData!L569:L579)</f>
        <v>1.1090909090909089E-2</v>
      </c>
      <c r="M569" s="16">
        <f>AVERAGE(ReturnData!M569:M579)</f>
        <v>2.1954545454545452E-2</v>
      </c>
      <c r="N569" s="16">
        <f>AVERAGE(ReturnData!N569:N579)</f>
        <v>3.3181818181818173E-3</v>
      </c>
      <c r="O569" s="16">
        <f>AVERAGE(ReturnData!O569:O579)</f>
        <v>1.0218181818181821E-2</v>
      </c>
      <c r="P569" s="16">
        <f>AVERAGE(ReturnData!P569:P579)</f>
        <v>1.4818181818181829E-3</v>
      </c>
      <c r="Q569" s="16">
        <f>AVERAGE(ReturnData!Q569:Q579)</f>
        <v>1.1354545454545457E-2</v>
      </c>
    </row>
    <row r="570" spans="1:17" x14ac:dyDescent="0.25">
      <c r="A570">
        <f>ReturnData!A582</f>
        <v>202205</v>
      </c>
      <c r="B570" s="16">
        <f>AVERAGE(ReturnData!B570:B580)</f>
        <v>7.7272727272727276E-3</v>
      </c>
      <c r="C570" s="16">
        <f>AVERAGE(ReturnData!C570:C580)</f>
        <v>2.3345454545454548E-2</v>
      </c>
      <c r="D570" s="16">
        <f>AVERAGE(ReturnData!D570:D580)</f>
        <v>5.2027272727272728E-2</v>
      </c>
      <c r="E570" s="16">
        <f>AVERAGE(ReturnData!E570:E580)</f>
        <v>-7.090909090909087E-3</v>
      </c>
      <c r="F570" s="16">
        <f>AVERAGE(ReturnData!F570:F580)</f>
        <v>-2.4872727272727269E-2</v>
      </c>
      <c r="G570" s="16">
        <f>AVERAGE(ReturnData!G570:G580)</f>
        <v>5.8727272727272708E-3</v>
      </c>
      <c r="H570" s="16">
        <f>AVERAGE(ReturnData!H570:H580)</f>
        <v>1.4454545454545458E-2</v>
      </c>
      <c r="I570" s="16">
        <f>AVERAGE(ReturnData!I570:I580)</f>
        <v>-4.8090909090909104E-3</v>
      </c>
      <c r="J570" s="16">
        <f>AVERAGE(ReturnData!J570:J580)</f>
        <v>4.652727272727273E-2</v>
      </c>
      <c r="K570" s="16">
        <f>AVERAGE(ReturnData!K570:K580)</f>
        <v>-6.5454545454545377E-4</v>
      </c>
      <c r="L570" s="16">
        <f>AVERAGE(ReturnData!L570:L580)</f>
        <v>1.2227272727272724E-2</v>
      </c>
      <c r="M570" s="16">
        <f>AVERAGE(ReturnData!M570:M580)</f>
        <v>3.145454545454545E-2</v>
      </c>
      <c r="N570" s="16">
        <f>AVERAGE(ReturnData!N570:N580)</f>
        <v>2.4454545454545454E-3</v>
      </c>
      <c r="O570" s="16">
        <f>AVERAGE(ReturnData!O570:O580)</f>
        <v>1.5399999999999999E-2</v>
      </c>
      <c r="P570" s="16">
        <f>AVERAGE(ReturnData!P570:P580)</f>
        <v>-1.6272727272727253E-3</v>
      </c>
      <c r="Q570" s="16">
        <f>AVERAGE(ReturnData!Q570:Q580)</f>
        <v>4.7454545454545449E-3</v>
      </c>
    </row>
    <row r="571" spans="1:17" x14ac:dyDescent="0.25">
      <c r="A571">
        <f>ReturnData!A583</f>
        <v>202206</v>
      </c>
      <c r="B571" s="16">
        <f>AVERAGE(ReturnData!B571:B581)</f>
        <v>8.5090909090909106E-3</v>
      </c>
      <c r="C571" s="16">
        <f>AVERAGE(ReturnData!C571:C581)</f>
        <v>3.2363636363636344E-3</v>
      </c>
      <c r="D571" s="16">
        <f>AVERAGE(ReturnData!D571:D581)</f>
        <v>4.5118181818181828E-2</v>
      </c>
      <c r="E571" s="16">
        <f>AVERAGE(ReturnData!E571:E581)</f>
        <v>-1.2436363636363634E-2</v>
      </c>
      <c r="F571" s="16">
        <f>AVERAGE(ReturnData!F571:F581)</f>
        <v>-3.7600000000000001E-2</v>
      </c>
      <c r="G571" s="16">
        <f>AVERAGE(ReturnData!G571:G581)</f>
        <v>-2.6909090909090915E-3</v>
      </c>
      <c r="H571" s="16">
        <f>AVERAGE(ReturnData!H571:H581)</f>
        <v>1.3700000000000002E-2</v>
      </c>
      <c r="I571" s="16">
        <f>AVERAGE(ReturnData!I571:I581)</f>
        <v>-5.4727272727272732E-3</v>
      </c>
      <c r="J571" s="16">
        <f>AVERAGE(ReturnData!J571:J581)</f>
        <v>2.7554545454545453E-2</v>
      </c>
      <c r="K571" s="16">
        <f>AVERAGE(ReturnData!K571:K581)</f>
        <v>-5.3909090909090903E-3</v>
      </c>
      <c r="L571" s="16">
        <f>AVERAGE(ReturnData!L571:L581)</f>
        <v>-2.0909090909090929E-3</v>
      </c>
      <c r="M571" s="16">
        <f>AVERAGE(ReturnData!M571:M581)</f>
        <v>2.1699999999999994E-2</v>
      </c>
      <c r="N571" s="16">
        <f>AVERAGE(ReturnData!N571:N581)</f>
        <v>-8.3909090909090895E-3</v>
      </c>
      <c r="O571" s="16">
        <f>AVERAGE(ReturnData!O571:O581)</f>
        <v>1.3081818181818182E-2</v>
      </c>
      <c r="P571" s="16">
        <f>AVERAGE(ReturnData!P571:P581)</f>
        <v>-1.0445454545454542E-2</v>
      </c>
      <c r="Q571" s="16">
        <f>AVERAGE(ReturnData!Q571:Q581)</f>
        <v>-5.4090909090909103E-3</v>
      </c>
    </row>
    <row r="572" spans="1:17" x14ac:dyDescent="0.25">
      <c r="A572">
        <f>ReturnData!A584</f>
        <v>202207</v>
      </c>
      <c r="B572" s="16">
        <f>AVERAGE(ReturnData!B572:B582)</f>
        <v>8.8909090909090917E-3</v>
      </c>
      <c r="C572" s="16">
        <f>AVERAGE(ReturnData!C572:C582)</f>
        <v>8.5909090909090883E-3</v>
      </c>
      <c r="D572" s="16">
        <f>AVERAGE(ReturnData!D572:D582)</f>
        <v>5.4272727272727271E-2</v>
      </c>
      <c r="E572" s="16">
        <f>AVERAGE(ReturnData!E572:E582)</f>
        <v>-2.5154545454545454E-2</v>
      </c>
      <c r="F572" s="16">
        <f>AVERAGE(ReturnData!F572:F582)</f>
        <v>-4.3681818181818183E-2</v>
      </c>
      <c r="G572" s="16">
        <f>AVERAGE(ReturnData!G572:G582)</f>
        <v>8.0545454545454531E-3</v>
      </c>
      <c r="H572" s="16">
        <f>AVERAGE(ReturnData!H572:H582)</f>
        <v>1.2845454545454549E-2</v>
      </c>
      <c r="I572" s="16">
        <f>AVERAGE(ReturnData!I572:I582)</f>
        <v>-2.3818181818181816E-3</v>
      </c>
      <c r="J572" s="16">
        <f>AVERAGE(ReturnData!J572:J582)</f>
        <v>2.5690909090909094E-2</v>
      </c>
      <c r="K572" s="16">
        <f>AVERAGE(ReturnData!K572:K582)</f>
        <v>-1.0345454545454545E-2</v>
      </c>
      <c r="L572" s="16">
        <f>AVERAGE(ReturnData!L572:L582)</f>
        <v>-3.8090909090909104E-3</v>
      </c>
      <c r="M572" s="16">
        <f>AVERAGE(ReturnData!M572:M582)</f>
        <v>9.4454545454545416E-3</v>
      </c>
      <c r="N572" s="16">
        <f>AVERAGE(ReturnData!N572:N582)</f>
        <v>-7.972727272727272E-3</v>
      </c>
      <c r="O572" s="16">
        <f>AVERAGE(ReturnData!O572:O582)</f>
        <v>1.8718181818181818E-2</v>
      </c>
      <c r="P572" s="16">
        <f>AVERAGE(ReturnData!P572:P582)</f>
        <v>-1.9427272727272727E-2</v>
      </c>
      <c r="Q572" s="16">
        <f>AVERAGE(ReturnData!Q572:Q582)</f>
        <v>-7.3636363636363786E-4</v>
      </c>
    </row>
    <row r="573" spans="1:17" x14ac:dyDescent="0.25">
      <c r="A573">
        <f>ReturnData!A585</f>
        <v>202208</v>
      </c>
      <c r="B573" s="16">
        <f>AVERAGE(ReturnData!B573:B583)</f>
        <v>7.8363636363636378E-3</v>
      </c>
      <c r="C573" s="16">
        <f>AVERAGE(ReturnData!C573:C583)</f>
        <v>-8.1818181818181807E-3</v>
      </c>
      <c r="D573" s="16">
        <f>AVERAGE(ReturnData!D573:D583)</f>
        <v>4.7245454545454549E-2</v>
      </c>
      <c r="E573" s="16">
        <f>AVERAGE(ReturnData!E573:E583)</f>
        <v>-3.9999999999999994E-2</v>
      </c>
      <c r="F573" s="16">
        <f>AVERAGE(ReturnData!F573:F583)</f>
        <v>-5.2236363636363636E-2</v>
      </c>
      <c r="G573" s="16">
        <f>AVERAGE(ReturnData!G573:G583)</f>
        <v>-5.6636363636363655E-3</v>
      </c>
      <c r="H573" s="16">
        <f>AVERAGE(ReturnData!H573:H583)</f>
        <v>7.8363636363636378E-3</v>
      </c>
      <c r="I573" s="16">
        <f>AVERAGE(ReturnData!I573:I583)</f>
        <v>-1.3863636363636366E-2</v>
      </c>
      <c r="J573" s="16">
        <f>AVERAGE(ReturnData!J573:J583)</f>
        <v>-8.1818181818180379E-5</v>
      </c>
      <c r="K573" s="16">
        <f>AVERAGE(ReturnData!K573:K583)</f>
        <v>-1.7836363636363636E-2</v>
      </c>
      <c r="L573" s="16">
        <f>AVERAGE(ReturnData!L573:L583)</f>
        <v>-1.6390909090909091E-2</v>
      </c>
      <c r="M573" s="16">
        <f>AVERAGE(ReturnData!M573:M583)</f>
        <v>-1.9090909090910016E-4</v>
      </c>
      <c r="N573" s="16">
        <f>AVERAGE(ReturnData!N573:N583)</f>
        <v>-1.0690909090909091E-2</v>
      </c>
      <c r="O573" s="16">
        <f>AVERAGE(ReturnData!O573:O583)</f>
        <v>1.0072727272727273E-2</v>
      </c>
      <c r="P573" s="16">
        <f>AVERAGE(ReturnData!P573:P583)</f>
        <v>-2.6209090909090908E-2</v>
      </c>
      <c r="Q573" s="16">
        <f>AVERAGE(ReturnData!Q573:Q583)</f>
        <v>-9.1545454545454551E-3</v>
      </c>
    </row>
    <row r="574" spans="1:17" x14ac:dyDescent="0.25">
      <c r="A574">
        <f>ReturnData!A586</f>
        <v>202209</v>
      </c>
      <c r="B574" s="16">
        <f>AVERAGE(ReturnData!B574:B584)</f>
        <v>1.171818181818182E-2</v>
      </c>
      <c r="C574" s="16">
        <f>AVERAGE(ReturnData!C574:C584)</f>
        <v>-4.6636363636363637E-3</v>
      </c>
      <c r="D574" s="16">
        <f>AVERAGE(ReturnData!D574:D584)</f>
        <v>5.791818181818182E-2</v>
      </c>
      <c r="E574" s="16">
        <f>AVERAGE(ReturnData!E574:E584)</f>
        <v>-2.8981818181818178E-2</v>
      </c>
      <c r="F574" s="16">
        <f>AVERAGE(ReturnData!F574:F584)</f>
        <v>-4.0718181818181827E-2</v>
      </c>
      <c r="G574" s="16">
        <f>AVERAGE(ReturnData!G574:G584)</f>
        <v>8.8181818181817936E-4</v>
      </c>
      <c r="H574" s="16">
        <f>AVERAGE(ReturnData!H574:H584)</f>
        <v>5.5181818181818188E-3</v>
      </c>
      <c r="I574" s="16">
        <f>AVERAGE(ReturnData!I574:I584)</f>
        <v>-4.1090909090909086E-3</v>
      </c>
      <c r="J574" s="16">
        <f>AVERAGE(ReturnData!J574:J584)</f>
        <v>1.5290909090909088E-2</v>
      </c>
      <c r="K574" s="16">
        <f>AVERAGE(ReturnData!K574:K584)</f>
        <v>-1.1290909090909091E-2</v>
      </c>
      <c r="L574" s="16">
        <f>AVERAGE(ReturnData!L574:L584)</f>
        <v>-6.8363636363636404E-3</v>
      </c>
      <c r="M574" s="16">
        <f>AVERAGE(ReturnData!M574:M584)</f>
        <v>2.2045454545454545E-2</v>
      </c>
      <c r="N574" s="16">
        <f>AVERAGE(ReturnData!N574:N584)</f>
        <v>-3.2090909090909088E-3</v>
      </c>
      <c r="O574" s="16">
        <f>AVERAGE(ReturnData!O574:O584)</f>
        <v>1.2863636363636365E-2</v>
      </c>
      <c r="P574" s="16">
        <f>AVERAGE(ReturnData!P574:P584)</f>
        <v>-1.3563636363636363E-2</v>
      </c>
      <c r="Q574" s="16">
        <f>AVERAGE(ReturnData!Q574:Q584)</f>
        <v>-5.0272727272727283E-3</v>
      </c>
    </row>
    <row r="575" spans="1:17" x14ac:dyDescent="0.25">
      <c r="A575">
        <f>ReturnData!A587</f>
        <v>202210</v>
      </c>
      <c r="B575" s="16">
        <f>AVERAGE(ReturnData!B575:B585)</f>
        <v>1.3190909090909088E-2</v>
      </c>
      <c r="C575" s="16">
        <f>AVERAGE(ReturnData!C575:C585)</f>
        <v>1.4545454545454646E-4</v>
      </c>
      <c r="D575" s="16">
        <f>AVERAGE(ReturnData!D575:D585)</f>
        <v>5.0545454545454539E-2</v>
      </c>
      <c r="E575" s="16">
        <f>AVERAGE(ReturnData!E575:E585)</f>
        <v>-2.6309090909090904E-2</v>
      </c>
      <c r="F575" s="16">
        <f>AVERAGE(ReturnData!F575:F585)</f>
        <v>-3.8790909090909091E-2</v>
      </c>
      <c r="G575" s="16">
        <f>AVERAGE(ReturnData!G575:G585)</f>
        <v>4.127272727272726E-3</v>
      </c>
      <c r="H575" s="16">
        <f>AVERAGE(ReturnData!H575:H585)</f>
        <v>6.6909090909090937E-3</v>
      </c>
      <c r="I575" s="16">
        <f>AVERAGE(ReturnData!I575:I585)</f>
        <v>-4.3454545454545447E-3</v>
      </c>
      <c r="J575" s="16">
        <f>AVERAGE(ReturnData!J575:J585)</f>
        <v>2.3781818181818182E-2</v>
      </c>
      <c r="K575" s="16">
        <f>AVERAGE(ReturnData!K575:K585)</f>
        <v>-1.4763636363636366E-2</v>
      </c>
      <c r="L575" s="16">
        <f>AVERAGE(ReturnData!L575:L585)</f>
        <v>-8.5090909090909106E-3</v>
      </c>
      <c r="M575" s="16">
        <f>AVERAGE(ReturnData!M575:M585)</f>
        <v>1.3518181818181818E-2</v>
      </c>
      <c r="N575" s="16">
        <f>AVERAGE(ReturnData!N575:N585)</f>
        <v>-2.5727272727272721E-3</v>
      </c>
      <c r="O575" s="16">
        <f>AVERAGE(ReturnData!O575:O585)</f>
        <v>1.7418181818181822E-2</v>
      </c>
      <c r="P575" s="16">
        <f>AVERAGE(ReturnData!P575:P585)</f>
        <v>-1.1827272727272726E-2</v>
      </c>
      <c r="Q575" s="16">
        <f>AVERAGE(ReturnData!Q575:Q585)</f>
        <v>-5.5818181818181834E-3</v>
      </c>
    </row>
    <row r="576" spans="1:17" x14ac:dyDescent="0.25">
      <c r="A576">
        <f>ReturnData!A588</f>
        <v>202211</v>
      </c>
      <c r="B576" s="16">
        <f>AVERAGE(ReturnData!B576:B586)</f>
        <v>3.0454545454545443E-3</v>
      </c>
      <c r="C576" s="16">
        <f>AVERAGE(ReturnData!C576:C586)</f>
        <v>-1.3200000000000002E-2</v>
      </c>
      <c r="D576" s="16">
        <f>AVERAGE(ReturnData!D576:D586)</f>
        <v>3.2799999999999996E-2</v>
      </c>
      <c r="E576" s="16">
        <f>AVERAGE(ReturnData!E576:E586)</f>
        <v>-5.2763636363636367E-2</v>
      </c>
      <c r="F576" s="16">
        <f>AVERAGE(ReturnData!F576:F586)</f>
        <v>-5.5390909090909088E-2</v>
      </c>
      <c r="G576" s="16">
        <f>AVERAGE(ReturnData!G576:G586)</f>
        <v>-1.2818181818181819E-2</v>
      </c>
      <c r="H576" s="16">
        <f>AVERAGE(ReturnData!H576:H586)</f>
        <v>9.9090909090909156E-4</v>
      </c>
      <c r="I576" s="16">
        <f>AVERAGE(ReturnData!I576:I586)</f>
        <v>-2.0499999999999994E-2</v>
      </c>
      <c r="J576" s="16">
        <f>AVERAGE(ReturnData!J576:J586)</f>
        <v>-1.7909090909090904E-3</v>
      </c>
      <c r="K576" s="16">
        <f>AVERAGE(ReturnData!K576:K586)</f>
        <v>-2.6127272727272725E-2</v>
      </c>
      <c r="L576" s="16">
        <f>AVERAGE(ReturnData!L576:L586)</f>
        <v>-2.5636363636363638E-2</v>
      </c>
      <c r="M576" s="16">
        <f>AVERAGE(ReturnData!M576:M586)</f>
        <v>-1.9918181818181811E-2</v>
      </c>
      <c r="N576" s="16">
        <f>AVERAGE(ReturnData!N576:N586)</f>
        <v>-1.9945454545454547E-2</v>
      </c>
      <c r="O576" s="16">
        <f>AVERAGE(ReturnData!O576:O586)</f>
        <v>2.2090909090909105E-3</v>
      </c>
      <c r="P576" s="16">
        <f>AVERAGE(ReturnData!P576:P586)</f>
        <v>-2.2499999999999999E-2</v>
      </c>
      <c r="Q576" s="16">
        <f>AVERAGE(ReturnData!Q576:Q586)</f>
        <v>-1.9000000000000003E-2</v>
      </c>
    </row>
    <row r="577" spans="1:17" x14ac:dyDescent="0.25">
      <c r="A577">
        <f>ReturnData!A589</f>
        <v>202212</v>
      </c>
      <c r="B577" s="16">
        <f>AVERAGE(ReturnData!B577:B587)</f>
        <v>1.5245454545454545E-2</v>
      </c>
      <c r="C577" s="16">
        <f>AVERAGE(ReturnData!C577:C587)</f>
        <v>-5.3181818181818165E-3</v>
      </c>
      <c r="D577" s="16">
        <f>AVERAGE(ReturnData!D577:D587)</f>
        <v>5.947272727272726E-2</v>
      </c>
      <c r="E577" s="16">
        <f>AVERAGE(ReturnData!E577:E587)</f>
        <v>-4.2890909090909084E-2</v>
      </c>
      <c r="F577" s="16">
        <f>AVERAGE(ReturnData!F577:F587)</f>
        <v>-4.534545454545455E-2</v>
      </c>
      <c r="G577" s="16">
        <f>AVERAGE(ReturnData!G577:G587)</f>
        <v>-3.1090909090909112E-3</v>
      </c>
      <c r="H577" s="16">
        <f>AVERAGE(ReturnData!H577:H587)</f>
        <v>9.8000000000000014E-3</v>
      </c>
      <c r="I577" s="16">
        <f>AVERAGE(ReturnData!I577:I587)</f>
        <v>-1.8709090909090901E-2</v>
      </c>
      <c r="J577" s="16">
        <f>AVERAGE(ReturnData!J577:J587)</f>
        <v>2.2045454545454549E-2</v>
      </c>
      <c r="K577" s="16">
        <f>AVERAGE(ReturnData!K577:K587)</f>
        <v>-1.5118181818181819E-2</v>
      </c>
      <c r="L577" s="16">
        <f>AVERAGE(ReturnData!L577:L587)</f>
        <v>-2.3709090909090912E-2</v>
      </c>
      <c r="M577" s="16">
        <f>AVERAGE(ReturnData!M577:M587)</f>
        <v>-2.6418181818181816E-2</v>
      </c>
      <c r="N577" s="16">
        <f>AVERAGE(ReturnData!N577:N587)</f>
        <v>-4.3636363636363638E-3</v>
      </c>
      <c r="O577" s="16">
        <f>AVERAGE(ReturnData!O577:O587)</f>
        <v>7.1818181818181833E-3</v>
      </c>
      <c r="P577" s="16">
        <f>AVERAGE(ReturnData!P577:P587)</f>
        <v>-2.1845454545454546E-2</v>
      </c>
      <c r="Q577" s="16">
        <f>AVERAGE(ReturnData!Q577:Q587)</f>
        <v>-2.2727272727272722E-3</v>
      </c>
    </row>
    <row r="578" spans="1:17" x14ac:dyDescent="0.25">
      <c r="A578">
        <f>ReturnData!A590</f>
        <v>202301</v>
      </c>
      <c r="B578" s="16">
        <f>AVERAGE(ReturnData!B578:B588)</f>
        <v>9.8818181818181843E-3</v>
      </c>
      <c r="C578" s="16">
        <f>AVERAGE(ReturnData!C578:C588)</f>
        <v>1.9363636363636375E-3</v>
      </c>
      <c r="D578" s="16">
        <f>AVERAGE(ReturnData!D578:D588)</f>
        <v>5.7581818181818178E-2</v>
      </c>
      <c r="E578" s="16">
        <f>AVERAGE(ReturnData!E578:E588)</f>
        <v>-2.4454545454545448E-2</v>
      </c>
      <c r="F578" s="16">
        <f>AVERAGE(ReturnData!F578:F588)</f>
        <v>-4.2999999999999997E-2</v>
      </c>
      <c r="G578" s="16">
        <f>AVERAGE(ReturnData!G578:G588)</f>
        <v>4.9999999999999795E-4</v>
      </c>
      <c r="H578" s="16">
        <f>AVERAGE(ReturnData!H578:H588)</f>
        <v>5.2363636363636371E-3</v>
      </c>
      <c r="I578" s="16">
        <f>AVERAGE(ReturnData!I578:I588)</f>
        <v>-1.6409090909090908E-2</v>
      </c>
      <c r="J578" s="16">
        <f>AVERAGE(ReturnData!J578:J588)</f>
        <v>2.5836363636363636E-2</v>
      </c>
      <c r="K578" s="16">
        <f>AVERAGE(ReturnData!K578:K588)</f>
        <v>-1.1800000000000003E-2</v>
      </c>
      <c r="L578" s="16">
        <f>AVERAGE(ReturnData!L578:L588)</f>
        <v>-1.5318181818181816E-2</v>
      </c>
      <c r="M578" s="16">
        <f>AVERAGE(ReturnData!M578:M588)</f>
        <v>-2.98090909090909E-2</v>
      </c>
      <c r="N578" s="16">
        <f>AVERAGE(ReturnData!N578:N588)</f>
        <v>-3.4363636363636376E-3</v>
      </c>
      <c r="O578" s="16">
        <f>AVERAGE(ReturnData!O578:O588)</f>
        <v>5.5727272727272717E-3</v>
      </c>
      <c r="P578" s="16">
        <f>AVERAGE(ReturnData!P578:P588)</f>
        <v>-1.9445454545454544E-2</v>
      </c>
      <c r="Q578" s="16">
        <f>AVERAGE(ReturnData!Q578:Q588)</f>
        <v>-2.2090909090909105E-3</v>
      </c>
    </row>
    <row r="579" spans="1:17" x14ac:dyDescent="0.25">
      <c r="A579">
        <f>ReturnData!A591</f>
        <v>202302</v>
      </c>
      <c r="B579" s="16">
        <f>AVERAGE(ReturnData!B579:B589)</f>
        <v>7.0545454545454548E-3</v>
      </c>
      <c r="C579" s="16">
        <f>AVERAGE(ReturnData!C579:C589)</f>
        <v>3.0363636363636357E-3</v>
      </c>
      <c r="D579" s="16">
        <f>AVERAGE(ReturnData!D579:D589)</f>
        <v>3.7400000000000003E-2</v>
      </c>
      <c r="E579" s="16">
        <f>AVERAGE(ReturnData!E579:E589)</f>
        <v>-1.4518181818181817E-2</v>
      </c>
      <c r="F579" s="16">
        <f>AVERAGE(ReturnData!F579:F589)</f>
        <v>-3.5009090909090906E-2</v>
      </c>
      <c r="G579" s="16">
        <f>AVERAGE(ReturnData!G579:G589)</f>
        <v>-8.0909090909091078E-4</v>
      </c>
      <c r="H579" s="16">
        <f>AVERAGE(ReturnData!H579:H589)</f>
        <v>7.4090909090909094E-3</v>
      </c>
      <c r="I579" s="16">
        <f>AVERAGE(ReturnData!I579:I589)</f>
        <v>-8.4363636363636325E-3</v>
      </c>
      <c r="J579" s="16">
        <f>AVERAGE(ReturnData!J579:J589)</f>
        <v>2.8336363636363646E-2</v>
      </c>
      <c r="K579" s="16">
        <f>AVERAGE(ReturnData!K579:K589)</f>
        <v>-1.3454545454545452E-2</v>
      </c>
      <c r="L579" s="16">
        <f>AVERAGE(ReturnData!L579:L589)</f>
        <v>-1.1463636363636363E-2</v>
      </c>
      <c r="M579" s="16">
        <f>AVERAGE(ReturnData!M579:M589)</f>
        <v>-4.4136363636363633E-2</v>
      </c>
      <c r="N579" s="16">
        <f>AVERAGE(ReturnData!N579:N589)</f>
        <v>-3.9181818181818181E-3</v>
      </c>
      <c r="O579" s="16">
        <f>AVERAGE(ReturnData!O579:O589)</f>
        <v>6.3818181818181829E-3</v>
      </c>
      <c r="P579" s="16">
        <f>AVERAGE(ReturnData!P579:P589)</f>
        <v>-1.9918181818181818E-2</v>
      </c>
      <c r="Q579" s="16">
        <f>AVERAGE(ReturnData!Q579:Q589)</f>
        <v>-6.6181818181818182E-3</v>
      </c>
    </row>
    <row r="580" spans="1:17" x14ac:dyDescent="0.25">
      <c r="A580">
        <f>ReturnData!A592</f>
        <v>202303</v>
      </c>
      <c r="B580" s="16">
        <f>AVERAGE(ReturnData!B580:B590)</f>
        <v>5.1363636363636368E-3</v>
      </c>
      <c r="C580" s="16">
        <f>AVERAGE(ReturnData!C580:C590)</f>
        <v>5.7545454545454566E-3</v>
      </c>
      <c r="D580" s="16">
        <f>AVERAGE(ReturnData!D580:D590)</f>
        <v>3.2354545454545462E-2</v>
      </c>
      <c r="E580" s="16">
        <f>AVERAGE(ReturnData!E580:E590)</f>
        <v>-7.0909090909091052E-4</v>
      </c>
      <c r="F580" s="16">
        <f>AVERAGE(ReturnData!F580:F590)</f>
        <v>-1.9354545454545447E-2</v>
      </c>
      <c r="G580" s="16">
        <f>AVERAGE(ReturnData!G580:G590)</f>
        <v>9.6636363636363638E-3</v>
      </c>
      <c r="H580" s="16">
        <f>AVERAGE(ReturnData!H580:H590)</f>
        <v>7.8000000000000005E-3</v>
      </c>
      <c r="I580" s="16">
        <f>AVERAGE(ReturnData!I580:I590)</f>
        <v>5.3363636363636365E-3</v>
      </c>
      <c r="J580" s="16">
        <f>AVERAGE(ReturnData!J580:J590)</f>
        <v>2.6754545454545454E-2</v>
      </c>
      <c r="K580" s="16">
        <f>AVERAGE(ReturnData!K580:K590)</f>
        <v>1.1818181818181525E-4</v>
      </c>
      <c r="L580" s="16">
        <f>AVERAGE(ReturnData!L580:L590)</f>
        <v>-1.5727272727272723E-3</v>
      </c>
      <c r="M580" s="16">
        <f>AVERAGE(ReturnData!M580:M590)</f>
        <v>-1.6027272727272723E-2</v>
      </c>
      <c r="N580" s="16">
        <f>AVERAGE(ReturnData!N580:N590)</f>
        <v>-3.7272727272727202E-4</v>
      </c>
      <c r="O580" s="16">
        <f>AVERAGE(ReturnData!O580:O590)</f>
        <v>6.2545454545454545E-3</v>
      </c>
      <c r="P580" s="16">
        <f>AVERAGE(ReturnData!P580:P590)</f>
        <v>-8.6999999999999994E-3</v>
      </c>
      <c r="Q580" s="16">
        <f>AVERAGE(ReturnData!Q580:Q590)</f>
        <v>6.363636363636363E-4</v>
      </c>
    </row>
    <row r="581" spans="1:17" x14ac:dyDescent="0.25">
      <c r="A581">
        <f>ReturnData!A593</f>
        <v>202304</v>
      </c>
      <c r="B581" s="16">
        <f>AVERAGE(ReturnData!B581:B591)</f>
        <v>2.6818181818181823E-3</v>
      </c>
      <c r="C581" s="16">
        <f>AVERAGE(ReturnData!C581:C591)</f>
        <v>-8.0181818181818184E-3</v>
      </c>
      <c r="D581" s="16">
        <f>AVERAGE(ReturnData!D581:D591)</f>
        <v>1.7009090909090915E-2</v>
      </c>
      <c r="E581" s="16">
        <f>AVERAGE(ReturnData!E581:E591)</f>
        <v>-5.3909090909090851E-3</v>
      </c>
      <c r="F581" s="16">
        <f>AVERAGE(ReturnData!F581:F591)</f>
        <v>-1.5636363636363639E-2</v>
      </c>
      <c r="G581" s="16">
        <f>AVERAGE(ReturnData!G581:G591)</f>
        <v>9.1818181818181549E-4</v>
      </c>
      <c r="H581" s="16">
        <f>AVERAGE(ReturnData!H581:H591)</f>
        <v>-8.3636363636363639E-4</v>
      </c>
      <c r="I581" s="16">
        <f>AVERAGE(ReturnData!I581:I591)</f>
        <v>7.3363636363636357E-3</v>
      </c>
      <c r="J581" s="16">
        <f>AVERAGE(ReturnData!J581:J591)</f>
        <v>1.4518181818181824E-2</v>
      </c>
      <c r="K581" s="16">
        <f>AVERAGE(ReturnData!K581:K591)</f>
        <v>3.0000000000000001E-3</v>
      </c>
      <c r="L581" s="16">
        <f>AVERAGE(ReturnData!L581:L591)</f>
        <v>-3.8272727272727317E-3</v>
      </c>
      <c r="M581" s="16">
        <f>AVERAGE(ReturnData!M581:M591)</f>
        <v>-2.058181818181817E-2</v>
      </c>
      <c r="N581" s="16">
        <f>AVERAGE(ReturnData!N581:N591)</f>
        <v>-2.5909090909090856E-3</v>
      </c>
      <c r="O581" s="16">
        <f>AVERAGE(ReturnData!O581:O591)</f>
        <v>-7.3727272727272747E-3</v>
      </c>
      <c r="P581" s="16">
        <f>AVERAGE(ReturnData!P581:P591)</f>
        <v>-1.7672727272727274E-2</v>
      </c>
      <c r="Q581" s="16">
        <f>AVERAGE(ReturnData!Q581:Q591)</f>
        <v>-9.8181818181818179E-4</v>
      </c>
    </row>
    <row r="582" spans="1:17" x14ac:dyDescent="0.25">
      <c r="A582">
        <f>ReturnData!A594</f>
        <v>202305</v>
      </c>
      <c r="B582" s="16">
        <f>AVERAGE(ReturnData!B582:B592)</f>
        <v>3.3181818181818199E-3</v>
      </c>
      <c r="C582" s="16">
        <f>AVERAGE(ReturnData!C582:C592)</f>
        <v>4.3272727272727273E-3</v>
      </c>
      <c r="D582" s="16">
        <f>AVERAGE(ReturnData!D582:D592)</f>
        <v>1.8009090909090916E-2</v>
      </c>
      <c r="E582" s="16">
        <f>AVERAGE(ReturnData!E582:E592)</f>
        <v>3.9272727272727298E-3</v>
      </c>
      <c r="F582" s="16">
        <f>AVERAGE(ReturnData!F582:F592)</f>
        <v>-7.1363636363636351E-3</v>
      </c>
      <c r="G582" s="16">
        <f>AVERAGE(ReturnData!G582:G592)</f>
        <v>7.8181818181818278E-4</v>
      </c>
      <c r="H582" s="16">
        <f>AVERAGE(ReturnData!H582:H592)</f>
        <v>6.8181818181818274E-4</v>
      </c>
      <c r="I582" s="16">
        <f>AVERAGE(ReturnData!I582:I592)</f>
        <v>8.6181818181818165E-3</v>
      </c>
      <c r="J582" s="16">
        <f>AVERAGE(ReturnData!J582:J592)</f>
        <v>1.3009090909090915E-2</v>
      </c>
      <c r="K582" s="16">
        <f>AVERAGE(ReturnData!K582:K592)</f>
        <v>9.3545454545454505E-3</v>
      </c>
      <c r="L582" s="16">
        <f>AVERAGE(ReturnData!L582:L592)</f>
        <v>1.4718181818181818E-2</v>
      </c>
      <c r="M582" s="16">
        <f>AVERAGE(ReturnData!M582:M592)</f>
        <v>-6.0181818181818114E-3</v>
      </c>
      <c r="N582" s="16">
        <f>AVERAGE(ReturnData!N582:N592)</f>
        <v>5.9727272727272719E-3</v>
      </c>
      <c r="O582" s="16">
        <f>AVERAGE(ReturnData!O582:O592)</f>
        <v>-4.6363636363636366E-4</v>
      </c>
      <c r="P582" s="16">
        <f>AVERAGE(ReturnData!P582:P592)</f>
        <v>-2.0545454545454547E-3</v>
      </c>
      <c r="Q582" s="16">
        <f>AVERAGE(ReturnData!Q582:Q592)</f>
        <v>-1.6090909090909072E-3</v>
      </c>
    </row>
    <row r="583" spans="1:17" x14ac:dyDescent="0.25">
      <c r="A583">
        <f>ReturnData!A595</f>
        <v>202306</v>
      </c>
      <c r="B583" s="16">
        <f>AVERAGE(ReturnData!B583:B593)</f>
        <v>7.8000000000000014E-3</v>
      </c>
      <c r="C583" s="16">
        <f>AVERAGE(ReturnData!C583:C593)</f>
        <v>4.7727272727272731E-3</v>
      </c>
      <c r="D583" s="16">
        <f>AVERAGE(ReturnData!D583:D593)</f>
        <v>6.0545454545454539E-3</v>
      </c>
      <c r="E583" s="16">
        <f>AVERAGE(ReturnData!E583:E593)</f>
        <v>1.1745454545454549E-2</v>
      </c>
      <c r="F583" s="16">
        <f>AVERAGE(ReturnData!F583:F593)</f>
        <v>-6.8454545454545443E-3</v>
      </c>
      <c r="G583" s="16">
        <f>AVERAGE(ReturnData!G583:G593)</f>
        <v>-6.6545454545454555E-3</v>
      </c>
      <c r="H583" s="16">
        <f>AVERAGE(ReturnData!H583:H593)</f>
        <v>4.2727272727272718E-3</v>
      </c>
      <c r="I583" s="16">
        <f>AVERAGE(ReturnData!I583:I593)</f>
        <v>1.0972727272727271E-2</v>
      </c>
      <c r="J583" s="16">
        <f>AVERAGE(ReturnData!J583:J593)</f>
        <v>1.4218181818181823E-2</v>
      </c>
      <c r="K583" s="16">
        <f>AVERAGE(ReturnData!K583:K593)</f>
        <v>1.0481818181818177E-2</v>
      </c>
      <c r="L583" s="16">
        <f>AVERAGE(ReturnData!L583:L593)</f>
        <v>7.7545454545454532E-3</v>
      </c>
      <c r="M583" s="16">
        <f>AVERAGE(ReturnData!M583:M593)</f>
        <v>-1.0081818181818171E-2</v>
      </c>
      <c r="N583" s="16">
        <f>AVERAGE(ReturnData!N583:N593)</f>
        <v>7.518181818181818E-3</v>
      </c>
      <c r="O583" s="16">
        <f>AVERAGE(ReturnData!O583:O593)</f>
        <v>-3.254545454545454E-3</v>
      </c>
      <c r="P583" s="16">
        <f>AVERAGE(ReturnData!P583:P593)</f>
        <v>5.6363636363636347E-3</v>
      </c>
      <c r="Q583" s="16">
        <f>AVERAGE(ReturnData!Q583:Q593)</f>
        <v>-2.4363636363636341E-3</v>
      </c>
    </row>
    <row r="584" spans="1:17" x14ac:dyDescent="0.25">
      <c r="A584">
        <f>ReturnData!A596</f>
        <v>202307</v>
      </c>
      <c r="B584" s="16">
        <f>AVERAGE(ReturnData!B584:B594)</f>
        <v>4.8181818181818195E-3</v>
      </c>
      <c r="C584" s="16">
        <f>AVERAGE(ReturnData!C584:C594)</f>
        <v>1.4636363636363631E-2</v>
      </c>
      <c r="D584" s="16">
        <f>AVERAGE(ReturnData!D584:D594)</f>
        <v>1.2481818181818184E-2</v>
      </c>
      <c r="E584" s="16">
        <f>AVERAGE(ReturnData!E584:E594)</f>
        <v>1.0254545454545454E-2</v>
      </c>
      <c r="F584" s="16">
        <f>AVERAGE(ReturnData!F584:F594)</f>
        <v>-3.1181818181818181E-3</v>
      </c>
      <c r="G584" s="16">
        <f>AVERAGE(ReturnData!G584:G594)</f>
        <v>1.0909090909091095E-4</v>
      </c>
      <c r="H584" s="16">
        <f>AVERAGE(ReturnData!H584:H594)</f>
        <v>2.4363636363636375E-3</v>
      </c>
      <c r="I584" s="16">
        <f>AVERAGE(ReturnData!I584:I594)</f>
        <v>1.783636363636364E-2</v>
      </c>
      <c r="J584" s="16">
        <f>AVERAGE(ReturnData!J584:J594)</f>
        <v>2.5736363636363647E-2</v>
      </c>
      <c r="K584" s="16">
        <f>AVERAGE(ReturnData!K584:K594)</f>
        <v>1.4327272727272723E-2</v>
      </c>
      <c r="L584" s="16">
        <f>AVERAGE(ReturnData!L584:L594)</f>
        <v>2.7063636363636359E-2</v>
      </c>
      <c r="M584" s="16">
        <f>AVERAGE(ReturnData!M584:M594)</f>
        <v>9.7000000000000072E-3</v>
      </c>
      <c r="N584" s="16">
        <f>AVERAGE(ReturnData!N584:N594)</f>
        <v>1.1436363636363633E-2</v>
      </c>
      <c r="O584" s="16">
        <f>AVERAGE(ReturnData!O584:O594)</f>
        <v>-2.5999999999999999E-3</v>
      </c>
      <c r="P584" s="16">
        <f>AVERAGE(ReturnData!P584:P594)</f>
        <v>1.4854545454545454E-2</v>
      </c>
      <c r="Q584" s="16">
        <f>AVERAGE(ReturnData!Q584:Q594)</f>
        <v>2.3636363636363646E-3</v>
      </c>
    </row>
    <row r="585" spans="1:17" x14ac:dyDescent="0.25">
      <c r="A585">
        <f>ReturnData!A597</f>
        <v>202308</v>
      </c>
      <c r="B585" s="16">
        <f>AVERAGE(ReturnData!B585:B595)</f>
        <v>2.3727272727272733E-3</v>
      </c>
      <c r="C585" s="16">
        <f>AVERAGE(ReturnData!C585:C595)</f>
        <v>2.4527272727272731E-2</v>
      </c>
      <c r="D585" s="16">
        <f>AVERAGE(ReturnData!D585:D595)</f>
        <v>8.7181818181818159E-3</v>
      </c>
      <c r="E585" s="16">
        <f>AVERAGE(ReturnData!E585:E595)</f>
        <v>6.3727272727272712E-3</v>
      </c>
      <c r="F585" s="16">
        <f>AVERAGE(ReturnData!F585:F595)</f>
        <v>-8.5454545454545256E-4</v>
      </c>
      <c r="G585" s="16">
        <f>AVERAGE(ReturnData!G585:G595)</f>
        <v>2.5454545454545465E-3</v>
      </c>
      <c r="H585" s="16">
        <f>AVERAGE(ReturnData!H585:H595)</f>
        <v>7.909090909090909E-3</v>
      </c>
      <c r="I585" s="16">
        <f>AVERAGE(ReturnData!I585:I595)</f>
        <v>1.9054545454545456E-2</v>
      </c>
      <c r="J585" s="16">
        <f>AVERAGE(ReturnData!J585:J595)</f>
        <v>2.5527272727272732E-2</v>
      </c>
      <c r="K585" s="16">
        <f>AVERAGE(ReturnData!K585:K595)</f>
        <v>1.7127272727272724E-2</v>
      </c>
      <c r="L585" s="16">
        <f>AVERAGE(ReturnData!L585:L595)</f>
        <v>2.2163636363636365E-2</v>
      </c>
      <c r="M585" s="16">
        <f>AVERAGE(ReturnData!M585:M595)</f>
        <v>5.9090909090909142E-3</v>
      </c>
      <c r="N585" s="16">
        <f>AVERAGE(ReturnData!N585:N595)</f>
        <v>1.3309090909090908E-2</v>
      </c>
      <c r="O585" s="16">
        <f>AVERAGE(ReturnData!O585:O595)</f>
        <v>-5.9545454545454563E-3</v>
      </c>
      <c r="P585" s="16">
        <f>AVERAGE(ReturnData!P585:P595)</f>
        <v>5.6181818181818173E-3</v>
      </c>
      <c r="Q585" s="16">
        <f>AVERAGE(ReturnData!Q585:Q595)</f>
        <v>9.5454545454545542E-4</v>
      </c>
    </row>
    <row r="586" spans="1:17" x14ac:dyDescent="0.25">
      <c r="A586">
        <f>ReturnData!A598</f>
        <v>202309</v>
      </c>
      <c r="B586" s="16">
        <f>AVERAGE(ReturnData!B586:B596)</f>
        <v>5.9818181818181845E-3</v>
      </c>
      <c r="C586" s="16">
        <f>AVERAGE(ReturnData!C586:C596)</f>
        <v>3.4472727272727273E-2</v>
      </c>
      <c r="D586" s="16">
        <f>AVERAGE(ReturnData!D586:D596)</f>
        <v>1.2509090909090909E-2</v>
      </c>
      <c r="E586" s="16">
        <f>AVERAGE(ReturnData!E586:E596)</f>
        <v>1.2981818181818179E-2</v>
      </c>
      <c r="F586" s="16">
        <f>AVERAGE(ReturnData!F586:F596)</f>
        <v>7.6363636363636382E-3</v>
      </c>
      <c r="G586" s="16">
        <f>AVERAGE(ReturnData!G586:G596)</f>
        <v>8.0909090909090913E-3</v>
      </c>
      <c r="H586" s="16">
        <f>AVERAGE(ReturnData!H586:H596)</f>
        <v>1.1336363636363637E-2</v>
      </c>
      <c r="I586" s="16">
        <f>AVERAGE(ReturnData!I586:I596)</f>
        <v>2.7009090909090906E-2</v>
      </c>
      <c r="J586" s="16">
        <f>AVERAGE(ReturnData!J586:J596)</f>
        <v>2.9809090909090917E-2</v>
      </c>
      <c r="K586" s="16">
        <f>AVERAGE(ReturnData!K586:K596)</f>
        <v>2.8081818181818177E-2</v>
      </c>
      <c r="L586" s="16">
        <f>AVERAGE(ReturnData!L586:L596)</f>
        <v>3.389090909090909E-2</v>
      </c>
      <c r="M586" s="16">
        <f>AVERAGE(ReturnData!M586:M596)</f>
        <v>1.2472727272727279E-2</v>
      </c>
      <c r="N586" s="16">
        <f>AVERAGE(ReturnData!N586:N596)</f>
        <v>1.9099999999999999E-2</v>
      </c>
      <c r="O586" s="16">
        <f>AVERAGE(ReturnData!O586:O596)</f>
        <v>-3.5545454545454561E-3</v>
      </c>
      <c r="P586" s="16">
        <f>AVERAGE(ReturnData!P586:P596)</f>
        <v>1.0927272727272728E-2</v>
      </c>
      <c r="Q586" s="16">
        <f>AVERAGE(ReturnData!Q586:Q596)</f>
        <v>8.7272727272727276E-3</v>
      </c>
    </row>
    <row r="587" spans="1:17" x14ac:dyDescent="0.25">
      <c r="A587">
        <f>ReturnData!A599</f>
        <v>202310</v>
      </c>
      <c r="B587" s="16">
        <f>AVERAGE(ReturnData!B587:B597)</f>
        <v>8.9454545454545446E-3</v>
      </c>
      <c r="C587" s="16">
        <f>AVERAGE(ReturnData!C587:C597)</f>
        <v>3.4727272727272725E-2</v>
      </c>
      <c r="D587" s="16">
        <f>AVERAGE(ReturnData!D587:D597)</f>
        <v>2.2727272727272724E-2</v>
      </c>
      <c r="E587" s="16">
        <f>AVERAGE(ReturnData!E587:E597)</f>
        <v>2.3354545454545458E-2</v>
      </c>
      <c r="F587" s="16">
        <f>AVERAGE(ReturnData!F587:F597)</f>
        <v>2.23E-2</v>
      </c>
      <c r="G587" s="16">
        <f>AVERAGE(ReturnData!G587:G597)</f>
        <v>1.3627272727272726E-2</v>
      </c>
      <c r="H587" s="16">
        <f>AVERAGE(ReturnData!H587:H597)</f>
        <v>1.5718181818181822E-2</v>
      </c>
      <c r="I587" s="16">
        <f>AVERAGE(ReturnData!I587:I597)</f>
        <v>3.1563636363636363E-2</v>
      </c>
      <c r="J587" s="16">
        <f>AVERAGE(ReturnData!J587:J597)</f>
        <v>4.474545454545456E-2</v>
      </c>
      <c r="K587" s="16">
        <f>AVERAGE(ReturnData!K587:K597)</f>
        <v>3.6972727272727268E-2</v>
      </c>
      <c r="L587" s="16">
        <f>AVERAGE(ReturnData!L587:L597)</f>
        <v>4.3709090909090913E-2</v>
      </c>
      <c r="M587" s="16">
        <f>AVERAGE(ReturnData!M587:M597)</f>
        <v>1.4281818181818184E-2</v>
      </c>
      <c r="N587" s="16">
        <f>AVERAGE(ReturnData!N587:N597)</f>
        <v>2.7172727272727272E-2</v>
      </c>
      <c r="O587" s="16">
        <f>AVERAGE(ReturnData!O587:O597)</f>
        <v>2.1999999999999975E-3</v>
      </c>
      <c r="P587" s="16">
        <f>AVERAGE(ReturnData!P587:P597)</f>
        <v>1.8018181818181815E-2</v>
      </c>
      <c r="Q587" s="16">
        <f>AVERAGE(ReturnData!Q587:Q597)</f>
        <v>1.242727272727273E-2</v>
      </c>
    </row>
    <row r="588" spans="1:17" x14ac:dyDescent="0.25">
      <c r="A588">
        <f>ReturnData!A600</f>
        <v>202311</v>
      </c>
      <c r="B588" s="16">
        <f>AVERAGE(ReturnData!B588:B598)</f>
        <v>-4.9454545454545454E-3</v>
      </c>
      <c r="C588" s="16">
        <f>AVERAGE(ReturnData!C588:C598)</f>
        <v>2.2400000000000003E-2</v>
      </c>
      <c r="D588" s="16">
        <f>AVERAGE(ReturnData!D588:D598)</f>
        <v>3.6909090909090915E-3</v>
      </c>
      <c r="E588" s="16">
        <f>AVERAGE(ReturnData!E588:E598)</f>
        <v>9.263636363636361E-3</v>
      </c>
      <c r="F588" s="16">
        <f>AVERAGE(ReturnData!F588:F598)</f>
        <v>1.2827272727272731E-2</v>
      </c>
      <c r="G588" s="16">
        <f>AVERAGE(ReturnData!G588:G598)</f>
        <v>-2.5454545454545489E-4</v>
      </c>
      <c r="H588" s="16">
        <f>AVERAGE(ReturnData!H588:H598)</f>
        <v>3.8727272727272725E-3</v>
      </c>
      <c r="I588" s="16">
        <f>AVERAGE(ReturnData!I588:I598)</f>
        <v>1.7281818181818179E-2</v>
      </c>
      <c r="J588" s="16">
        <f>AVERAGE(ReturnData!J588:J598)</f>
        <v>2.2454545454545453E-2</v>
      </c>
      <c r="K588" s="16">
        <f>AVERAGE(ReturnData!K588:K598)</f>
        <v>2.0199999999999999E-2</v>
      </c>
      <c r="L588" s="16">
        <f>AVERAGE(ReturnData!L588:L598)</f>
        <v>2.8945454545454549E-2</v>
      </c>
      <c r="M588" s="16">
        <f>AVERAGE(ReturnData!M588:M598)</f>
        <v>1.604545454545455E-2</v>
      </c>
      <c r="N588" s="16">
        <f>AVERAGE(ReturnData!N588:N598)</f>
        <v>1.0363636363636363E-2</v>
      </c>
      <c r="O588" s="16">
        <f>AVERAGE(ReturnData!O588:O598)</f>
        <v>-5.5727272727272735E-3</v>
      </c>
      <c r="P588" s="16">
        <f>AVERAGE(ReturnData!P588:P598)</f>
        <v>1.1018181818181816E-2</v>
      </c>
      <c r="Q588" s="16">
        <f>AVERAGE(ReturnData!Q588:Q598)</f>
        <v>-9.9090909090909091E-4</v>
      </c>
    </row>
    <row r="589" spans="1:17" x14ac:dyDescent="0.25">
      <c r="A589">
        <f>ReturnData!A601</f>
        <v>202312</v>
      </c>
      <c r="B589" s="16">
        <f>AVERAGE(ReturnData!B589:B599)</f>
        <v>-1.1899999999999999E-2</v>
      </c>
      <c r="C589" s="16">
        <f>AVERAGE(ReturnData!C589:C599)</f>
        <v>2.7181818181818205E-3</v>
      </c>
      <c r="D589" s="16">
        <f>AVERAGE(ReturnData!D589:D599)</f>
        <v>-2.6818181818181828E-3</v>
      </c>
      <c r="E589" s="16">
        <f>AVERAGE(ReturnData!E589:E599)</f>
        <v>-2.7636363636363639E-3</v>
      </c>
      <c r="F589" s="16">
        <f>AVERAGE(ReturnData!F589:F599)</f>
        <v>-1.4181818181818184E-3</v>
      </c>
      <c r="G589" s="16">
        <f>AVERAGE(ReturnData!G589:G599)</f>
        <v>-1.5318181818181816E-2</v>
      </c>
      <c r="H589" s="16">
        <f>AVERAGE(ReturnData!H589:H599)</f>
        <v>-2.4363636363636375E-3</v>
      </c>
      <c r="I589" s="16">
        <f>AVERAGE(ReturnData!I589:I599)</f>
        <v>3.390909090909092E-3</v>
      </c>
      <c r="J589" s="16">
        <f>AVERAGE(ReturnData!J589:J599)</f>
        <v>6.1090909090909078E-3</v>
      </c>
      <c r="K589" s="16">
        <f>AVERAGE(ReturnData!K589:K599)</f>
        <v>9.6454545454545404E-3</v>
      </c>
      <c r="L589" s="16">
        <f>AVERAGE(ReturnData!L589:L599)</f>
        <v>1.2454545454545456E-2</v>
      </c>
      <c r="M589" s="16">
        <f>AVERAGE(ReturnData!M589:M599)</f>
        <v>8.2909090909090936E-3</v>
      </c>
      <c r="N589" s="16">
        <f>AVERAGE(ReturnData!N589:N599)</f>
        <v>4.0909090909090848E-4</v>
      </c>
      <c r="O589" s="16">
        <f>AVERAGE(ReturnData!O589:O599)</f>
        <v>-1.0718181818181819E-2</v>
      </c>
      <c r="P589" s="16">
        <f>AVERAGE(ReturnData!P589:P599)</f>
        <v>1.0418181818181816E-2</v>
      </c>
      <c r="Q589" s="16">
        <f>AVERAGE(ReturnData!Q589:Q599)</f>
        <v>-6.9636363636363637E-3</v>
      </c>
    </row>
    <row r="590" spans="1:17" x14ac:dyDescent="0.25">
      <c r="A590">
        <f>ReturnData!A602</f>
        <v>202401</v>
      </c>
      <c r="B590" s="16">
        <f>AVERAGE(ReturnData!B590:B600)</f>
        <v>-5.0909090909090913E-3</v>
      </c>
      <c r="C590" s="16">
        <f>AVERAGE(ReturnData!C590:C600)</f>
        <v>1.4409090909090911E-2</v>
      </c>
      <c r="D590" s="16">
        <f>AVERAGE(ReturnData!D590:D600)</f>
        <v>-4.9090909090908981E-4</v>
      </c>
      <c r="E590" s="16">
        <f>AVERAGE(ReturnData!E590:E600)</f>
        <v>7.0545454545454548E-3</v>
      </c>
      <c r="F590" s="16">
        <f>AVERAGE(ReturnData!F590:F600)</f>
        <v>1.0372727272727273E-2</v>
      </c>
      <c r="G590" s="16">
        <f>AVERAGE(ReturnData!G590:G600)</f>
        <v>-4.7999999999999996E-3</v>
      </c>
      <c r="H590" s="16">
        <f>AVERAGE(ReturnData!H590:H600)</f>
        <v>2.3818181818181811E-3</v>
      </c>
      <c r="I590" s="16">
        <f>AVERAGE(ReturnData!I590:I600)</f>
        <v>1.831818181818182E-2</v>
      </c>
      <c r="J590" s="16">
        <f>AVERAGE(ReturnData!J590:J600)</f>
        <v>2.3145454545454545E-2</v>
      </c>
      <c r="K590" s="16">
        <f>AVERAGE(ReturnData!K590:K600)</f>
        <v>2.6154545454545455E-2</v>
      </c>
      <c r="L590" s="16">
        <f>AVERAGE(ReturnData!L590:L600)</f>
        <v>2.919090909090909E-2</v>
      </c>
      <c r="M590" s="16">
        <f>AVERAGE(ReturnData!M590:M600)</f>
        <v>4.5145454545454551E-2</v>
      </c>
      <c r="N590" s="16">
        <f>AVERAGE(ReturnData!N590:N600)</f>
        <v>1.3609090909090909E-2</v>
      </c>
      <c r="O590" s="16">
        <f>AVERAGE(ReturnData!O590:O600)</f>
        <v>-5.0000000000000018E-3</v>
      </c>
      <c r="P590" s="16">
        <f>AVERAGE(ReturnData!P590:P600)</f>
        <v>2.515454545454545E-2</v>
      </c>
      <c r="Q590" s="16">
        <f>AVERAGE(ReturnData!Q590:Q600)</f>
        <v>7.3909090909090903E-3</v>
      </c>
    </row>
    <row r="591" spans="1:17" x14ac:dyDescent="0.25">
      <c r="A591">
        <f>ReturnData!A603</f>
        <v>202402</v>
      </c>
      <c r="B591" s="16">
        <f>AVERAGE(ReturnData!B591:B601)</f>
        <v>-7.5454545454545403E-4</v>
      </c>
      <c r="C591" s="16">
        <f>AVERAGE(ReturnData!C591:C601)</f>
        <v>1.0145454545454548E-2</v>
      </c>
      <c r="D591" s="16">
        <f>AVERAGE(ReturnData!D591:D601)</f>
        <v>-2.9727272727272732E-3</v>
      </c>
      <c r="E591" s="16">
        <f>AVERAGE(ReturnData!E591:E601)</f>
        <v>3.1545454545454546E-3</v>
      </c>
      <c r="F591" s="16">
        <f>AVERAGE(ReturnData!F591:F601)</f>
        <v>5.5909090909090908E-3</v>
      </c>
      <c r="G591" s="16">
        <f>AVERAGE(ReturnData!G591:G601)</f>
        <v>-7.8363636363636378E-3</v>
      </c>
      <c r="H591" s="16">
        <f>AVERAGE(ReturnData!H591:H601)</f>
        <v>6.6363636363636356E-3</v>
      </c>
      <c r="I591" s="16">
        <f>AVERAGE(ReturnData!I591:I601)</f>
        <v>2.3563636363636363E-2</v>
      </c>
      <c r="J591" s="16">
        <f>AVERAGE(ReturnData!J591:J601)</f>
        <v>1.1781818181818181E-2</v>
      </c>
      <c r="K591" s="16">
        <f>AVERAGE(ReturnData!K591:K601)</f>
        <v>2.118181818181818E-2</v>
      </c>
      <c r="L591" s="16">
        <f>AVERAGE(ReturnData!L591:L601)</f>
        <v>2.9700000000000004E-2</v>
      </c>
      <c r="M591" s="16">
        <f>AVERAGE(ReturnData!M591:M601)</f>
        <v>2.7845454545454541E-2</v>
      </c>
      <c r="N591" s="16">
        <f>AVERAGE(ReturnData!N591:N601)</f>
        <v>1.4172727272727271E-2</v>
      </c>
      <c r="O591" s="16">
        <f>AVERAGE(ReturnData!O591:O601)</f>
        <v>-2.3363636363636364E-3</v>
      </c>
      <c r="P591" s="16">
        <f>AVERAGE(ReturnData!P591:P601)</f>
        <v>1.9036363636363633E-2</v>
      </c>
      <c r="Q591" s="16">
        <f>AVERAGE(ReturnData!Q591:Q601)</f>
        <v>7.7545454545454532E-3</v>
      </c>
    </row>
    <row r="592" spans="1:17" x14ac:dyDescent="0.25">
      <c r="A592">
        <f>ReturnData!A604</f>
        <v>202403</v>
      </c>
      <c r="B592" s="16">
        <f>AVERAGE(ReturnData!B592:B602)</f>
        <v>5.6363636363636425E-4</v>
      </c>
      <c r="C592" s="16">
        <f>AVERAGE(ReturnData!C592:C602)</f>
        <v>1.0854545454545457E-2</v>
      </c>
      <c r="D592" s="16">
        <f>AVERAGE(ReturnData!D592:D602)</f>
        <v>3.2545454545454544E-3</v>
      </c>
      <c r="E592" s="16">
        <f>AVERAGE(ReturnData!E592:E602)</f>
        <v>4.2454545454545444E-3</v>
      </c>
      <c r="F592" s="16">
        <f>AVERAGE(ReturnData!F592:F602)</f>
        <v>3.6363636363636359E-3</v>
      </c>
      <c r="G592" s="16">
        <f>AVERAGE(ReturnData!G592:G602)</f>
        <v>-9.045454545454544E-3</v>
      </c>
      <c r="H592" s="16">
        <f>AVERAGE(ReturnData!H592:H602)</f>
        <v>1.4936363636363638E-2</v>
      </c>
      <c r="I592" s="16">
        <f>AVERAGE(ReturnData!I592:I602)</f>
        <v>2.5727272727272724E-2</v>
      </c>
      <c r="J592" s="16">
        <f>AVERAGE(ReturnData!J592:J602)</f>
        <v>1.0700000000000001E-2</v>
      </c>
      <c r="K592" s="16">
        <f>AVERAGE(ReturnData!K592:K602)</f>
        <v>1.7127272727272727E-2</v>
      </c>
      <c r="L592" s="16">
        <f>AVERAGE(ReturnData!L592:L602)</f>
        <v>3.3600000000000005E-2</v>
      </c>
      <c r="M592" s="16">
        <f>AVERAGE(ReturnData!M592:M602)</f>
        <v>4.0363636363636357E-3</v>
      </c>
      <c r="N592" s="16">
        <f>AVERAGE(ReturnData!N592:N602)</f>
        <v>1.2609090909090908E-2</v>
      </c>
      <c r="O592" s="16">
        <f>AVERAGE(ReturnData!O592:O602)</f>
        <v>-2.2727272727272746E-4</v>
      </c>
      <c r="P592" s="16">
        <f>AVERAGE(ReturnData!P592:P602)</f>
        <v>2.53E-2</v>
      </c>
      <c r="Q592" s="16">
        <f>AVERAGE(ReturnData!Q592:Q602)</f>
        <v>1.1018181818181816E-2</v>
      </c>
    </row>
    <row r="593" spans="1:17" x14ac:dyDescent="0.25">
      <c r="A593">
        <f>ReturnData!A605</f>
        <v>202404</v>
      </c>
      <c r="B593" s="16">
        <f>AVERAGE(ReturnData!B593:B603)</f>
        <v>-1.3272727272727275E-3</v>
      </c>
      <c r="C593" s="16">
        <f>AVERAGE(ReturnData!C593:C603)</f>
        <v>1.1172727272727275E-2</v>
      </c>
      <c r="D593" s="16">
        <f>AVERAGE(ReturnData!D593:D603)</f>
        <v>6.3000000000000009E-3</v>
      </c>
      <c r="E593" s="16">
        <f>AVERAGE(ReturnData!E593:E603)</f>
        <v>6.3272727272727291E-3</v>
      </c>
      <c r="F593" s="16">
        <f>AVERAGE(ReturnData!F593:F603)</f>
        <v>7.6272727272727273E-3</v>
      </c>
      <c r="G593" s="16">
        <f>AVERAGE(ReturnData!G593:G603)</f>
        <v>-2.6999999999999997E-3</v>
      </c>
      <c r="H593" s="16">
        <f>AVERAGE(ReturnData!H593:H603)</f>
        <v>1.7245454545454546E-2</v>
      </c>
      <c r="I593" s="16">
        <f>AVERAGE(ReturnData!I593:I603)</f>
        <v>3.3981818181818182E-2</v>
      </c>
      <c r="J593" s="16">
        <f>AVERAGE(ReturnData!J593:J603)</f>
        <v>2.2472727272727269E-2</v>
      </c>
      <c r="K593" s="16">
        <f>AVERAGE(ReturnData!K593:K603)</f>
        <v>2.9299999999999996E-2</v>
      </c>
      <c r="L593" s="16">
        <f>AVERAGE(ReturnData!L593:L603)</f>
        <v>3.9199999999999999E-2</v>
      </c>
      <c r="M593" s="16">
        <f>AVERAGE(ReturnData!M593:M603)</f>
        <v>1.1072727272727274E-2</v>
      </c>
      <c r="N593" s="16">
        <f>AVERAGE(ReturnData!N593:N603)</f>
        <v>1.7299999999999996E-2</v>
      </c>
      <c r="O593" s="16">
        <f>AVERAGE(ReturnData!O593:O603)</f>
        <v>-1.5636363636363643E-3</v>
      </c>
      <c r="P593" s="16">
        <f>AVERAGE(ReturnData!P593:P603)</f>
        <v>3.0118181818181811E-2</v>
      </c>
      <c r="Q593" s="16">
        <f>AVERAGE(ReturnData!Q593:Q603)</f>
        <v>2.2209090909090904E-2</v>
      </c>
    </row>
    <row r="594" spans="1:17" x14ac:dyDescent="0.25">
      <c r="A594">
        <f>ReturnData!A606</f>
        <v>202405</v>
      </c>
      <c r="B594" s="16">
        <f>AVERAGE(ReturnData!B594:B604)</f>
        <v>-1.390909090909092E-3</v>
      </c>
      <c r="C594" s="16">
        <f>AVERAGE(ReturnData!C594:C604)</f>
        <v>2.759090909090909E-2</v>
      </c>
      <c r="D594" s="16">
        <f>AVERAGE(ReturnData!D594:D604)</f>
        <v>1.3381818181818184E-2</v>
      </c>
      <c r="E594" s="16">
        <f>AVERAGE(ReturnData!E594:E604)</f>
        <v>-1.0363636363636371E-3</v>
      </c>
      <c r="F594" s="16">
        <f>AVERAGE(ReturnData!F594:F604)</f>
        <v>1.3272727272727271E-2</v>
      </c>
      <c r="G594" s="16">
        <f>AVERAGE(ReturnData!G594:G604)</f>
        <v>4.5545454545454552E-3</v>
      </c>
      <c r="H594" s="16">
        <f>AVERAGE(ReturnData!H594:H604)</f>
        <v>1.4390909090909091E-2</v>
      </c>
      <c r="I594" s="16">
        <f>AVERAGE(ReturnData!I594:I604)</f>
        <v>3.5345454545454548E-2</v>
      </c>
      <c r="J594" s="16">
        <f>AVERAGE(ReturnData!J594:J604)</f>
        <v>3.3672727272727278E-2</v>
      </c>
      <c r="K594" s="16">
        <f>AVERAGE(ReturnData!K594:K604)</f>
        <v>3.554545454545454E-2</v>
      </c>
      <c r="L594" s="16">
        <f>AVERAGE(ReturnData!L594:L604)</f>
        <v>5.0027272727272726E-2</v>
      </c>
      <c r="M594" s="16">
        <f>AVERAGE(ReturnData!M594:M604)</f>
        <v>1.8581818181818182E-2</v>
      </c>
      <c r="N594" s="16">
        <f>AVERAGE(ReturnData!N594:N604)</f>
        <v>2.055454545454545E-2</v>
      </c>
      <c r="O594" s="16">
        <f>AVERAGE(ReturnData!O594:O604)</f>
        <v>3.28181818181818E-3</v>
      </c>
      <c r="P594" s="16">
        <f>AVERAGE(ReturnData!P594:P604)</f>
        <v>2.9872727272727273E-2</v>
      </c>
      <c r="Q594" s="16">
        <f>AVERAGE(ReturnData!Q594:Q604)</f>
        <v>2.4809090909090906E-2</v>
      </c>
    </row>
    <row r="595" spans="1:17" x14ac:dyDescent="0.25">
      <c r="A595">
        <f>ReturnData!A607</f>
        <v>202406</v>
      </c>
      <c r="B595" s="16">
        <f>AVERAGE(ReturnData!B595:B605)</f>
        <v>1.5363636363636369E-3</v>
      </c>
      <c r="C595" s="16">
        <f>AVERAGE(ReturnData!C595:C605)</f>
        <v>3.5790909090909089E-2</v>
      </c>
      <c r="D595" s="16">
        <f>AVERAGE(ReturnData!D595:D605)</f>
        <v>2.1581818181818181E-2</v>
      </c>
      <c r="E595" s="16">
        <f>AVERAGE(ReturnData!E595:E605)</f>
        <v>5.2181818181818189E-3</v>
      </c>
      <c r="F595" s="16">
        <f>AVERAGE(ReturnData!F595:F605)</f>
        <v>1.179090909090909E-2</v>
      </c>
      <c r="G595" s="16">
        <f>AVERAGE(ReturnData!G595:G605)</f>
        <v>7.4818181818181806E-3</v>
      </c>
      <c r="H595" s="16">
        <f>AVERAGE(ReturnData!H595:H605)</f>
        <v>1.4827272727272727E-2</v>
      </c>
      <c r="I595" s="16">
        <f>AVERAGE(ReturnData!I595:I605)</f>
        <v>2.9127272727272727E-2</v>
      </c>
      <c r="J595" s="16">
        <f>AVERAGE(ReturnData!J595:J605)</f>
        <v>3.2954545454545459E-2</v>
      </c>
      <c r="K595" s="16">
        <f>AVERAGE(ReturnData!K595:K605)</f>
        <v>3.775454545454545E-2</v>
      </c>
      <c r="L595" s="16">
        <f>AVERAGE(ReturnData!L595:L605)</f>
        <v>3.7409090909090906E-2</v>
      </c>
      <c r="M595" s="16">
        <f>AVERAGE(ReturnData!M595:M605)</f>
        <v>6.6272727272727282E-3</v>
      </c>
      <c r="N595" s="16">
        <f>AVERAGE(ReturnData!N595:N605)</f>
        <v>1.7663636363636364E-2</v>
      </c>
      <c r="O595" s="16">
        <f>AVERAGE(ReturnData!O595:O605)</f>
        <v>9.9909090909090902E-3</v>
      </c>
      <c r="P595" s="16">
        <f>AVERAGE(ReturnData!P595:P605)</f>
        <v>2.4945454545454545E-2</v>
      </c>
      <c r="Q595" s="16">
        <f>AVERAGE(ReturnData!Q595:Q605)</f>
        <v>2.4445454545454545E-2</v>
      </c>
    </row>
    <row r="596" spans="1:17" x14ac:dyDescent="0.25">
      <c r="A596">
        <f>ReturnData!A608</f>
        <v>202407</v>
      </c>
      <c r="B596" s="16">
        <f>AVERAGE(ReturnData!B596:B606)</f>
        <v>-3.6363636363636852E-5</v>
      </c>
      <c r="C596" s="16">
        <f>AVERAGE(ReturnData!C596:C606)</f>
        <v>2.7654545454545456E-2</v>
      </c>
      <c r="D596" s="16">
        <f>AVERAGE(ReturnData!D596:D606)</f>
        <v>1.5309090909090909E-2</v>
      </c>
      <c r="E596" s="16">
        <f>AVERAGE(ReturnData!E596:E606)</f>
        <v>3.1727272727272741E-3</v>
      </c>
      <c r="F596" s="16">
        <f>AVERAGE(ReturnData!F596:F606)</f>
        <v>2.5363636363636339E-3</v>
      </c>
      <c r="G596" s="16">
        <f>AVERAGE(ReturnData!G596:G606)</f>
        <v>4.0999999999999986E-3</v>
      </c>
      <c r="H596" s="16">
        <f>AVERAGE(ReturnData!H596:H606)</f>
        <v>1.2636363636363638E-2</v>
      </c>
      <c r="I596" s="16">
        <f>AVERAGE(ReturnData!I596:I606)</f>
        <v>1.841818181818182E-2</v>
      </c>
      <c r="J596" s="16">
        <f>AVERAGE(ReturnData!J596:J606)</f>
        <v>1.8600000000000002E-2</v>
      </c>
      <c r="K596" s="16">
        <f>AVERAGE(ReturnData!K596:K606)</f>
        <v>2.2890909090909087E-2</v>
      </c>
      <c r="L596" s="16">
        <f>AVERAGE(ReturnData!L596:L606)</f>
        <v>4.02E-2</v>
      </c>
      <c r="M596" s="16">
        <f>AVERAGE(ReturnData!M596:M606)</f>
        <v>-1.5154545454545454E-2</v>
      </c>
      <c r="N596" s="16">
        <f>AVERAGE(ReturnData!N596:N606)</f>
        <v>1.1445454545454547E-2</v>
      </c>
      <c r="O596" s="16">
        <f>AVERAGE(ReturnData!O596:O606)</f>
        <v>1.4872727272727275E-2</v>
      </c>
      <c r="P596" s="16">
        <f>AVERAGE(ReturnData!P596:P606)</f>
        <v>2.18E-2</v>
      </c>
      <c r="Q596" s="16">
        <f>AVERAGE(ReturnData!Q596:Q606)</f>
        <v>2.2354545454545453E-2</v>
      </c>
    </row>
    <row r="597" spans="1:17" x14ac:dyDescent="0.25">
      <c r="A597">
        <f>ReturnData!A609</f>
        <v>202408</v>
      </c>
      <c r="B597" s="16">
        <f>AVERAGE(ReturnData!B597:B607)</f>
        <v>-4.3181818181818191E-3</v>
      </c>
      <c r="C597" s="16">
        <f>AVERAGE(ReturnData!C597:C607)</f>
        <v>1.4145454545454543E-2</v>
      </c>
      <c r="D597" s="16">
        <f>AVERAGE(ReturnData!D597:D607)</f>
        <v>6.690909090909092E-3</v>
      </c>
      <c r="E597" s="16">
        <f>AVERAGE(ReturnData!E597:E607)</f>
        <v>-8.9636363636363629E-3</v>
      </c>
      <c r="F597" s="16">
        <f>AVERAGE(ReturnData!F597:F607)</f>
        <v>-3.7727272727272744E-3</v>
      </c>
      <c r="G597" s="16">
        <f>AVERAGE(ReturnData!G597:G607)</f>
        <v>-6.0454545454545457E-3</v>
      </c>
      <c r="H597" s="16">
        <f>AVERAGE(ReturnData!H597:H607)</f>
        <v>1.6190909090909093E-2</v>
      </c>
      <c r="I597" s="16">
        <f>AVERAGE(ReturnData!I597:I607)</f>
        <v>1.1863636363636364E-2</v>
      </c>
      <c r="J597" s="16">
        <f>AVERAGE(ReturnData!J597:J607)</f>
        <v>1.0245454545454549E-2</v>
      </c>
      <c r="K597" s="16">
        <f>AVERAGE(ReturnData!K597:K607)</f>
        <v>1.5800000000000002E-2</v>
      </c>
      <c r="L597" s="16">
        <f>AVERAGE(ReturnData!L597:L607)</f>
        <v>4.0927272727272729E-2</v>
      </c>
      <c r="M597" s="16">
        <f>AVERAGE(ReturnData!M597:M607)</f>
        <v>-1.0754545454545458E-2</v>
      </c>
      <c r="N597" s="16">
        <f>AVERAGE(ReturnData!N597:N607)</f>
        <v>7.3090909090909092E-3</v>
      </c>
      <c r="O597" s="16">
        <f>AVERAGE(ReturnData!O597:O607)</f>
        <v>8.5181818181818154E-3</v>
      </c>
      <c r="P597" s="16">
        <f>AVERAGE(ReturnData!P597:P607)</f>
        <v>2.3972727272727271E-2</v>
      </c>
      <c r="Q597" s="16">
        <f>AVERAGE(ReturnData!Q597:Q607)</f>
        <v>1.6281818181818179E-2</v>
      </c>
    </row>
    <row r="598" spans="1:17" x14ac:dyDescent="0.25">
      <c r="A598">
        <f>ReturnData!A610</f>
        <v>202409</v>
      </c>
      <c r="B598" s="16">
        <f>AVERAGE(ReturnData!B598:B608)</f>
        <v>3.0272727272727261E-3</v>
      </c>
      <c r="C598" s="16">
        <f>AVERAGE(ReturnData!C598:C608)</f>
        <v>2.3418181818181814E-2</v>
      </c>
      <c r="D598" s="16">
        <f>AVERAGE(ReturnData!D598:D608)</f>
        <v>6.6363636363636373E-3</v>
      </c>
      <c r="E598" s="16">
        <f>AVERAGE(ReturnData!E598:E608)</f>
        <v>-4.2454545454545436E-3</v>
      </c>
      <c r="F598" s="16">
        <f>AVERAGE(ReturnData!F598:F608)</f>
        <v>2.090909090909075E-4</v>
      </c>
      <c r="G598" s="16">
        <f>AVERAGE(ReturnData!G598:G608)</f>
        <v>2.636363636363635E-3</v>
      </c>
      <c r="H598" s="16">
        <f>AVERAGE(ReturnData!H598:H608)</f>
        <v>1.3490909090909092E-2</v>
      </c>
      <c r="I598" s="16">
        <f>AVERAGE(ReturnData!I598:I608)</f>
        <v>2.3818181818181818E-2</v>
      </c>
      <c r="J598" s="16">
        <f>AVERAGE(ReturnData!J598:J608)</f>
        <v>1.7509090909090905E-2</v>
      </c>
      <c r="K598" s="16">
        <f>AVERAGE(ReturnData!K598:K608)</f>
        <v>2.3436363636363641E-2</v>
      </c>
      <c r="L598" s="16">
        <f>AVERAGE(ReturnData!L598:L608)</f>
        <v>3.9718181818181819E-2</v>
      </c>
      <c r="M598" s="16">
        <f>AVERAGE(ReturnData!M598:M608)</f>
        <v>2.2272727272727292E-3</v>
      </c>
      <c r="N598" s="16">
        <f>AVERAGE(ReturnData!N598:N608)</f>
        <v>1.4745454545454546E-2</v>
      </c>
      <c r="O598" s="16">
        <f>AVERAGE(ReturnData!O598:O608)</f>
        <v>1.9081818181818179E-2</v>
      </c>
      <c r="P598" s="16">
        <f>AVERAGE(ReturnData!P598:P608)</f>
        <v>2.2618181818181819E-2</v>
      </c>
      <c r="Q598" s="16">
        <f>AVERAGE(ReturnData!Q598:Q608)</f>
        <v>2.6536363636363636E-2</v>
      </c>
    </row>
    <row r="599" spans="1:17" x14ac:dyDescent="0.25">
      <c r="A599">
        <f>ReturnData!A611</f>
        <v>202410</v>
      </c>
      <c r="B599" s="16">
        <f>AVERAGE(ReturnData!B599:B609)</f>
        <v>1.1063636363636364E-2</v>
      </c>
      <c r="C599" s="16">
        <f>AVERAGE(ReturnData!C599:C609)</f>
        <v>2.52E-2</v>
      </c>
      <c r="D599" s="16">
        <f>AVERAGE(ReturnData!D599:D609)</f>
        <v>1.1909090909090925E-3</v>
      </c>
      <c r="E599" s="16">
        <f>AVERAGE(ReturnData!E599:E609)</f>
        <v>4.8545454545454551E-3</v>
      </c>
      <c r="F599" s="16">
        <f>AVERAGE(ReturnData!F599:F609)</f>
        <v>5.58181818181818E-3</v>
      </c>
      <c r="G599" s="16">
        <f>AVERAGE(ReturnData!G599:G609)</f>
        <v>8.6363636363636347E-3</v>
      </c>
      <c r="H599" s="16">
        <f>AVERAGE(ReturnData!H599:H609)</f>
        <v>2.4799999999999999E-2</v>
      </c>
      <c r="I599" s="16">
        <f>AVERAGE(ReturnData!I599:I609)</f>
        <v>3.2072727272727281E-2</v>
      </c>
      <c r="J599" s="16">
        <f>AVERAGE(ReturnData!J599:J609)</f>
        <v>1.544545454545454E-2</v>
      </c>
      <c r="K599" s="16">
        <f>AVERAGE(ReturnData!K599:K609)</f>
        <v>3.3481818181818175E-2</v>
      </c>
      <c r="L599" s="16">
        <f>AVERAGE(ReturnData!L599:L609)</f>
        <v>4.6509090909090903E-2</v>
      </c>
      <c r="M599" s="16">
        <f>AVERAGE(ReturnData!M599:M609)</f>
        <v>4.9090909090908916E-4</v>
      </c>
      <c r="N599" s="16">
        <f>AVERAGE(ReturnData!N599:N609)</f>
        <v>2.2990909090909093E-2</v>
      </c>
      <c r="O599" s="16">
        <f>AVERAGE(ReturnData!O599:O609)</f>
        <v>2.7799999999999995E-2</v>
      </c>
      <c r="P599" s="16">
        <f>AVERAGE(ReturnData!P599:P609)</f>
        <v>2.9463636363636362E-2</v>
      </c>
      <c r="Q599" s="16">
        <f>AVERAGE(ReturnData!Q599:Q609)</f>
        <v>3.0654545454545455E-2</v>
      </c>
    </row>
    <row r="600" spans="1:17" x14ac:dyDescent="0.25">
      <c r="A600">
        <f>ReturnData!A612</f>
        <v>202411</v>
      </c>
      <c r="B600" s="16">
        <f>AVERAGE(ReturnData!B600:B610)</f>
        <v>1.5272727272727273E-2</v>
      </c>
      <c r="C600" s="16">
        <f>AVERAGE(ReturnData!C600:C610)</f>
        <v>3.5954545454545454E-2</v>
      </c>
      <c r="D600" s="16">
        <f>AVERAGE(ReturnData!D600:D610)</f>
        <v>3.7181818181818188E-3</v>
      </c>
      <c r="E600" s="16">
        <f>AVERAGE(ReturnData!E600:E610)</f>
        <v>6.400000000000002E-3</v>
      </c>
      <c r="F600" s="16">
        <f>AVERAGE(ReturnData!F600:F610)</f>
        <v>1.7336363636363632E-2</v>
      </c>
      <c r="G600" s="16">
        <f>AVERAGE(ReturnData!G600:G610)</f>
        <v>1.8181818181818177E-2</v>
      </c>
      <c r="H600" s="16">
        <f>AVERAGE(ReturnData!H600:H610)</f>
        <v>2.3363636363636364E-2</v>
      </c>
      <c r="I600" s="16">
        <f>AVERAGE(ReturnData!I600:I610)</f>
        <v>4.4109090909090917E-2</v>
      </c>
      <c r="J600" s="16">
        <f>AVERAGE(ReturnData!J600:J610)</f>
        <v>2.0772727272727273E-2</v>
      </c>
      <c r="K600" s="16">
        <f>AVERAGE(ReturnData!K600:K610)</f>
        <v>4.3145454545454535E-2</v>
      </c>
      <c r="L600" s="16">
        <f>AVERAGE(ReturnData!L600:L610)</f>
        <v>5.4818181818181828E-2</v>
      </c>
      <c r="M600" s="16">
        <f>AVERAGE(ReturnData!M600:M610)</f>
        <v>2.6254545454545454E-2</v>
      </c>
      <c r="N600" s="16">
        <f>AVERAGE(ReturnData!N600:N610)</f>
        <v>2.6363636363636363E-2</v>
      </c>
      <c r="O600" s="16">
        <f>AVERAGE(ReturnData!O600:O610)</f>
        <v>3.1654545454545449E-2</v>
      </c>
      <c r="P600" s="16">
        <f>AVERAGE(ReturnData!P600:P610)</f>
        <v>3.110909090909092E-2</v>
      </c>
      <c r="Q600" s="16">
        <f>AVERAGE(ReturnData!Q600:Q610)</f>
        <v>3.1818181818181808E-2</v>
      </c>
    </row>
    <row r="601" spans="1:17" x14ac:dyDescent="0.25">
      <c r="A601">
        <f>ReturnData!A613</f>
        <v>202412</v>
      </c>
      <c r="B601" s="16">
        <f>AVERAGE(ReturnData!B601:B611)</f>
        <v>6.7454545454545458E-3</v>
      </c>
      <c r="C601" s="16">
        <f>AVERAGE(ReturnData!C601:C611)</f>
        <v>2.5136363636363637E-2</v>
      </c>
      <c r="D601" s="16">
        <f>AVERAGE(ReturnData!D601:D611)</f>
        <v>4.8090909090909104E-3</v>
      </c>
      <c r="E601" s="16">
        <f>AVERAGE(ReturnData!E601:E611)</f>
        <v>-9.300000000000001E-3</v>
      </c>
      <c r="F601" s="16">
        <f>AVERAGE(ReturnData!F601:F611)</f>
        <v>8.7454545454545424E-3</v>
      </c>
      <c r="G601" s="16">
        <f>AVERAGE(ReturnData!G601:G611)</f>
        <v>1.0572727272727272E-2</v>
      </c>
      <c r="H601" s="16">
        <f>AVERAGE(ReturnData!H601:H611)</f>
        <v>1.598181818181818E-2</v>
      </c>
      <c r="I601" s="16">
        <f>AVERAGE(ReturnData!I601:I611)</f>
        <v>2.873636363636364E-2</v>
      </c>
      <c r="J601" s="16">
        <f>AVERAGE(ReturnData!J601:J611)</f>
        <v>9.2545454545454563E-3</v>
      </c>
      <c r="K601" s="16">
        <f>AVERAGE(ReturnData!K601:K611)</f>
        <v>3.1081818181818179E-2</v>
      </c>
      <c r="L601" s="16">
        <f>AVERAGE(ReturnData!L601:L611)</f>
        <v>4.4581818181818181E-2</v>
      </c>
      <c r="M601" s="16">
        <f>AVERAGE(ReturnData!M601:M611)</f>
        <v>9.727272727272725E-3</v>
      </c>
      <c r="N601" s="16">
        <f>AVERAGE(ReturnData!N601:N611)</f>
        <v>1.6190909090909093E-2</v>
      </c>
      <c r="O601" s="16">
        <f>AVERAGE(ReturnData!O601:O611)</f>
        <v>2.7663636363636359E-2</v>
      </c>
      <c r="P601" s="16">
        <f>AVERAGE(ReturnData!P601:P611)</f>
        <v>2.4081818181818183E-2</v>
      </c>
      <c r="Q601" s="16">
        <f>AVERAGE(ReturnData!Q601:Q611)</f>
        <v>2.4899999999999999E-2</v>
      </c>
    </row>
    <row r="602" spans="1:17" x14ac:dyDescent="0.25">
      <c r="A60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 spans="1:17" x14ac:dyDescent="0.25">
      <c r="A603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 spans="1:17" x14ac:dyDescent="0.25">
      <c r="A604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 spans="1:17" x14ac:dyDescent="0.25">
      <c r="A60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 spans="1:17" x14ac:dyDescent="0.25">
      <c r="A60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 spans="1:17" x14ac:dyDescent="0.25">
      <c r="A60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 spans="1:17" x14ac:dyDescent="0.25">
      <c r="A608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 spans="1:17" x14ac:dyDescent="0.25">
      <c r="A60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 spans="1:17" x14ac:dyDescent="0.25">
      <c r="A610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 spans="1:17" x14ac:dyDescent="0.25">
      <c r="A61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 spans="1:17" x14ac:dyDescent="0.25">
      <c r="A61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 spans="1:17" x14ac:dyDescent="0.25">
      <c r="A613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 spans="1:17" x14ac:dyDescent="0.25">
      <c r="A614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 spans="1:17" x14ac:dyDescent="0.25">
      <c r="A61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 spans="1:17" x14ac:dyDescent="0.25">
      <c r="A61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 spans="1:17" x14ac:dyDescent="0.25">
      <c r="A61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 spans="1:17" x14ac:dyDescent="0.25">
      <c r="A618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 spans="1:17" x14ac:dyDescent="0.25">
      <c r="A61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 spans="1:17" x14ac:dyDescent="0.25">
      <c r="A620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 spans="1:17" x14ac:dyDescent="0.25">
      <c r="A62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 spans="1:17" x14ac:dyDescent="0.25">
      <c r="A62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 spans="1:17" x14ac:dyDescent="0.25">
      <c r="A623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 spans="1:17" x14ac:dyDescent="0.25">
      <c r="A624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 spans="1:17" x14ac:dyDescent="0.25">
      <c r="A62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 spans="1:17" x14ac:dyDescent="0.25">
      <c r="A62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 spans="1:17" x14ac:dyDescent="0.25">
      <c r="A62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 spans="1:17" x14ac:dyDescent="0.25">
      <c r="A628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 spans="1:17" x14ac:dyDescent="0.25">
      <c r="A62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 spans="1:17" x14ac:dyDescent="0.25">
      <c r="A630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 spans="1:17" x14ac:dyDescent="0.25">
      <c r="A63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 spans="1:17" x14ac:dyDescent="0.25">
      <c r="A63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 spans="1:17" x14ac:dyDescent="0.25">
      <c r="A633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 spans="1:17" x14ac:dyDescent="0.25">
      <c r="A634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 spans="1:17" x14ac:dyDescent="0.25">
      <c r="A63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 spans="1:17" x14ac:dyDescent="0.25">
      <c r="A63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 spans="1:17" x14ac:dyDescent="0.25">
      <c r="A63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 spans="1:17" x14ac:dyDescent="0.25">
      <c r="A638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 spans="1:17" x14ac:dyDescent="0.25">
      <c r="A63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 spans="1:17" x14ac:dyDescent="0.25">
      <c r="A640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 spans="1:17" x14ac:dyDescent="0.25">
      <c r="A64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 spans="1:17" x14ac:dyDescent="0.25">
      <c r="A64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 spans="1:17" x14ac:dyDescent="0.25">
      <c r="A643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 spans="1:17" x14ac:dyDescent="0.25">
      <c r="A644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 spans="1:17" x14ac:dyDescent="0.25">
      <c r="A64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 spans="1:17" x14ac:dyDescent="0.25">
      <c r="A64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 spans="1:17" x14ac:dyDescent="0.25">
      <c r="A64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 spans="1:17" x14ac:dyDescent="0.25">
      <c r="A648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 spans="1:17" x14ac:dyDescent="0.25">
      <c r="A64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 spans="1:17" x14ac:dyDescent="0.25">
      <c r="A650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 spans="1:17" x14ac:dyDescent="0.25">
      <c r="A65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 spans="1:17" x14ac:dyDescent="0.25">
      <c r="A65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 spans="1:17" x14ac:dyDescent="0.25">
      <c r="A653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 spans="1:17" x14ac:dyDescent="0.25">
      <c r="A654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 spans="1:17" x14ac:dyDescent="0.25">
      <c r="A65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 spans="1:17" x14ac:dyDescent="0.25">
      <c r="A65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 spans="1:17" x14ac:dyDescent="0.25">
      <c r="A65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 spans="1:17" x14ac:dyDescent="0.25">
      <c r="A658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 spans="1:17" x14ac:dyDescent="0.25">
      <c r="A65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 spans="1:17" x14ac:dyDescent="0.25">
      <c r="A660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 spans="1:17" x14ac:dyDescent="0.25">
      <c r="A66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 spans="1:17" x14ac:dyDescent="0.25">
      <c r="A66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 spans="1:17" x14ac:dyDescent="0.25">
      <c r="A663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 spans="1:17" x14ac:dyDescent="0.25">
      <c r="A664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 spans="1:17" x14ac:dyDescent="0.25">
      <c r="A66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 spans="1:17" x14ac:dyDescent="0.25">
      <c r="A66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 spans="1:17" x14ac:dyDescent="0.25">
      <c r="A66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 spans="1:17" x14ac:dyDescent="0.25">
      <c r="A668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 spans="1:17" x14ac:dyDescent="0.25">
      <c r="A66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 spans="1:17" x14ac:dyDescent="0.25">
      <c r="A670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 spans="1:17" x14ac:dyDescent="0.25">
      <c r="A67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 spans="1:17" x14ac:dyDescent="0.25">
      <c r="A67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 spans="1:17" x14ac:dyDescent="0.25">
      <c r="A673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 spans="1:17" x14ac:dyDescent="0.25">
      <c r="A674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 spans="1:17" x14ac:dyDescent="0.25">
      <c r="A67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 spans="1:17" x14ac:dyDescent="0.25">
      <c r="A67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 spans="1:17" x14ac:dyDescent="0.25">
      <c r="A67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 spans="1:17" x14ac:dyDescent="0.25">
      <c r="A678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 spans="1:17" x14ac:dyDescent="0.25">
      <c r="A67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 spans="1:17" x14ac:dyDescent="0.25">
      <c r="A680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 spans="1:17" x14ac:dyDescent="0.25">
      <c r="A68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 spans="1:17" x14ac:dyDescent="0.25">
      <c r="A68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 spans="1:17" x14ac:dyDescent="0.25">
      <c r="A683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 spans="1:17" x14ac:dyDescent="0.25">
      <c r="A684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 spans="1:17" x14ac:dyDescent="0.25">
      <c r="A68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 spans="1:17" x14ac:dyDescent="0.25">
      <c r="A68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 spans="1:17" x14ac:dyDescent="0.25">
      <c r="A68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 spans="1:17" x14ac:dyDescent="0.25">
      <c r="A688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 spans="1:17" x14ac:dyDescent="0.25">
      <c r="A68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 spans="1:17" x14ac:dyDescent="0.25">
      <c r="A690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 spans="1:17" x14ac:dyDescent="0.25">
      <c r="A69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 spans="1:17" x14ac:dyDescent="0.25">
      <c r="A69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 spans="1:17" x14ac:dyDescent="0.25">
      <c r="A693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 spans="1:17" x14ac:dyDescent="0.25">
      <c r="A694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 spans="1:17" x14ac:dyDescent="0.25">
      <c r="A69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 spans="1:17" x14ac:dyDescent="0.25">
      <c r="A69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 spans="1:17" x14ac:dyDescent="0.25">
      <c r="A69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 spans="1:17" x14ac:dyDescent="0.25">
      <c r="A698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 spans="1:17" x14ac:dyDescent="0.25">
      <c r="A69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 spans="1:17" x14ac:dyDescent="0.25">
      <c r="A700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 spans="1:17" x14ac:dyDescent="0.25">
      <c r="A70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 spans="1:17" x14ac:dyDescent="0.25">
      <c r="A70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 spans="1:17" x14ac:dyDescent="0.25">
      <c r="A703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 spans="1:17" x14ac:dyDescent="0.25">
      <c r="A704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 spans="1:17" x14ac:dyDescent="0.25">
      <c r="A70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 spans="1:17" x14ac:dyDescent="0.25">
      <c r="A70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 spans="1:17" x14ac:dyDescent="0.25">
      <c r="A70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 spans="1:17" x14ac:dyDescent="0.25">
      <c r="A708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 spans="1:17" x14ac:dyDescent="0.25">
      <c r="A70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 spans="1:17" x14ac:dyDescent="0.25">
      <c r="A710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 spans="1:17" x14ac:dyDescent="0.25">
      <c r="A71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 spans="1:17" x14ac:dyDescent="0.25">
      <c r="A71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 spans="1:17" x14ac:dyDescent="0.25">
      <c r="A713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 spans="1:17" x14ac:dyDescent="0.25">
      <c r="A714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 spans="1:17" x14ac:dyDescent="0.25">
      <c r="A71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 spans="1:17" x14ac:dyDescent="0.25">
      <c r="A71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 spans="1:17" x14ac:dyDescent="0.25">
      <c r="A71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 spans="1:17" x14ac:dyDescent="0.25">
      <c r="A718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 spans="1:17" x14ac:dyDescent="0.25">
      <c r="A71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 spans="1:17" x14ac:dyDescent="0.25">
      <c r="A720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 spans="1:17" x14ac:dyDescent="0.25">
      <c r="A72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 spans="1:17" x14ac:dyDescent="0.25">
      <c r="A72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 spans="1:17" x14ac:dyDescent="0.25">
      <c r="A723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 spans="1:17" x14ac:dyDescent="0.25">
      <c r="A724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 spans="1:17" x14ac:dyDescent="0.25">
      <c r="A72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 spans="1:17" x14ac:dyDescent="0.25">
      <c r="A72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 spans="1:17" x14ac:dyDescent="0.25">
      <c r="A72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 spans="1:17" x14ac:dyDescent="0.25">
      <c r="A728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 spans="1:17" x14ac:dyDescent="0.25">
      <c r="A72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 spans="1:17" x14ac:dyDescent="0.25">
      <c r="A730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 spans="1:17" x14ac:dyDescent="0.25">
      <c r="A73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 spans="1:17" x14ac:dyDescent="0.25">
      <c r="A73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</sheetData>
  <pageMargins left="0.7" right="0.7" top="0.75" bottom="0.75" header="0.3" footer="0.3"/>
  <pageSetup orientation="portrait" r:id="rId1"/>
  <ignoredErrors>
    <ignoredError sqref="B2:C2 C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32EB-83AA-49ED-B98C-981D28D08B37}">
  <dimension ref="A1:Q721"/>
  <sheetViews>
    <sheetView tabSelected="1" workbookViewId="0"/>
  </sheetViews>
  <sheetFormatPr defaultColWidth="8.85546875" defaultRowHeight="15" x14ac:dyDescent="0.25"/>
  <cols>
    <col min="1" max="1" width="10.7109375" bestFit="1" customWidth="1"/>
    <col min="2" max="2" width="14.42578125" customWidth="1"/>
    <col min="3" max="3" width="13.42578125" customWidth="1"/>
    <col min="4" max="4" width="10.28515625" customWidth="1"/>
    <col min="5" max="5" width="9.85546875" customWidth="1"/>
    <col min="6" max="6" width="9.7109375" bestFit="1" customWidth="1"/>
    <col min="7" max="7" width="11.28515625" bestFit="1" customWidth="1"/>
    <col min="8" max="8" width="10.28515625" bestFit="1" customWidth="1"/>
    <col min="9" max="9" width="12.28515625" customWidth="1"/>
    <col min="10" max="10" width="9.42578125" bestFit="1" customWidth="1"/>
    <col min="11" max="11" width="8.140625" bestFit="1" customWidth="1"/>
  </cols>
  <sheetData>
    <row r="1" spans="1:17" x14ac:dyDescent="0.25">
      <c r="A1" s="4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</row>
    <row r="2" spans="1:17" x14ac:dyDescent="0.25">
      <c r="A2" s="3">
        <f>'Momentum Signal'!A2</f>
        <v>197501</v>
      </c>
      <c r="B2">
        <f>RANK('Momentum Signal'!B2,'Momentum Signal'!$B2:$Q2)</f>
        <v>11</v>
      </c>
      <c r="C2">
        <f>RANK('Momentum Signal'!C2,'Momentum Signal'!$B2:$Q2)</f>
        <v>2</v>
      </c>
      <c r="D2">
        <f>RANK('Momentum Signal'!D2,'Momentum Signal'!$B2:$Q2)</f>
        <v>10</v>
      </c>
      <c r="E2">
        <f>RANK('Momentum Signal'!E2,'Momentum Signal'!$B2:$Q2)</f>
        <v>9</v>
      </c>
      <c r="F2">
        <f>RANK('Momentum Signal'!F2,'Momentum Signal'!$B2:$Q2)</f>
        <v>16</v>
      </c>
      <c r="G2">
        <f>RANK('Momentum Signal'!G2,'Momentum Signal'!$B2:$Q2)</f>
        <v>3</v>
      </c>
      <c r="H2">
        <f>RANK('Momentum Signal'!H2,'Momentum Signal'!$B2:$Q2)</f>
        <v>4</v>
      </c>
      <c r="I2">
        <f>RANK('Momentum Signal'!I2,'Momentum Signal'!$B2:$Q2)</f>
        <v>7</v>
      </c>
      <c r="J2">
        <f>RANK('Momentum Signal'!J2,'Momentum Signal'!$B2:$Q2)</f>
        <v>1</v>
      </c>
      <c r="K2">
        <f>RANK('Momentum Signal'!K2,'Momentum Signal'!$B2:$Q2)</f>
        <v>13</v>
      </c>
      <c r="L2">
        <f>RANK('Momentum Signal'!L2,'Momentum Signal'!$B2:$Q2)</f>
        <v>12</v>
      </c>
      <c r="M2">
        <f>RANK('Momentum Signal'!M2,'Momentum Signal'!$B2:$Q2)</f>
        <v>8</v>
      </c>
      <c r="N2">
        <f>RANK('Momentum Signal'!N2,'Momentum Signal'!$B2:$Q2)</f>
        <v>6</v>
      </c>
      <c r="O2">
        <f>RANK('Momentum Signal'!O2,'Momentum Signal'!$B2:$Q2)</f>
        <v>5</v>
      </c>
      <c r="P2">
        <f>RANK('Momentum Signal'!P2,'Momentum Signal'!$B2:$Q2)</f>
        <v>15</v>
      </c>
      <c r="Q2">
        <f>RANK('Momentum Signal'!Q2,'Momentum Signal'!$B2:$Q2)</f>
        <v>14</v>
      </c>
    </row>
    <row r="3" spans="1:17" x14ac:dyDescent="0.25">
      <c r="A3" s="6">
        <f>'Momentum Signal'!A3</f>
        <v>197502</v>
      </c>
    </row>
    <row r="4" spans="1:17" x14ac:dyDescent="0.25">
      <c r="A4" s="6">
        <f>'Momentum Signal'!A4</f>
        <v>197503</v>
      </c>
    </row>
    <row r="5" spans="1:17" x14ac:dyDescent="0.25">
      <c r="A5" s="6">
        <f>'Momentum Signal'!A5</f>
        <v>197504</v>
      </c>
    </row>
    <row r="6" spans="1:17" x14ac:dyDescent="0.25">
      <c r="A6" s="6">
        <f>'Momentum Signal'!A6</f>
        <v>197505</v>
      </c>
    </row>
    <row r="7" spans="1:17" x14ac:dyDescent="0.25">
      <c r="A7" s="6">
        <f>'Momentum Signal'!A7</f>
        <v>197506</v>
      </c>
    </row>
    <row r="8" spans="1:17" x14ac:dyDescent="0.25">
      <c r="A8" s="6">
        <f>'Momentum Signal'!A8</f>
        <v>197507</v>
      </c>
    </row>
    <row r="9" spans="1:17" x14ac:dyDescent="0.25">
      <c r="A9" s="6">
        <f>'Momentum Signal'!A9</f>
        <v>197508</v>
      </c>
    </row>
    <row r="10" spans="1:17" x14ac:dyDescent="0.25">
      <c r="A10" s="6">
        <f>'Momentum Signal'!A10</f>
        <v>197509</v>
      </c>
    </row>
    <row r="11" spans="1:17" x14ac:dyDescent="0.25">
      <c r="A11" s="6">
        <f>'Momentum Signal'!A11</f>
        <v>197510</v>
      </c>
    </row>
    <row r="12" spans="1:17" x14ac:dyDescent="0.25">
      <c r="A12" s="6">
        <f>'Momentum Signal'!A12</f>
        <v>197511</v>
      </c>
    </row>
    <row r="13" spans="1:17" x14ac:dyDescent="0.25">
      <c r="A13" s="6">
        <f>'Momentum Signal'!A13</f>
        <v>197512</v>
      </c>
    </row>
    <row r="14" spans="1:17" x14ac:dyDescent="0.25">
      <c r="A14" s="6">
        <f>'Momentum Signal'!A14</f>
        <v>197601</v>
      </c>
    </row>
    <row r="15" spans="1:17" x14ac:dyDescent="0.25">
      <c r="A15" s="6">
        <f>'Momentum Signal'!A15</f>
        <v>197602</v>
      </c>
    </row>
    <row r="16" spans="1:17" x14ac:dyDescent="0.25">
      <c r="A16" s="6">
        <f>'Momentum Signal'!A16</f>
        <v>197603</v>
      </c>
    </row>
    <row r="17" spans="1:1" x14ac:dyDescent="0.25">
      <c r="A17" s="6">
        <f>'Momentum Signal'!A17</f>
        <v>197604</v>
      </c>
    </row>
    <row r="18" spans="1:1" x14ac:dyDescent="0.25">
      <c r="A18" s="6">
        <f>'Momentum Signal'!A18</f>
        <v>197605</v>
      </c>
    </row>
    <row r="19" spans="1:1" x14ac:dyDescent="0.25">
      <c r="A19" s="6">
        <f>'Momentum Signal'!A19</f>
        <v>197606</v>
      </c>
    </row>
    <row r="20" spans="1:1" x14ac:dyDescent="0.25">
      <c r="A20" s="6">
        <f>'Momentum Signal'!A20</f>
        <v>197607</v>
      </c>
    </row>
    <row r="21" spans="1:1" x14ac:dyDescent="0.25">
      <c r="A21" s="6">
        <f>'Momentum Signal'!A21</f>
        <v>197608</v>
      </c>
    </row>
    <row r="22" spans="1:1" x14ac:dyDescent="0.25">
      <c r="A22" s="6">
        <f>'Momentum Signal'!A22</f>
        <v>197609</v>
      </c>
    </row>
    <row r="23" spans="1:1" x14ac:dyDescent="0.25">
      <c r="A23" s="6">
        <f>'Momentum Signal'!A23</f>
        <v>197610</v>
      </c>
    </row>
    <row r="24" spans="1:1" x14ac:dyDescent="0.25">
      <c r="A24" s="6">
        <f>'Momentum Signal'!A24</f>
        <v>197611</v>
      </c>
    </row>
    <row r="25" spans="1:1" x14ac:dyDescent="0.25">
      <c r="A25" s="6">
        <f>'Momentum Signal'!A25</f>
        <v>197612</v>
      </c>
    </row>
    <row r="26" spans="1:1" x14ac:dyDescent="0.25">
      <c r="A26" s="6">
        <f>'Momentum Signal'!A26</f>
        <v>197701</v>
      </c>
    </row>
    <row r="27" spans="1:1" x14ac:dyDescent="0.25">
      <c r="A27" s="6">
        <f>'Momentum Signal'!A27</f>
        <v>197702</v>
      </c>
    </row>
    <row r="28" spans="1:1" x14ac:dyDescent="0.25">
      <c r="A28" s="6">
        <f>'Momentum Signal'!A28</f>
        <v>197703</v>
      </c>
    </row>
    <row r="29" spans="1:1" x14ac:dyDescent="0.25">
      <c r="A29" s="6">
        <f>'Momentum Signal'!A29</f>
        <v>197704</v>
      </c>
    </row>
    <row r="30" spans="1:1" x14ac:dyDescent="0.25">
      <c r="A30" s="6">
        <f>'Momentum Signal'!A30</f>
        <v>197705</v>
      </c>
    </row>
    <row r="31" spans="1:1" x14ac:dyDescent="0.25">
      <c r="A31" s="6">
        <f>'Momentum Signal'!A31</f>
        <v>197706</v>
      </c>
    </row>
    <row r="32" spans="1:1" x14ac:dyDescent="0.25">
      <c r="A32" s="6">
        <f>'Momentum Signal'!A32</f>
        <v>197707</v>
      </c>
    </row>
    <row r="33" spans="1:1" x14ac:dyDescent="0.25">
      <c r="A33" s="6">
        <f>'Momentum Signal'!A33</f>
        <v>197708</v>
      </c>
    </row>
    <row r="34" spans="1:1" x14ac:dyDescent="0.25">
      <c r="A34" s="6">
        <f>'Momentum Signal'!A34</f>
        <v>197709</v>
      </c>
    </row>
    <row r="35" spans="1:1" x14ac:dyDescent="0.25">
      <c r="A35" s="6">
        <f>'Momentum Signal'!A35</f>
        <v>197710</v>
      </c>
    </row>
    <row r="36" spans="1:1" x14ac:dyDescent="0.25">
      <c r="A36" s="6">
        <f>'Momentum Signal'!A36</f>
        <v>197711</v>
      </c>
    </row>
    <row r="37" spans="1:1" x14ac:dyDescent="0.25">
      <c r="A37" s="6">
        <f>'Momentum Signal'!A37</f>
        <v>197712</v>
      </c>
    </row>
    <row r="38" spans="1:1" x14ac:dyDescent="0.25">
      <c r="A38" s="6">
        <f>'Momentum Signal'!A38</f>
        <v>197801</v>
      </c>
    </row>
    <row r="39" spans="1:1" x14ac:dyDescent="0.25">
      <c r="A39" s="6">
        <f>'Momentum Signal'!A39</f>
        <v>197802</v>
      </c>
    </row>
    <row r="40" spans="1:1" x14ac:dyDescent="0.25">
      <c r="A40" s="6">
        <f>'Momentum Signal'!A40</f>
        <v>197803</v>
      </c>
    </row>
    <row r="41" spans="1:1" x14ac:dyDescent="0.25">
      <c r="A41" s="6">
        <f>'Momentum Signal'!A41</f>
        <v>197804</v>
      </c>
    </row>
    <row r="42" spans="1:1" x14ac:dyDescent="0.25">
      <c r="A42" s="6">
        <f>'Momentum Signal'!A42</f>
        <v>197805</v>
      </c>
    </row>
    <row r="43" spans="1:1" x14ac:dyDescent="0.25">
      <c r="A43" s="6">
        <f>'Momentum Signal'!A43</f>
        <v>197806</v>
      </c>
    </row>
    <row r="44" spans="1:1" x14ac:dyDescent="0.25">
      <c r="A44" s="6">
        <f>'Momentum Signal'!A44</f>
        <v>197807</v>
      </c>
    </row>
    <row r="45" spans="1:1" x14ac:dyDescent="0.25">
      <c r="A45" s="6">
        <f>'Momentum Signal'!A45</f>
        <v>197808</v>
      </c>
    </row>
    <row r="46" spans="1:1" x14ac:dyDescent="0.25">
      <c r="A46" s="6">
        <f>'Momentum Signal'!A46</f>
        <v>197809</v>
      </c>
    </row>
    <row r="47" spans="1:1" x14ac:dyDescent="0.25">
      <c r="A47" s="6">
        <f>'Momentum Signal'!A47</f>
        <v>197810</v>
      </c>
    </row>
    <row r="48" spans="1:1" x14ac:dyDescent="0.25">
      <c r="A48" s="6">
        <f>'Momentum Signal'!A48</f>
        <v>197811</v>
      </c>
    </row>
    <row r="49" spans="1:1" x14ac:dyDescent="0.25">
      <c r="A49" s="6">
        <f>'Momentum Signal'!A49</f>
        <v>197812</v>
      </c>
    </row>
    <row r="50" spans="1:1" x14ac:dyDescent="0.25">
      <c r="A50" s="6">
        <f>'Momentum Signal'!A50</f>
        <v>197901</v>
      </c>
    </row>
    <row r="51" spans="1:1" x14ac:dyDescent="0.25">
      <c r="A51" s="6">
        <f>'Momentum Signal'!A51</f>
        <v>197902</v>
      </c>
    </row>
    <row r="52" spans="1:1" x14ac:dyDescent="0.25">
      <c r="A52" s="6">
        <f>'Momentum Signal'!A52</f>
        <v>197903</v>
      </c>
    </row>
    <row r="53" spans="1:1" x14ac:dyDescent="0.25">
      <c r="A53" s="6">
        <f>'Momentum Signal'!A53</f>
        <v>197904</v>
      </c>
    </row>
    <row r="54" spans="1:1" x14ac:dyDescent="0.25">
      <c r="A54" s="6">
        <f>'Momentum Signal'!A54</f>
        <v>197905</v>
      </c>
    </row>
    <row r="55" spans="1:1" x14ac:dyDescent="0.25">
      <c r="A55" s="6">
        <f>'Momentum Signal'!A55</f>
        <v>197906</v>
      </c>
    </row>
    <row r="56" spans="1:1" x14ac:dyDescent="0.25">
      <c r="A56" s="6">
        <f>'Momentum Signal'!A56</f>
        <v>197907</v>
      </c>
    </row>
    <row r="57" spans="1:1" x14ac:dyDescent="0.25">
      <c r="A57" s="6">
        <f>'Momentum Signal'!A57</f>
        <v>197908</v>
      </c>
    </row>
    <row r="58" spans="1:1" x14ac:dyDescent="0.25">
      <c r="A58" s="6">
        <f>'Momentum Signal'!A58</f>
        <v>197909</v>
      </c>
    </row>
    <row r="59" spans="1:1" x14ac:dyDescent="0.25">
      <c r="A59" s="6">
        <f>'Momentum Signal'!A59</f>
        <v>197910</v>
      </c>
    </row>
    <row r="60" spans="1:1" x14ac:dyDescent="0.25">
      <c r="A60" s="6">
        <f>'Momentum Signal'!A60</f>
        <v>197911</v>
      </c>
    </row>
    <row r="61" spans="1:1" x14ac:dyDescent="0.25">
      <c r="A61" s="6">
        <f>'Momentum Signal'!A61</f>
        <v>197912</v>
      </c>
    </row>
    <row r="62" spans="1:1" x14ac:dyDescent="0.25">
      <c r="A62" s="6">
        <f>'Momentum Signal'!A62</f>
        <v>198001</v>
      </c>
    </row>
    <row r="63" spans="1:1" x14ac:dyDescent="0.25">
      <c r="A63" s="6">
        <f>'Momentum Signal'!A63</f>
        <v>198002</v>
      </c>
    </row>
    <row r="64" spans="1:1" x14ac:dyDescent="0.25">
      <c r="A64" s="6">
        <f>'Momentum Signal'!A64</f>
        <v>198003</v>
      </c>
    </row>
    <row r="65" spans="1:1" x14ac:dyDescent="0.25">
      <c r="A65" s="6">
        <f>'Momentum Signal'!A65</f>
        <v>198004</v>
      </c>
    </row>
    <row r="66" spans="1:1" x14ac:dyDescent="0.25">
      <c r="A66" s="6">
        <f>'Momentum Signal'!A66</f>
        <v>198005</v>
      </c>
    </row>
    <row r="67" spans="1:1" x14ac:dyDescent="0.25">
      <c r="A67" s="6">
        <f>'Momentum Signal'!A67</f>
        <v>198006</v>
      </c>
    </row>
    <row r="68" spans="1:1" x14ac:dyDescent="0.25">
      <c r="A68" s="6">
        <f>'Momentum Signal'!A68</f>
        <v>198007</v>
      </c>
    </row>
    <row r="69" spans="1:1" x14ac:dyDescent="0.25">
      <c r="A69" s="6">
        <f>'Momentum Signal'!A69</f>
        <v>198008</v>
      </c>
    </row>
    <row r="70" spans="1:1" x14ac:dyDescent="0.25">
      <c r="A70" s="6">
        <f>'Momentum Signal'!A70</f>
        <v>198009</v>
      </c>
    </row>
    <row r="71" spans="1:1" x14ac:dyDescent="0.25">
      <c r="A71" s="6">
        <f>'Momentum Signal'!A71</f>
        <v>198010</v>
      </c>
    </row>
    <row r="72" spans="1:1" x14ac:dyDescent="0.25">
      <c r="A72" s="6">
        <f>'Momentum Signal'!A72</f>
        <v>198011</v>
      </c>
    </row>
    <row r="73" spans="1:1" x14ac:dyDescent="0.25">
      <c r="A73" s="6">
        <f>'Momentum Signal'!A73</f>
        <v>198012</v>
      </c>
    </row>
    <row r="74" spans="1:1" x14ac:dyDescent="0.25">
      <c r="A74" s="6">
        <f>'Momentum Signal'!A74</f>
        <v>198101</v>
      </c>
    </row>
    <row r="75" spans="1:1" x14ac:dyDescent="0.25">
      <c r="A75" s="6">
        <f>'Momentum Signal'!A75</f>
        <v>198102</v>
      </c>
    </row>
    <row r="76" spans="1:1" x14ac:dyDescent="0.25">
      <c r="A76" s="6">
        <f>'Momentum Signal'!A76</f>
        <v>198103</v>
      </c>
    </row>
    <row r="77" spans="1:1" x14ac:dyDescent="0.25">
      <c r="A77" s="6">
        <f>'Momentum Signal'!A77</f>
        <v>198104</v>
      </c>
    </row>
    <row r="78" spans="1:1" x14ac:dyDescent="0.25">
      <c r="A78" s="6">
        <f>'Momentum Signal'!A78</f>
        <v>198105</v>
      </c>
    </row>
    <row r="79" spans="1:1" x14ac:dyDescent="0.25">
      <c r="A79" s="6">
        <f>'Momentum Signal'!A79</f>
        <v>198106</v>
      </c>
    </row>
    <row r="80" spans="1:1" x14ac:dyDescent="0.25">
      <c r="A80" s="6">
        <f>'Momentum Signal'!A80</f>
        <v>198107</v>
      </c>
    </row>
    <row r="81" spans="1:1" x14ac:dyDescent="0.25">
      <c r="A81" s="6">
        <f>'Momentum Signal'!A81</f>
        <v>198108</v>
      </c>
    </row>
    <row r="82" spans="1:1" x14ac:dyDescent="0.25">
      <c r="A82" s="6">
        <f>'Momentum Signal'!A82</f>
        <v>198109</v>
      </c>
    </row>
    <row r="83" spans="1:1" x14ac:dyDescent="0.25">
      <c r="A83" s="6">
        <f>'Momentum Signal'!A83</f>
        <v>198110</v>
      </c>
    </row>
    <row r="84" spans="1:1" x14ac:dyDescent="0.25">
      <c r="A84" s="6">
        <f>'Momentum Signal'!A84</f>
        <v>198111</v>
      </c>
    </row>
    <row r="85" spans="1:1" x14ac:dyDescent="0.25">
      <c r="A85" s="6">
        <f>'Momentum Signal'!A85</f>
        <v>198112</v>
      </c>
    </row>
    <row r="86" spans="1:1" x14ac:dyDescent="0.25">
      <c r="A86" s="6">
        <f>'Momentum Signal'!A86</f>
        <v>198201</v>
      </c>
    </row>
    <row r="87" spans="1:1" x14ac:dyDescent="0.25">
      <c r="A87" s="6">
        <f>'Momentum Signal'!A87</f>
        <v>198202</v>
      </c>
    </row>
    <row r="88" spans="1:1" x14ac:dyDescent="0.25">
      <c r="A88" s="6">
        <f>'Momentum Signal'!A88</f>
        <v>198203</v>
      </c>
    </row>
    <row r="89" spans="1:1" x14ac:dyDescent="0.25">
      <c r="A89" s="6">
        <f>'Momentum Signal'!A89</f>
        <v>198204</v>
      </c>
    </row>
    <row r="90" spans="1:1" x14ac:dyDescent="0.25">
      <c r="A90" s="6">
        <f>'Momentum Signal'!A90</f>
        <v>198205</v>
      </c>
    </row>
    <row r="91" spans="1:1" x14ac:dyDescent="0.25">
      <c r="A91" s="6">
        <f>'Momentum Signal'!A91</f>
        <v>198206</v>
      </c>
    </row>
    <row r="92" spans="1:1" x14ac:dyDescent="0.25">
      <c r="A92" s="6">
        <f>'Momentum Signal'!A92</f>
        <v>198207</v>
      </c>
    </row>
    <row r="93" spans="1:1" x14ac:dyDescent="0.25">
      <c r="A93" s="6">
        <f>'Momentum Signal'!A93</f>
        <v>198208</v>
      </c>
    </row>
    <row r="94" spans="1:1" x14ac:dyDescent="0.25">
      <c r="A94" s="6">
        <f>'Momentum Signal'!A94</f>
        <v>198209</v>
      </c>
    </row>
    <row r="95" spans="1:1" x14ac:dyDescent="0.25">
      <c r="A95" s="6">
        <f>'Momentum Signal'!A95</f>
        <v>198210</v>
      </c>
    </row>
    <row r="96" spans="1:1" x14ac:dyDescent="0.25">
      <c r="A96" s="6">
        <f>'Momentum Signal'!A96</f>
        <v>198211</v>
      </c>
    </row>
    <row r="97" spans="1:1" x14ac:dyDescent="0.25">
      <c r="A97" s="6">
        <f>'Momentum Signal'!A97</f>
        <v>198212</v>
      </c>
    </row>
    <row r="98" spans="1:1" x14ac:dyDescent="0.25">
      <c r="A98" s="6">
        <f>'Momentum Signal'!A98</f>
        <v>198301</v>
      </c>
    </row>
    <row r="99" spans="1:1" x14ac:dyDescent="0.25">
      <c r="A99" s="6">
        <f>'Momentum Signal'!A99</f>
        <v>198302</v>
      </c>
    </row>
    <row r="100" spans="1:1" x14ac:dyDescent="0.25">
      <c r="A100" s="6">
        <f>'Momentum Signal'!A100</f>
        <v>198303</v>
      </c>
    </row>
    <row r="101" spans="1:1" x14ac:dyDescent="0.25">
      <c r="A101" s="6">
        <f>'Momentum Signal'!A101</f>
        <v>198304</v>
      </c>
    </row>
    <row r="102" spans="1:1" x14ac:dyDescent="0.25">
      <c r="A102" s="6">
        <f>'Momentum Signal'!A102</f>
        <v>198305</v>
      </c>
    </row>
    <row r="103" spans="1:1" x14ac:dyDescent="0.25">
      <c r="A103" s="6">
        <f>'Momentum Signal'!A103</f>
        <v>198306</v>
      </c>
    </row>
    <row r="104" spans="1:1" x14ac:dyDescent="0.25">
      <c r="A104" s="6">
        <f>'Momentum Signal'!A104</f>
        <v>198307</v>
      </c>
    </row>
    <row r="105" spans="1:1" x14ac:dyDescent="0.25">
      <c r="A105" s="6">
        <f>'Momentum Signal'!A105</f>
        <v>198308</v>
      </c>
    </row>
    <row r="106" spans="1:1" x14ac:dyDescent="0.25">
      <c r="A106" s="6">
        <f>'Momentum Signal'!A106</f>
        <v>198309</v>
      </c>
    </row>
    <row r="107" spans="1:1" x14ac:dyDescent="0.25">
      <c r="A107" s="6">
        <f>'Momentum Signal'!A107</f>
        <v>198310</v>
      </c>
    </row>
    <row r="108" spans="1:1" x14ac:dyDescent="0.25">
      <c r="A108" s="6">
        <f>'Momentum Signal'!A108</f>
        <v>198311</v>
      </c>
    </row>
    <row r="109" spans="1:1" x14ac:dyDescent="0.25">
      <c r="A109" s="6">
        <f>'Momentum Signal'!A109</f>
        <v>198312</v>
      </c>
    </row>
    <row r="110" spans="1:1" x14ac:dyDescent="0.25">
      <c r="A110" s="6">
        <f>'Momentum Signal'!A110</f>
        <v>198401</v>
      </c>
    </row>
    <row r="111" spans="1:1" x14ac:dyDescent="0.25">
      <c r="A111" s="6">
        <f>'Momentum Signal'!A111</f>
        <v>198402</v>
      </c>
    </row>
    <row r="112" spans="1:1" x14ac:dyDescent="0.25">
      <c r="A112" s="6">
        <f>'Momentum Signal'!A112</f>
        <v>198403</v>
      </c>
    </row>
    <row r="113" spans="1:1" x14ac:dyDescent="0.25">
      <c r="A113" s="6">
        <f>'Momentum Signal'!A113</f>
        <v>198404</v>
      </c>
    </row>
    <row r="114" spans="1:1" x14ac:dyDescent="0.25">
      <c r="A114" s="6">
        <f>'Momentum Signal'!A114</f>
        <v>198405</v>
      </c>
    </row>
    <row r="115" spans="1:1" x14ac:dyDescent="0.25">
      <c r="A115" s="6">
        <f>'Momentum Signal'!A115</f>
        <v>198406</v>
      </c>
    </row>
    <row r="116" spans="1:1" x14ac:dyDescent="0.25">
      <c r="A116" s="6">
        <f>'Momentum Signal'!A116</f>
        <v>198407</v>
      </c>
    </row>
    <row r="117" spans="1:1" x14ac:dyDescent="0.25">
      <c r="A117" s="6">
        <f>'Momentum Signal'!A117</f>
        <v>198408</v>
      </c>
    </row>
    <row r="118" spans="1:1" x14ac:dyDescent="0.25">
      <c r="A118" s="6">
        <f>'Momentum Signal'!A118</f>
        <v>198409</v>
      </c>
    </row>
    <row r="119" spans="1:1" x14ac:dyDescent="0.25">
      <c r="A119" s="6">
        <f>'Momentum Signal'!A119</f>
        <v>198410</v>
      </c>
    </row>
    <row r="120" spans="1:1" x14ac:dyDescent="0.25">
      <c r="A120" s="6">
        <f>'Momentum Signal'!A120</f>
        <v>198411</v>
      </c>
    </row>
    <row r="121" spans="1:1" x14ac:dyDescent="0.25">
      <c r="A121" s="6">
        <f>'Momentum Signal'!A121</f>
        <v>198412</v>
      </c>
    </row>
    <row r="122" spans="1:1" x14ac:dyDescent="0.25">
      <c r="A122" s="6">
        <f>'Momentum Signal'!A122</f>
        <v>198501</v>
      </c>
    </row>
    <row r="123" spans="1:1" x14ac:dyDescent="0.25">
      <c r="A123" s="6">
        <f>'Momentum Signal'!A123</f>
        <v>198502</v>
      </c>
    </row>
    <row r="124" spans="1:1" x14ac:dyDescent="0.25">
      <c r="A124" s="6">
        <f>'Momentum Signal'!A124</f>
        <v>198503</v>
      </c>
    </row>
    <row r="125" spans="1:1" x14ac:dyDescent="0.25">
      <c r="A125" s="6">
        <f>'Momentum Signal'!A125</f>
        <v>198504</v>
      </c>
    </row>
    <row r="126" spans="1:1" x14ac:dyDescent="0.25">
      <c r="A126" s="6">
        <f>'Momentum Signal'!A126</f>
        <v>198505</v>
      </c>
    </row>
    <row r="127" spans="1:1" x14ac:dyDescent="0.25">
      <c r="A127" s="6">
        <f>'Momentum Signal'!A127</f>
        <v>198506</v>
      </c>
    </row>
    <row r="128" spans="1:1" x14ac:dyDescent="0.25">
      <c r="A128" s="6">
        <f>'Momentum Signal'!A128</f>
        <v>198507</v>
      </c>
    </row>
    <row r="129" spans="1:1" x14ac:dyDescent="0.25">
      <c r="A129" s="6">
        <f>'Momentum Signal'!A129</f>
        <v>198508</v>
      </c>
    </row>
    <row r="130" spans="1:1" x14ac:dyDescent="0.25">
      <c r="A130" s="6">
        <f>'Momentum Signal'!A130</f>
        <v>198509</v>
      </c>
    </row>
    <row r="131" spans="1:1" x14ac:dyDescent="0.25">
      <c r="A131" s="6">
        <f>'Momentum Signal'!A131</f>
        <v>198510</v>
      </c>
    </row>
    <row r="132" spans="1:1" x14ac:dyDescent="0.25">
      <c r="A132" s="6">
        <f>'Momentum Signal'!A132</f>
        <v>198511</v>
      </c>
    </row>
    <row r="133" spans="1:1" x14ac:dyDescent="0.25">
      <c r="A133" s="6">
        <f>'Momentum Signal'!A133</f>
        <v>198512</v>
      </c>
    </row>
    <row r="134" spans="1:1" x14ac:dyDescent="0.25">
      <c r="A134" s="6">
        <f>'Momentum Signal'!A134</f>
        <v>198601</v>
      </c>
    </row>
    <row r="135" spans="1:1" x14ac:dyDescent="0.25">
      <c r="A135" s="6">
        <f>'Momentum Signal'!A135</f>
        <v>198602</v>
      </c>
    </row>
    <row r="136" spans="1:1" x14ac:dyDescent="0.25">
      <c r="A136" s="6">
        <f>'Momentum Signal'!A136</f>
        <v>198603</v>
      </c>
    </row>
    <row r="137" spans="1:1" x14ac:dyDescent="0.25">
      <c r="A137" s="6">
        <f>'Momentum Signal'!A137</f>
        <v>198604</v>
      </c>
    </row>
    <row r="138" spans="1:1" x14ac:dyDescent="0.25">
      <c r="A138" s="6">
        <f>'Momentum Signal'!A138</f>
        <v>198605</v>
      </c>
    </row>
    <row r="139" spans="1:1" x14ac:dyDescent="0.25">
      <c r="A139" s="6">
        <f>'Momentum Signal'!A139</f>
        <v>198606</v>
      </c>
    </row>
    <row r="140" spans="1:1" x14ac:dyDescent="0.25">
      <c r="A140" s="6">
        <f>'Momentum Signal'!A140</f>
        <v>198607</v>
      </c>
    </row>
    <row r="141" spans="1:1" x14ac:dyDescent="0.25">
      <c r="A141" s="6">
        <f>'Momentum Signal'!A141</f>
        <v>198608</v>
      </c>
    </row>
    <row r="142" spans="1:1" x14ac:dyDescent="0.25">
      <c r="A142" s="6">
        <f>'Momentum Signal'!A142</f>
        <v>198609</v>
      </c>
    </row>
    <row r="143" spans="1:1" x14ac:dyDescent="0.25">
      <c r="A143" s="6">
        <f>'Momentum Signal'!A143</f>
        <v>198610</v>
      </c>
    </row>
    <row r="144" spans="1:1" x14ac:dyDescent="0.25">
      <c r="A144" s="6">
        <f>'Momentum Signal'!A144</f>
        <v>198611</v>
      </c>
    </row>
    <row r="145" spans="1:1" x14ac:dyDescent="0.25">
      <c r="A145" s="6">
        <f>'Momentum Signal'!A145</f>
        <v>198612</v>
      </c>
    </row>
    <row r="146" spans="1:1" x14ac:dyDescent="0.25">
      <c r="A146" s="6">
        <f>'Momentum Signal'!A146</f>
        <v>198701</v>
      </c>
    </row>
    <row r="147" spans="1:1" x14ac:dyDescent="0.25">
      <c r="A147" s="6">
        <f>'Momentum Signal'!A147</f>
        <v>198702</v>
      </c>
    </row>
    <row r="148" spans="1:1" x14ac:dyDescent="0.25">
      <c r="A148" s="6">
        <f>'Momentum Signal'!A148</f>
        <v>198703</v>
      </c>
    </row>
    <row r="149" spans="1:1" x14ac:dyDescent="0.25">
      <c r="A149" s="6">
        <f>'Momentum Signal'!A149</f>
        <v>198704</v>
      </c>
    </row>
    <row r="150" spans="1:1" x14ac:dyDescent="0.25">
      <c r="A150" s="6">
        <f>'Momentum Signal'!A150</f>
        <v>198705</v>
      </c>
    </row>
    <row r="151" spans="1:1" x14ac:dyDescent="0.25">
      <c r="A151" s="6">
        <f>'Momentum Signal'!A151</f>
        <v>198706</v>
      </c>
    </row>
    <row r="152" spans="1:1" x14ac:dyDescent="0.25">
      <c r="A152" s="6">
        <f>'Momentum Signal'!A152</f>
        <v>198707</v>
      </c>
    </row>
    <row r="153" spans="1:1" x14ac:dyDescent="0.25">
      <c r="A153" s="6">
        <f>'Momentum Signal'!A153</f>
        <v>198708</v>
      </c>
    </row>
    <row r="154" spans="1:1" x14ac:dyDescent="0.25">
      <c r="A154" s="6">
        <f>'Momentum Signal'!A154</f>
        <v>198709</v>
      </c>
    </row>
    <row r="155" spans="1:1" x14ac:dyDescent="0.25">
      <c r="A155" s="6">
        <f>'Momentum Signal'!A155</f>
        <v>198710</v>
      </c>
    </row>
    <row r="156" spans="1:1" x14ac:dyDescent="0.25">
      <c r="A156" s="6">
        <f>'Momentum Signal'!A156</f>
        <v>198711</v>
      </c>
    </row>
    <row r="157" spans="1:1" x14ac:dyDescent="0.25">
      <c r="A157" s="6">
        <f>'Momentum Signal'!A157</f>
        <v>198712</v>
      </c>
    </row>
    <row r="158" spans="1:1" x14ac:dyDescent="0.25">
      <c r="A158" s="6">
        <f>'Momentum Signal'!A158</f>
        <v>198801</v>
      </c>
    </row>
    <row r="159" spans="1:1" x14ac:dyDescent="0.25">
      <c r="A159" s="6">
        <f>'Momentum Signal'!A159</f>
        <v>198802</v>
      </c>
    </row>
    <row r="160" spans="1:1" x14ac:dyDescent="0.25">
      <c r="A160" s="6">
        <f>'Momentum Signal'!A160</f>
        <v>198803</v>
      </c>
    </row>
    <row r="161" spans="1:1" x14ac:dyDescent="0.25">
      <c r="A161" s="6">
        <f>'Momentum Signal'!A161</f>
        <v>198804</v>
      </c>
    </row>
    <row r="162" spans="1:1" x14ac:dyDescent="0.25">
      <c r="A162" s="6">
        <f>'Momentum Signal'!A162</f>
        <v>198805</v>
      </c>
    </row>
    <row r="163" spans="1:1" x14ac:dyDescent="0.25">
      <c r="A163" s="6">
        <f>'Momentum Signal'!A163</f>
        <v>198806</v>
      </c>
    </row>
    <row r="164" spans="1:1" x14ac:dyDescent="0.25">
      <c r="A164" s="6">
        <f>'Momentum Signal'!A164</f>
        <v>198807</v>
      </c>
    </row>
    <row r="165" spans="1:1" x14ac:dyDescent="0.25">
      <c r="A165" s="6">
        <f>'Momentum Signal'!A165</f>
        <v>198808</v>
      </c>
    </row>
    <row r="166" spans="1:1" x14ac:dyDescent="0.25">
      <c r="A166" s="6">
        <f>'Momentum Signal'!A166</f>
        <v>198809</v>
      </c>
    </row>
    <row r="167" spans="1:1" x14ac:dyDescent="0.25">
      <c r="A167" s="6">
        <f>'Momentum Signal'!A167</f>
        <v>198810</v>
      </c>
    </row>
    <row r="168" spans="1:1" x14ac:dyDescent="0.25">
      <c r="A168" s="6">
        <f>'Momentum Signal'!A168</f>
        <v>198811</v>
      </c>
    </row>
    <row r="169" spans="1:1" x14ac:dyDescent="0.25">
      <c r="A169" s="6">
        <f>'Momentum Signal'!A169</f>
        <v>198812</v>
      </c>
    </row>
    <row r="170" spans="1:1" x14ac:dyDescent="0.25">
      <c r="A170" s="6">
        <f>'Momentum Signal'!A170</f>
        <v>198901</v>
      </c>
    </row>
    <row r="171" spans="1:1" x14ac:dyDescent="0.25">
      <c r="A171" s="6">
        <f>'Momentum Signal'!A171</f>
        <v>198902</v>
      </c>
    </row>
    <row r="172" spans="1:1" x14ac:dyDescent="0.25">
      <c r="A172" s="6">
        <f>'Momentum Signal'!A172</f>
        <v>198903</v>
      </c>
    </row>
    <row r="173" spans="1:1" x14ac:dyDescent="0.25">
      <c r="A173" s="6">
        <f>'Momentum Signal'!A173</f>
        <v>198904</v>
      </c>
    </row>
    <row r="174" spans="1:1" x14ac:dyDescent="0.25">
      <c r="A174" s="6">
        <f>'Momentum Signal'!A174</f>
        <v>198905</v>
      </c>
    </row>
    <row r="175" spans="1:1" x14ac:dyDescent="0.25">
      <c r="A175" s="6">
        <f>'Momentum Signal'!A175</f>
        <v>198906</v>
      </c>
    </row>
    <row r="176" spans="1:1" x14ac:dyDescent="0.25">
      <c r="A176" s="6">
        <f>'Momentum Signal'!A176</f>
        <v>198907</v>
      </c>
    </row>
    <row r="177" spans="1:1" x14ac:dyDescent="0.25">
      <c r="A177" s="6">
        <f>'Momentum Signal'!A177</f>
        <v>198908</v>
      </c>
    </row>
    <row r="178" spans="1:1" x14ac:dyDescent="0.25">
      <c r="A178" s="6">
        <f>'Momentum Signal'!A178</f>
        <v>198909</v>
      </c>
    </row>
    <row r="179" spans="1:1" x14ac:dyDescent="0.25">
      <c r="A179" s="6">
        <f>'Momentum Signal'!A179</f>
        <v>198910</v>
      </c>
    </row>
    <row r="180" spans="1:1" x14ac:dyDescent="0.25">
      <c r="A180" s="6">
        <f>'Momentum Signal'!A180</f>
        <v>198911</v>
      </c>
    </row>
    <row r="181" spans="1:1" x14ac:dyDescent="0.25">
      <c r="A181" s="6">
        <f>'Momentum Signal'!A181</f>
        <v>198912</v>
      </c>
    </row>
    <row r="182" spans="1:1" x14ac:dyDescent="0.25">
      <c r="A182" s="6">
        <f>'Momentum Signal'!A182</f>
        <v>199001</v>
      </c>
    </row>
    <row r="183" spans="1:1" x14ac:dyDescent="0.25">
      <c r="A183" s="6">
        <f>'Momentum Signal'!A183</f>
        <v>199002</v>
      </c>
    </row>
    <row r="184" spans="1:1" x14ac:dyDescent="0.25">
      <c r="A184" s="6">
        <f>'Momentum Signal'!A184</f>
        <v>199003</v>
      </c>
    </row>
    <row r="185" spans="1:1" x14ac:dyDescent="0.25">
      <c r="A185" s="6">
        <f>'Momentum Signal'!A185</f>
        <v>199004</v>
      </c>
    </row>
    <row r="186" spans="1:1" x14ac:dyDescent="0.25">
      <c r="A186" s="6">
        <f>'Momentum Signal'!A186</f>
        <v>199005</v>
      </c>
    </row>
    <row r="187" spans="1:1" x14ac:dyDescent="0.25">
      <c r="A187" s="6">
        <f>'Momentum Signal'!A187</f>
        <v>199006</v>
      </c>
    </row>
    <row r="188" spans="1:1" x14ac:dyDescent="0.25">
      <c r="A188" s="6">
        <f>'Momentum Signal'!A188</f>
        <v>199007</v>
      </c>
    </row>
    <row r="189" spans="1:1" x14ac:dyDescent="0.25">
      <c r="A189" s="6">
        <f>'Momentum Signal'!A189</f>
        <v>199008</v>
      </c>
    </row>
    <row r="190" spans="1:1" x14ac:dyDescent="0.25">
      <c r="A190" s="6">
        <f>'Momentum Signal'!A190</f>
        <v>199009</v>
      </c>
    </row>
    <row r="191" spans="1:1" x14ac:dyDescent="0.25">
      <c r="A191" s="6">
        <f>'Momentum Signal'!A191</f>
        <v>199010</v>
      </c>
    </row>
    <row r="192" spans="1:1" x14ac:dyDescent="0.25">
      <c r="A192" s="6">
        <f>'Momentum Signal'!A192</f>
        <v>199011</v>
      </c>
    </row>
    <row r="193" spans="1:1" x14ac:dyDescent="0.25">
      <c r="A193" s="6">
        <f>'Momentum Signal'!A193</f>
        <v>199012</v>
      </c>
    </row>
    <row r="194" spans="1:1" x14ac:dyDescent="0.25">
      <c r="A194" s="6">
        <f>'Momentum Signal'!A194</f>
        <v>199101</v>
      </c>
    </row>
    <row r="195" spans="1:1" x14ac:dyDescent="0.25">
      <c r="A195" s="6">
        <f>'Momentum Signal'!A195</f>
        <v>199102</v>
      </c>
    </row>
    <row r="196" spans="1:1" x14ac:dyDescent="0.25">
      <c r="A196" s="6">
        <f>'Momentum Signal'!A196</f>
        <v>199103</v>
      </c>
    </row>
    <row r="197" spans="1:1" x14ac:dyDescent="0.25">
      <c r="A197" s="6">
        <f>'Momentum Signal'!A197</f>
        <v>199104</v>
      </c>
    </row>
    <row r="198" spans="1:1" x14ac:dyDescent="0.25">
      <c r="A198" s="6">
        <f>'Momentum Signal'!A198</f>
        <v>199105</v>
      </c>
    </row>
    <row r="199" spans="1:1" x14ac:dyDescent="0.25">
      <c r="A199" s="6">
        <f>'Momentum Signal'!A199</f>
        <v>199106</v>
      </c>
    </row>
    <row r="200" spans="1:1" x14ac:dyDescent="0.25">
      <c r="A200" s="6">
        <f>'Momentum Signal'!A200</f>
        <v>199107</v>
      </c>
    </row>
    <row r="201" spans="1:1" x14ac:dyDescent="0.25">
      <c r="A201" s="6">
        <f>'Momentum Signal'!A201</f>
        <v>199108</v>
      </c>
    </row>
    <row r="202" spans="1:1" x14ac:dyDescent="0.25">
      <c r="A202" s="6">
        <f>'Momentum Signal'!A202</f>
        <v>199109</v>
      </c>
    </row>
    <row r="203" spans="1:1" x14ac:dyDescent="0.25">
      <c r="A203" s="6">
        <f>'Momentum Signal'!A203</f>
        <v>199110</v>
      </c>
    </row>
    <row r="204" spans="1:1" x14ac:dyDescent="0.25">
      <c r="A204" s="6">
        <f>'Momentum Signal'!A204</f>
        <v>199111</v>
      </c>
    </row>
    <row r="205" spans="1:1" x14ac:dyDescent="0.25">
      <c r="A205" s="6">
        <f>'Momentum Signal'!A205</f>
        <v>199112</v>
      </c>
    </row>
    <row r="206" spans="1:1" x14ac:dyDescent="0.25">
      <c r="A206" s="6">
        <f>'Momentum Signal'!A206</f>
        <v>199201</v>
      </c>
    </row>
    <row r="207" spans="1:1" x14ac:dyDescent="0.25">
      <c r="A207" s="6">
        <f>'Momentum Signal'!A207</f>
        <v>199202</v>
      </c>
    </row>
    <row r="208" spans="1:1" x14ac:dyDescent="0.25">
      <c r="A208" s="6">
        <f>'Momentum Signal'!A208</f>
        <v>199203</v>
      </c>
    </row>
    <row r="209" spans="1:1" x14ac:dyDescent="0.25">
      <c r="A209" s="6">
        <f>'Momentum Signal'!A209</f>
        <v>199204</v>
      </c>
    </row>
    <row r="210" spans="1:1" x14ac:dyDescent="0.25">
      <c r="A210" s="6">
        <f>'Momentum Signal'!A210</f>
        <v>199205</v>
      </c>
    </row>
    <row r="211" spans="1:1" x14ac:dyDescent="0.25">
      <c r="A211" s="6">
        <f>'Momentum Signal'!A211</f>
        <v>199206</v>
      </c>
    </row>
    <row r="212" spans="1:1" x14ac:dyDescent="0.25">
      <c r="A212" s="6">
        <f>'Momentum Signal'!A212</f>
        <v>199207</v>
      </c>
    </row>
    <row r="213" spans="1:1" x14ac:dyDescent="0.25">
      <c r="A213" s="6">
        <f>'Momentum Signal'!A213</f>
        <v>199208</v>
      </c>
    </row>
    <row r="214" spans="1:1" x14ac:dyDescent="0.25">
      <c r="A214" s="6">
        <f>'Momentum Signal'!A214</f>
        <v>199209</v>
      </c>
    </row>
    <row r="215" spans="1:1" x14ac:dyDescent="0.25">
      <c r="A215" s="6">
        <f>'Momentum Signal'!A215</f>
        <v>199210</v>
      </c>
    </row>
    <row r="216" spans="1:1" x14ac:dyDescent="0.25">
      <c r="A216" s="6">
        <f>'Momentum Signal'!A216</f>
        <v>199211</v>
      </c>
    </row>
    <row r="217" spans="1:1" x14ac:dyDescent="0.25">
      <c r="A217" s="6">
        <f>'Momentum Signal'!A217</f>
        <v>199212</v>
      </c>
    </row>
    <row r="218" spans="1:1" x14ac:dyDescent="0.25">
      <c r="A218" s="6">
        <f>'Momentum Signal'!A218</f>
        <v>199301</v>
      </c>
    </row>
    <row r="219" spans="1:1" x14ac:dyDescent="0.25">
      <c r="A219" s="6">
        <f>'Momentum Signal'!A219</f>
        <v>199302</v>
      </c>
    </row>
    <row r="220" spans="1:1" x14ac:dyDescent="0.25">
      <c r="A220" s="6">
        <f>'Momentum Signal'!A220</f>
        <v>199303</v>
      </c>
    </row>
    <row r="221" spans="1:1" x14ac:dyDescent="0.25">
      <c r="A221" s="6">
        <f>'Momentum Signal'!A221</f>
        <v>199304</v>
      </c>
    </row>
    <row r="222" spans="1:1" x14ac:dyDescent="0.25">
      <c r="A222" s="6">
        <f>'Momentum Signal'!A222</f>
        <v>199305</v>
      </c>
    </row>
    <row r="223" spans="1:1" x14ac:dyDescent="0.25">
      <c r="A223" s="6">
        <f>'Momentum Signal'!A223</f>
        <v>199306</v>
      </c>
    </row>
    <row r="224" spans="1:1" x14ac:dyDescent="0.25">
      <c r="A224" s="6">
        <f>'Momentum Signal'!A224</f>
        <v>199307</v>
      </c>
    </row>
    <row r="225" spans="1:1" x14ac:dyDescent="0.25">
      <c r="A225" s="6">
        <f>'Momentum Signal'!A225</f>
        <v>199308</v>
      </c>
    </row>
    <row r="226" spans="1:1" x14ac:dyDescent="0.25">
      <c r="A226" s="6">
        <f>'Momentum Signal'!A226</f>
        <v>199309</v>
      </c>
    </row>
    <row r="227" spans="1:1" x14ac:dyDescent="0.25">
      <c r="A227" s="6">
        <f>'Momentum Signal'!A227</f>
        <v>199310</v>
      </c>
    </row>
    <row r="228" spans="1:1" x14ac:dyDescent="0.25">
      <c r="A228" s="6">
        <f>'Momentum Signal'!A228</f>
        <v>199311</v>
      </c>
    </row>
    <row r="229" spans="1:1" x14ac:dyDescent="0.25">
      <c r="A229" s="6">
        <f>'Momentum Signal'!A229</f>
        <v>199312</v>
      </c>
    </row>
    <row r="230" spans="1:1" x14ac:dyDescent="0.25">
      <c r="A230" s="6">
        <f>'Momentum Signal'!A230</f>
        <v>199401</v>
      </c>
    </row>
    <row r="231" spans="1:1" x14ac:dyDescent="0.25">
      <c r="A231" s="6">
        <f>'Momentum Signal'!A231</f>
        <v>199402</v>
      </c>
    </row>
    <row r="232" spans="1:1" x14ac:dyDescent="0.25">
      <c r="A232" s="6">
        <f>'Momentum Signal'!A232</f>
        <v>199403</v>
      </c>
    </row>
    <row r="233" spans="1:1" x14ac:dyDescent="0.25">
      <c r="A233" s="6">
        <f>'Momentum Signal'!A233</f>
        <v>199404</v>
      </c>
    </row>
    <row r="234" spans="1:1" x14ac:dyDescent="0.25">
      <c r="A234" s="6">
        <f>'Momentum Signal'!A234</f>
        <v>199405</v>
      </c>
    </row>
    <row r="235" spans="1:1" x14ac:dyDescent="0.25">
      <c r="A235" s="6">
        <f>'Momentum Signal'!A235</f>
        <v>199406</v>
      </c>
    </row>
    <row r="236" spans="1:1" x14ac:dyDescent="0.25">
      <c r="A236" s="6">
        <f>'Momentum Signal'!A236</f>
        <v>199407</v>
      </c>
    </row>
    <row r="237" spans="1:1" x14ac:dyDescent="0.25">
      <c r="A237" s="6">
        <f>'Momentum Signal'!A237</f>
        <v>199408</v>
      </c>
    </row>
    <row r="238" spans="1:1" x14ac:dyDescent="0.25">
      <c r="A238" s="6">
        <f>'Momentum Signal'!A238</f>
        <v>199409</v>
      </c>
    </row>
    <row r="239" spans="1:1" x14ac:dyDescent="0.25">
      <c r="A239" s="6">
        <f>'Momentum Signal'!A239</f>
        <v>199410</v>
      </c>
    </row>
    <row r="240" spans="1:1" x14ac:dyDescent="0.25">
      <c r="A240" s="6">
        <f>'Momentum Signal'!A240</f>
        <v>199411</v>
      </c>
    </row>
    <row r="241" spans="1:1" x14ac:dyDescent="0.25">
      <c r="A241" s="6">
        <f>'Momentum Signal'!A241</f>
        <v>199412</v>
      </c>
    </row>
    <row r="242" spans="1:1" x14ac:dyDescent="0.25">
      <c r="A242" s="6">
        <f>'Momentum Signal'!A242</f>
        <v>199501</v>
      </c>
    </row>
    <row r="243" spans="1:1" x14ac:dyDescent="0.25">
      <c r="A243" s="6">
        <f>'Momentum Signal'!A243</f>
        <v>199502</v>
      </c>
    </row>
    <row r="244" spans="1:1" x14ac:dyDescent="0.25">
      <c r="A244" s="6">
        <f>'Momentum Signal'!A244</f>
        <v>199503</v>
      </c>
    </row>
    <row r="245" spans="1:1" x14ac:dyDescent="0.25">
      <c r="A245" s="6">
        <f>'Momentum Signal'!A245</f>
        <v>199504</v>
      </c>
    </row>
    <row r="246" spans="1:1" x14ac:dyDescent="0.25">
      <c r="A246" s="6">
        <f>'Momentum Signal'!A246</f>
        <v>199505</v>
      </c>
    </row>
    <row r="247" spans="1:1" x14ac:dyDescent="0.25">
      <c r="A247" s="6">
        <f>'Momentum Signal'!A247</f>
        <v>199506</v>
      </c>
    </row>
    <row r="248" spans="1:1" x14ac:dyDescent="0.25">
      <c r="A248" s="6">
        <f>'Momentum Signal'!A248</f>
        <v>199507</v>
      </c>
    </row>
    <row r="249" spans="1:1" x14ac:dyDescent="0.25">
      <c r="A249" s="6">
        <f>'Momentum Signal'!A249</f>
        <v>199508</v>
      </c>
    </row>
    <row r="250" spans="1:1" x14ac:dyDescent="0.25">
      <c r="A250" s="6">
        <f>'Momentum Signal'!A250</f>
        <v>199509</v>
      </c>
    </row>
    <row r="251" spans="1:1" x14ac:dyDescent="0.25">
      <c r="A251" s="6">
        <f>'Momentum Signal'!A251</f>
        <v>199510</v>
      </c>
    </row>
    <row r="252" spans="1:1" x14ac:dyDescent="0.25">
      <c r="A252" s="6">
        <f>'Momentum Signal'!A252</f>
        <v>199511</v>
      </c>
    </row>
    <row r="253" spans="1:1" x14ac:dyDescent="0.25">
      <c r="A253" s="6">
        <f>'Momentum Signal'!A253</f>
        <v>199512</v>
      </c>
    </row>
    <row r="254" spans="1:1" x14ac:dyDescent="0.25">
      <c r="A254" s="6">
        <f>'Momentum Signal'!A254</f>
        <v>199601</v>
      </c>
    </row>
    <row r="255" spans="1:1" x14ac:dyDescent="0.25">
      <c r="A255" s="6">
        <f>'Momentum Signal'!A255</f>
        <v>199602</v>
      </c>
    </row>
    <row r="256" spans="1:1" x14ac:dyDescent="0.25">
      <c r="A256" s="6">
        <f>'Momentum Signal'!A256</f>
        <v>199603</v>
      </c>
    </row>
    <row r="257" spans="1:1" x14ac:dyDescent="0.25">
      <c r="A257" s="6">
        <f>'Momentum Signal'!A257</f>
        <v>199604</v>
      </c>
    </row>
    <row r="258" spans="1:1" x14ac:dyDescent="0.25">
      <c r="A258" s="6">
        <f>'Momentum Signal'!A258</f>
        <v>199605</v>
      </c>
    </row>
    <row r="259" spans="1:1" x14ac:dyDescent="0.25">
      <c r="A259" s="6">
        <f>'Momentum Signal'!A259</f>
        <v>199606</v>
      </c>
    </row>
    <row r="260" spans="1:1" x14ac:dyDescent="0.25">
      <c r="A260" s="6">
        <f>'Momentum Signal'!A260</f>
        <v>199607</v>
      </c>
    </row>
    <row r="261" spans="1:1" x14ac:dyDescent="0.25">
      <c r="A261" s="6">
        <f>'Momentum Signal'!A261</f>
        <v>199608</v>
      </c>
    </row>
    <row r="262" spans="1:1" x14ac:dyDescent="0.25">
      <c r="A262" s="6">
        <f>'Momentum Signal'!A262</f>
        <v>199609</v>
      </c>
    </row>
    <row r="263" spans="1:1" x14ac:dyDescent="0.25">
      <c r="A263" s="6">
        <f>'Momentum Signal'!A263</f>
        <v>199610</v>
      </c>
    </row>
    <row r="264" spans="1:1" x14ac:dyDescent="0.25">
      <c r="A264" s="6">
        <f>'Momentum Signal'!A264</f>
        <v>199611</v>
      </c>
    </row>
    <row r="265" spans="1:1" x14ac:dyDescent="0.25">
      <c r="A265" s="6">
        <f>'Momentum Signal'!A265</f>
        <v>199612</v>
      </c>
    </row>
    <row r="266" spans="1:1" x14ac:dyDescent="0.25">
      <c r="A266" s="6">
        <f>'Momentum Signal'!A266</f>
        <v>199701</v>
      </c>
    </row>
    <row r="267" spans="1:1" x14ac:dyDescent="0.25">
      <c r="A267" s="6">
        <f>'Momentum Signal'!A267</f>
        <v>199702</v>
      </c>
    </row>
    <row r="268" spans="1:1" x14ac:dyDescent="0.25">
      <c r="A268" s="6">
        <f>'Momentum Signal'!A268</f>
        <v>199703</v>
      </c>
    </row>
    <row r="269" spans="1:1" x14ac:dyDescent="0.25">
      <c r="A269" s="6">
        <f>'Momentum Signal'!A269</f>
        <v>199704</v>
      </c>
    </row>
    <row r="270" spans="1:1" x14ac:dyDescent="0.25">
      <c r="A270" s="6">
        <f>'Momentum Signal'!A270</f>
        <v>199705</v>
      </c>
    </row>
    <row r="271" spans="1:1" x14ac:dyDescent="0.25">
      <c r="A271" s="6">
        <f>'Momentum Signal'!A271</f>
        <v>199706</v>
      </c>
    </row>
    <row r="272" spans="1:1" x14ac:dyDescent="0.25">
      <c r="A272" s="6">
        <f>'Momentum Signal'!A272</f>
        <v>199707</v>
      </c>
    </row>
    <row r="273" spans="1:1" x14ac:dyDescent="0.25">
      <c r="A273" s="6">
        <f>'Momentum Signal'!A273</f>
        <v>199708</v>
      </c>
    </row>
    <row r="274" spans="1:1" x14ac:dyDescent="0.25">
      <c r="A274" s="6">
        <f>'Momentum Signal'!A274</f>
        <v>199709</v>
      </c>
    </row>
    <row r="275" spans="1:1" x14ac:dyDescent="0.25">
      <c r="A275" s="6">
        <f>'Momentum Signal'!A275</f>
        <v>199710</v>
      </c>
    </row>
    <row r="276" spans="1:1" x14ac:dyDescent="0.25">
      <c r="A276" s="6">
        <f>'Momentum Signal'!A276</f>
        <v>199711</v>
      </c>
    </row>
    <row r="277" spans="1:1" x14ac:dyDescent="0.25">
      <c r="A277" s="6">
        <f>'Momentum Signal'!A277</f>
        <v>199712</v>
      </c>
    </row>
    <row r="278" spans="1:1" x14ac:dyDescent="0.25">
      <c r="A278" s="6">
        <f>'Momentum Signal'!A278</f>
        <v>199801</v>
      </c>
    </row>
    <row r="279" spans="1:1" x14ac:dyDescent="0.25">
      <c r="A279" s="6">
        <f>'Momentum Signal'!A279</f>
        <v>199802</v>
      </c>
    </row>
    <row r="280" spans="1:1" x14ac:dyDescent="0.25">
      <c r="A280" s="6">
        <f>'Momentum Signal'!A280</f>
        <v>199803</v>
      </c>
    </row>
    <row r="281" spans="1:1" x14ac:dyDescent="0.25">
      <c r="A281" s="6">
        <f>'Momentum Signal'!A281</f>
        <v>199804</v>
      </c>
    </row>
    <row r="282" spans="1:1" x14ac:dyDescent="0.25">
      <c r="A282" s="6">
        <f>'Momentum Signal'!A282</f>
        <v>199805</v>
      </c>
    </row>
    <row r="283" spans="1:1" x14ac:dyDescent="0.25">
      <c r="A283" s="6">
        <f>'Momentum Signal'!A283</f>
        <v>199806</v>
      </c>
    </row>
    <row r="284" spans="1:1" x14ac:dyDescent="0.25">
      <c r="A284" s="6">
        <f>'Momentum Signal'!A284</f>
        <v>199807</v>
      </c>
    </row>
    <row r="285" spans="1:1" x14ac:dyDescent="0.25">
      <c r="A285" s="6">
        <f>'Momentum Signal'!A285</f>
        <v>199808</v>
      </c>
    </row>
    <row r="286" spans="1:1" x14ac:dyDescent="0.25">
      <c r="A286" s="6">
        <f>'Momentum Signal'!A286</f>
        <v>199809</v>
      </c>
    </row>
    <row r="287" spans="1:1" x14ac:dyDescent="0.25">
      <c r="A287" s="6">
        <f>'Momentum Signal'!A287</f>
        <v>199810</v>
      </c>
    </row>
    <row r="288" spans="1:1" x14ac:dyDescent="0.25">
      <c r="A288" s="6">
        <f>'Momentum Signal'!A288</f>
        <v>199811</v>
      </c>
    </row>
    <row r="289" spans="1:1" x14ac:dyDescent="0.25">
      <c r="A289" s="6">
        <f>'Momentum Signal'!A289</f>
        <v>199812</v>
      </c>
    </row>
    <row r="290" spans="1:1" x14ac:dyDescent="0.25">
      <c r="A290" s="6">
        <f>'Momentum Signal'!A290</f>
        <v>199901</v>
      </c>
    </row>
    <row r="291" spans="1:1" x14ac:dyDescent="0.25">
      <c r="A291" s="6">
        <f>'Momentum Signal'!A291</f>
        <v>199902</v>
      </c>
    </row>
    <row r="292" spans="1:1" x14ac:dyDescent="0.25">
      <c r="A292" s="6">
        <f>'Momentum Signal'!A292</f>
        <v>199903</v>
      </c>
    </row>
    <row r="293" spans="1:1" x14ac:dyDescent="0.25">
      <c r="A293" s="6">
        <f>'Momentum Signal'!A293</f>
        <v>199904</v>
      </c>
    </row>
    <row r="294" spans="1:1" x14ac:dyDescent="0.25">
      <c r="A294" s="6">
        <f>'Momentum Signal'!A294</f>
        <v>199905</v>
      </c>
    </row>
    <row r="295" spans="1:1" x14ac:dyDescent="0.25">
      <c r="A295" s="6">
        <f>'Momentum Signal'!A295</f>
        <v>199906</v>
      </c>
    </row>
    <row r="296" spans="1:1" x14ac:dyDescent="0.25">
      <c r="A296" s="6">
        <f>'Momentum Signal'!A296</f>
        <v>199907</v>
      </c>
    </row>
    <row r="297" spans="1:1" x14ac:dyDescent="0.25">
      <c r="A297" s="6">
        <f>'Momentum Signal'!A297</f>
        <v>199908</v>
      </c>
    </row>
    <row r="298" spans="1:1" x14ac:dyDescent="0.25">
      <c r="A298" s="6">
        <f>'Momentum Signal'!A298</f>
        <v>199909</v>
      </c>
    </row>
    <row r="299" spans="1:1" x14ac:dyDescent="0.25">
      <c r="A299" s="6">
        <f>'Momentum Signal'!A299</f>
        <v>199910</v>
      </c>
    </row>
    <row r="300" spans="1:1" x14ac:dyDescent="0.25">
      <c r="A300" s="6">
        <f>'Momentum Signal'!A300</f>
        <v>199911</v>
      </c>
    </row>
    <row r="301" spans="1:1" x14ac:dyDescent="0.25">
      <c r="A301" s="6">
        <f>'Momentum Signal'!A301</f>
        <v>199912</v>
      </c>
    </row>
    <row r="302" spans="1:1" x14ac:dyDescent="0.25">
      <c r="A302" s="6">
        <f>'Momentum Signal'!A302</f>
        <v>200001</v>
      </c>
    </row>
    <row r="303" spans="1:1" x14ac:dyDescent="0.25">
      <c r="A303" s="6">
        <f>'Momentum Signal'!A303</f>
        <v>200002</v>
      </c>
    </row>
    <row r="304" spans="1:1" x14ac:dyDescent="0.25">
      <c r="A304" s="6">
        <f>'Momentum Signal'!A304</f>
        <v>200003</v>
      </c>
    </row>
    <row r="305" spans="1:1" x14ac:dyDescent="0.25">
      <c r="A305" s="6">
        <f>'Momentum Signal'!A305</f>
        <v>200004</v>
      </c>
    </row>
    <row r="306" spans="1:1" x14ac:dyDescent="0.25">
      <c r="A306" s="6">
        <f>'Momentum Signal'!A306</f>
        <v>200005</v>
      </c>
    </row>
    <row r="307" spans="1:1" x14ac:dyDescent="0.25">
      <c r="A307" s="6">
        <f>'Momentum Signal'!A307</f>
        <v>200006</v>
      </c>
    </row>
    <row r="308" spans="1:1" x14ac:dyDescent="0.25">
      <c r="A308" s="6">
        <f>'Momentum Signal'!A308</f>
        <v>200007</v>
      </c>
    </row>
    <row r="309" spans="1:1" x14ac:dyDescent="0.25">
      <c r="A309" s="6">
        <f>'Momentum Signal'!A309</f>
        <v>200008</v>
      </c>
    </row>
    <row r="310" spans="1:1" x14ac:dyDescent="0.25">
      <c r="A310" s="6">
        <f>'Momentum Signal'!A310</f>
        <v>200009</v>
      </c>
    </row>
    <row r="311" spans="1:1" x14ac:dyDescent="0.25">
      <c r="A311" s="6">
        <f>'Momentum Signal'!A311</f>
        <v>200010</v>
      </c>
    </row>
    <row r="312" spans="1:1" x14ac:dyDescent="0.25">
      <c r="A312" s="6">
        <f>'Momentum Signal'!A312</f>
        <v>200011</v>
      </c>
    </row>
    <row r="313" spans="1:1" x14ac:dyDescent="0.25">
      <c r="A313" s="6">
        <f>'Momentum Signal'!A313</f>
        <v>200012</v>
      </c>
    </row>
    <row r="314" spans="1:1" x14ac:dyDescent="0.25">
      <c r="A314" s="6">
        <f>'Momentum Signal'!A314</f>
        <v>200101</v>
      </c>
    </row>
    <row r="315" spans="1:1" x14ac:dyDescent="0.25">
      <c r="A315" s="6">
        <f>'Momentum Signal'!A315</f>
        <v>200102</v>
      </c>
    </row>
    <row r="316" spans="1:1" x14ac:dyDescent="0.25">
      <c r="A316" s="6">
        <f>'Momentum Signal'!A316</f>
        <v>200103</v>
      </c>
    </row>
    <row r="317" spans="1:1" x14ac:dyDescent="0.25">
      <c r="A317" s="6">
        <f>'Momentum Signal'!A317</f>
        <v>200104</v>
      </c>
    </row>
    <row r="318" spans="1:1" x14ac:dyDescent="0.25">
      <c r="A318" s="6">
        <f>'Momentum Signal'!A318</f>
        <v>200105</v>
      </c>
    </row>
    <row r="319" spans="1:1" x14ac:dyDescent="0.25">
      <c r="A319" s="6">
        <f>'Momentum Signal'!A319</f>
        <v>200106</v>
      </c>
    </row>
    <row r="320" spans="1:1" x14ac:dyDescent="0.25">
      <c r="A320" s="6">
        <f>'Momentum Signal'!A320</f>
        <v>200107</v>
      </c>
    </row>
    <row r="321" spans="1:1" x14ac:dyDescent="0.25">
      <c r="A321" s="6">
        <f>'Momentum Signal'!A321</f>
        <v>200108</v>
      </c>
    </row>
    <row r="322" spans="1:1" x14ac:dyDescent="0.25">
      <c r="A322" s="6">
        <f>'Momentum Signal'!A322</f>
        <v>200109</v>
      </c>
    </row>
    <row r="323" spans="1:1" x14ac:dyDescent="0.25">
      <c r="A323" s="6">
        <f>'Momentum Signal'!A323</f>
        <v>200110</v>
      </c>
    </row>
    <row r="324" spans="1:1" x14ac:dyDescent="0.25">
      <c r="A324" s="6">
        <f>'Momentum Signal'!A324</f>
        <v>200111</v>
      </c>
    </row>
    <row r="325" spans="1:1" x14ac:dyDescent="0.25">
      <c r="A325" s="6">
        <f>'Momentum Signal'!A325</f>
        <v>200112</v>
      </c>
    </row>
    <row r="326" spans="1:1" x14ac:dyDescent="0.25">
      <c r="A326" s="6">
        <f>'Momentum Signal'!A326</f>
        <v>200201</v>
      </c>
    </row>
    <row r="327" spans="1:1" x14ac:dyDescent="0.25">
      <c r="A327" s="6">
        <f>'Momentum Signal'!A327</f>
        <v>200202</v>
      </c>
    </row>
    <row r="328" spans="1:1" x14ac:dyDescent="0.25">
      <c r="A328" s="6">
        <f>'Momentum Signal'!A328</f>
        <v>200203</v>
      </c>
    </row>
    <row r="329" spans="1:1" x14ac:dyDescent="0.25">
      <c r="A329" s="6">
        <f>'Momentum Signal'!A329</f>
        <v>200204</v>
      </c>
    </row>
    <row r="330" spans="1:1" x14ac:dyDescent="0.25">
      <c r="A330" s="6">
        <f>'Momentum Signal'!A330</f>
        <v>200205</v>
      </c>
    </row>
    <row r="331" spans="1:1" x14ac:dyDescent="0.25">
      <c r="A331" s="6">
        <f>'Momentum Signal'!A331</f>
        <v>200206</v>
      </c>
    </row>
    <row r="332" spans="1:1" x14ac:dyDescent="0.25">
      <c r="A332" s="6">
        <f>'Momentum Signal'!A332</f>
        <v>200207</v>
      </c>
    </row>
    <row r="333" spans="1:1" x14ac:dyDescent="0.25">
      <c r="A333" s="6">
        <f>'Momentum Signal'!A333</f>
        <v>200208</v>
      </c>
    </row>
    <row r="334" spans="1:1" x14ac:dyDescent="0.25">
      <c r="A334" s="6">
        <f>'Momentum Signal'!A334</f>
        <v>200209</v>
      </c>
    </row>
    <row r="335" spans="1:1" x14ac:dyDescent="0.25">
      <c r="A335" s="6">
        <f>'Momentum Signal'!A335</f>
        <v>200210</v>
      </c>
    </row>
    <row r="336" spans="1:1" x14ac:dyDescent="0.25">
      <c r="A336" s="6">
        <f>'Momentum Signal'!A336</f>
        <v>200211</v>
      </c>
    </row>
    <row r="337" spans="1:1" x14ac:dyDescent="0.25">
      <c r="A337" s="6">
        <f>'Momentum Signal'!A337</f>
        <v>200212</v>
      </c>
    </row>
    <row r="338" spans="1:1" x14ac:dyDescent="0.25">
      <c r="A338" s="6">
        <f>'Momentum Signal'!A338</f>
        <v>200301</v>
      </c>
    </row>
    <row r="339" spans="1:1" x14ac:dyDescent="0.25">
      <c r="A339" s="6">
        <f>'Momentum Signal'!A339</f>
        <v>200302</v>
      </c>
    </row>
    <row r="340" spans="1:1" x14ac:dyDescent="0.25">
      <c r="A340" s="6">
        <f>'Momentum Signal'!A340</f>
        <v>200303</v>
      </c>
    </row>
    <row r="341" spans="1:1" x14ac:dyDescent="0.25">
      <c r="A341" s="6">
        <f>'Momentum Signal'!A341</f>
        <v>200304</v>
      </c>
    </row>
    <row r="342" spans="1:1" x14ac:dyDescent="0.25">
      <c r="A342" s="6">
        <f>'Momentum Signal'!A342</f>
        <v>200305</v>
      </c>
    </row>
    <row r="343" spans="1:1" x14ac:dyDescent="0.25">
      <c r="A343" s="6">
        <f>'Momentum Signal'!A343</f>
        <v>200306</v>
      </c>
    </row>
    <row r="344" spans="1:1" x14ac:dyDescent="0.25">
      <c r="A344" s="6">
        <f>'Momentum Signal'!A344</f>
        <v>200307</v>
      </c>
    </row>
    <row r="345" spans="1:1" x14ac:dyDescent="0.25">
      <c r="A345" s="6">
        <f>'Momentum Signal'!A345</f>
        <v>200308</v>
      </c>
    </row>
    <row r="346" spans="1:1" x14ac:dyDescent="0.25">
      <c r="A346" s="6">
        <f>'Momentum Signal'!A346</f>
        <v>200309</v>
      </c>
    </row>
    <row r="347" spans="1:1" x14ac:dyDescent="0.25">
      <c r="A347" s="6">
        <f>'Momentum Signal'!A347</f>
        <v>200310</v>
      </c>
    </row>
    <row r="348" spans="1:1" x14ac:dyDescent="0.25">
      <c r="A348" s="6">
        <f>'Momentum Signal'!A348</f>
        <v>200311</v>
      </c>
    </row>
    <row r="349" spans="1:1" x14ac:dyDescent="0.25">
      <c r="A349" s="6">
        <f>'Momentum Signal'!A349</f>
        <v>200312</v>
      </c>
    </row>
    <row r="350" spans="1:1" x14ac:dyDescent="0.25">
      <c r="A350" s="6">
        <f>'Momentum Signal'!A350</f>
        <v>200401</v>
      </c>
    </row>
    <row r="351" spans="1:1" x14ac:dyDescent="0.25">
      <c r="A351" s="6">
        <f>'Momentum Signal'!A351</f>
        <v>200402</v>
      </c>
    </row>
    <row r="352" spans="1:1" x14ac:dyDescent="0.25">
      <c r="A352" s="6">
        <f>'Momentum Signal'!A352</f>
        <v>200403</v>
      </c>
    </row>
    <row r="353" spans="1:1" x14ac:dyDescent="0.25">
      <c r="A353" s="6">
        <f>'Momentum Signal'!A353</f>
        <v>200404</v>
      </c>
    </row>
    <row r="354" spans="1:1" x14ac:dyDescent="0.25">
      <c r="A354" s="6">
        <f>'Momentum Signal'!A354</f>
        <v>200405</v>
      </c>
    </row>
    <row r="355" spans="1:1" x14ac:dyDescent="0.25">
      <c r="A355" s="6">
        <f>'Momentum Signal'!A355</f>
        <v>200406</v>
      </c>
    </row>
    <row r="356" spans="1:1" x14ac:dyDescent="0.25">
      <c r="A356" s="6">
        <f>'Momentum Signal'!A356</f>
        <v>200407</v>
      </c>
    </row>
    <row r="357" spans="1:1" x14ac:dyDescent="0.25">
      <c r="A357" s="6">
        <f>'Momentum Signal'!A357</f>
        <v>200408</v>
      </c>
    </row>
    <row r="358" spans="1:1" x14ac:dyDescent="0.25">
      <c r="A358" s="6">
        <f>'Momentum Signal'!A358</f>
        <v>200409</v>
      </c>
    </row>
    <row r="359" spans="1:1" x14ac:dyDescent="0.25">
      <c r="A359" s="6">
        <f>'Momentum Signal'!A359</f>
        <v>200410</v>
      </c>
    </row>
    <row r="360" spans="1:1" x14ac:dyDescent="0.25">
      <c r="A360" s="6">
        <f>'Momentum Signal'!A360</f>
        <v>200411</v>
      </c>
    </row>
    <row r="361" spans="1:1" x14ac:dyDescent="0.25">
      <c r="A361" s="6">
        <f>'Momentum Signal'!A361</f>
        <v>200412</v>
      </c>
    </row>
    <row r="362" spans="1:1" x14ac:dyDescent="0.25">
      <c r="A362" s="6">
        <f>'Momentum Signal'!A362</f>
        <v>200501</v>
      </c>
    </row>
    <row r="363" spans="1:1" x14ac:dyDescent="0.25">
      <c r="A363" s="6">
        <f>'Momentum Signal'!A363</f>
        <v>200502</v>
      </c>
    </row>
    <row r="364" spans="1:1" x14ac:dyDescent="0.25">
      <c r="A364" s="6">
        <f>'Momentum Signal'!A364</f>
        <v>200503</v>
      </c>
    </row>
    <row r="365" spans="1:1" x14ac:dyDescent="0.25">
      <c r="A365" s="6">
        <f>'Momentum Signal'!A365</f>
        <v>200504</v>
      </c>
    </row>
    <row r="366" spans="1:1" x14ac:dyDescent="0.25">
      <c r="A366" s="6">
        <f>'Momentum Signal'!A366</f>
        <v>200505</v>
      </c>
    </row>
    <row r="367" spans="1:1" x14ac:dyDescent="0.25">
      <c r="A367" s="6">
        <f>'Momentum Signal'!A367</f>
        <v>200506</v>
      </c>
    </row>
    <row r="368" spans="1:1" x14ac:dyDescent="0.25">
      <c r="A368" s="6">
        <f>'Momentum Signal'!A368</f>
        <v>200507</v>
      </c>
    </row>
    <row r="369" spans="1:1" x14ac:dyDescent="0.25">
      <c r="A369" s="6">
        <f>'Momentum Signal'!A369</f>
        <v>200508</v>
      </c>
    </row>
    <row r="370" spans="1:1" x14ac:dyDescent="0.25">
      <c r="A370" s="6">
        <f>'Momentum Signal'!A370</f>
        <v>200509</v>
      </c>
    </row>
    <row r="371" spans="1:1" x14ac:dyDescent="0.25">
      <c r="A371" s="6">
        <f>'Momentum Signal'!A371</f>
        <v>200510</v>
      </c>
    </row>
    <row r="372" spans="1:1" x14ac:dyDescent="0.25">
      <c r="A372" s="6">
        <f>'Momentum Signal'!A372</f>
        <v>200511</v>
      </c>
    </row>
    <row r="373" spans="1:1" x14ac:dyDescent="0.25">
      <c r="A373" s="6">
        <f>'Momentum Signal'!A373</f>
        <v>200512</v>
      </c>
    </row>
    <row r="374" spans="1:1" x14ac:dyDescent="0.25">
      <c r="A374" s="6">
        <f>'Momentum Signal'!A374</f>
        <v>200601</v>
      </c>
    </row>
    <row r="375" spans="1:1" x14ac:dyDescent="0.25">
      <c r="A375" s="6">
        <f>'Momentum Signal'!A375</f>
        <v>200602</v>
      </c>
    </row>
    <row r="376" spans="1:1" x14ac:dyDescent="0.25">
      <c r="A376" s="6">
        <f>'Momentum Signal'!A376</f>
        <v>200603</v>
      </c>
    </row>
    <row r="377" spans="1:1" x14ac:dyDescent="0.25">
      <c r="A377" s="6">
        <f>'Momentum Signal'!A377</f>
        <v>200604</v>
      </c>
    </row>
    <row r="378" spans="1:1" x14ac:dyDescent="0.25">
      <c r="A378" s="6">
        <f>'Momentum Signal'!A378</f>
        <v>200605</v>
      </c>
    </row>
    <row r="379" spans="1:1" x14ac:dyDescent="0.25">
      <c r="A379" s="6">
        <f>'Momentum Signal'!A379</f>
        <v>200606</v>
      </c>
    </row>
    <row r="380" spans="1:1" x14ac:dyDescent="0.25">
      <c r="A380" s="6">
        <f>'Momentum Signal'!A380</f>
        <v>200607</v>
      </c>
    </row>
    <row r="381" spans="1:1" x14ac:dyDescent="0.25">
      <c r="A381" s="6">
        <f>'Momentum Signal'!A381</f>
        <v>200608</v>
      </c>
    </row>
    <row r="382" spans="1:1" x14ac:dyDescent="0.25">
      <c r="A382" s="6">
        <f>'Momentum Signal'!A382</f>
        <v>200609</v>
      </c>
    </row>
    <row r="383" spans="1:1" x14ac:dyDescent="0.25">
      <c r="A383" s="6">
        <f>'Momentum Signal'!A383</f>
        <v>200610</v>
      </c>
    </row>
    <row r="384" spans="1:1" x14ac:dyDescent="0.25">
      <c r="A384" s="6">
        <f>'Momentum Signal'!A384</f>
        <v>200611</v>
      </c>
    </row>
    <row r="385" spans="1:1" x14ac:dyDescent="0.25">
      <c r="A385" s="6">
        <f>'Momentum Signal'!A385</f>
        <v>200612</v>
      </c>
    </row>
    <row r="386" spans="1:1" x14ac:dyDescent="0.25">
      <c r="A386" s="6">
        <f>'Momentum Signal'!A386</f>
        <v>200701</v>
      </c>
    </row>
    <row r="387" spans="1:1" x14ac:dyDescent="0.25">
      <c r="A387" s="6">
        <f>'Momentum Signal'!A387</f>
        <v>200702</v>
      </c>
    </row>
    <row r="388" spans="1:1" x14ac:dyDescent="0.25">
      <c r="A388" s="6">
        <f>'Momentum Signal'!A388</f>
        <v>200703</v>
      </c>
    </row>
    <row r="389" spans="1:1" x14ac:dyDescent="0.25">
      <c r="A389" s="6">
        <f>'Momentum Signal'!A389</f>
        <v>200704</v>
      </c>
    </row>
    <row r="390" spans="1:1" x14ac:dyDescent="0.25">
      <c r="A390" s="6">
        <f>'Momentum Signal'!A390</f>
        <v>200705</v>
      </c>
    </row>
    <row r="391" spans="1:1" x14ac:dyDescent="0.25">
      <c r="A391" s="6">
        <f>'Momentum Signal'!A391</f>
        <v>200706</v>
      </c>
    </row>
    <row r="392" spans="1:1" x14ac:dyDescent="0.25">
      <c r="A392" s="6">
        <f>'Momentum Signal'!A392</f>
        <v>200707</v>
      </c>
    </row>
    <row r="393" spans="1:1" x14ac:dyDescent="0.25">
      <c r="A393" s="6">
        <f>'Momentum Signal'!A393</f>
        <v>200708</v>
      </c>
    </row>
    <row r="394" spans="1:1" x14ac:dyDescent="0.25">
      <c r="A394" s="6">
        <f>'Momentum Signal'!A394</f>
        <v>200709</v>
      </c>
    </row>
    <row r="395" spans="1:1" x14ac:dyDescent="0.25">
      <c r="A395" s="6">
        <f>'Momentum Signal'!A395</f>
        <v>200710</v>
      </c>
    </row>
    <row r="396" spans="1:1" x14ac:dyDescent="0.25">
      <c r="A396" s="6">
        <f>'Momentum Signal'!A396</f>
        <v>200711</v>
      </c>
    </row>
    <row r="397" spans="1:1" x14ac:dyDescent="0.25">
      <c r="A397" s="6">
        <f>'Momentum Signal'!A397</f>
        <v>200712</v>
      </c>
    </row>
    <row r="398" spans="1:1" x14ac:dyDescent="0.25">
      <c r="A398" s="6">
        <f>'Momentum Signal'!A398</f>
        <v>200801</v>
      </c>
    </row>
    <row r="399" spans="1:1" x14ac:dyDescent="0.25">
      <c r="A399" s="6">
        <f>'Momentum Signal'!A399</f>
        <v>200802</v>
      </c>
    </row>
    <row r="400" spans="1:1" x14ac:dyDescent="0.25">
      <c r="A400" s="6">
        <f>'Momentum Signal'!A400</f>
        <v>200803</v>
      </c>
    </row>
    <row r="401" spans="1:1" x14ac:dyDescent="0.25">
      <c r="A401" s="6">
        <f>'Momentum Signal'!A401</f>
        <v>200804</v>
      </c>
    </row>
    <row r="402" spans="1:1" x14ac:dyDescent="0.25">
      <c r="A402" s="6">
        <f>'Momentum Signal'!A402</f>
        <v>200805</v>
      </c>
    </row>
    <row r="403" spans="1:1" x14ac:dyDescent="0.25">
      <c r="A403" s="6">
        <f>'Momentum Signal'!A403</f>
        <v>200806</v>
      </c>
    </row>
    <row r="404" spans="1:1" x14ac:dyDescent="0.25">
      <c r="A404" s="6">
        <f>'Momentum Signal'!A404</f>
        <v>200807</v>
      </c>
    </row>
    <row r="405" spans="1:1" x14ac:dyDescent="0.25">
      <c r="A405" s="6">
        <f>'Momentum Signal'!A405</f>
        <v>200808</v>
      </c>
    </row>
    <row r="406" spans="1:1" x14ac:dyDescent="0.25">
      <c r="A406" s="6">
        <f>'Momentum Signal'!A406</f>
        <v>200809</v>
      </c>
    </row>
    <row r="407" spans="1:1" x14ac:dyDescent="0.25">
      <c r="A407" s="6">
        <f>'Momentum Signal'!A407</f>
        <v>200810</v>
      </c>
    </row>
    <row r="408" spans="1:1" x14ac:dyDescent="0.25">
      <c r="A408" s="6">
        <f>'Momentum Signal'!A408</f>
        <v>200811</v>
      </c>
    </row>
    <row r="409" spans="1:1" x14ac:dyDescent="0.25">
      <c r="A409" s="6">
        <f>'Momentum Signal'!A409</f>
        <v>200812</v>
      </c>
    </row>
    <row r="410" spans="1:1" x14ac:dyDescent="0.25">
      <c r="A410" s="6">
        <f>'Momentum Signal'!A410</f>
        <v>200901</v>
      </c>
    </row>
    <row r="411" spans="1:1" x14ac:dyDescent="0.25">
      <c r="A411" s="6">
        <f>'Momentum Signal'!A411</f>
        <v>200902</v>
      </c>
    </row>
    <row r="412" spans="1:1" x14ac:dyDescent="0.25">
      <c r="A412" s="6">
        <f>'Momentum Signal'!A412</f>
        <v>200903</v>
      </c>
    </row>
    <row r="413" spans="1:1" x14ac:dyDescent="0.25">
      <c r="A413" s="6">
        <f>'Momentum Signal'!A413</f>
        <v>200904</v>
      </c>
    </row>
    <row r="414" spans="1:1" x14ac:dyDescent="0.25">
      <c r="A414" s="6">
        <f>'Momentum Signal'!A414</f>
        <v>200905</v>
      </c>
    </row>
    <row r="415" spans="1:1" x14ac:dyDescent="0.25">
      <c r="A415" s="6">
        <f>'Momentum Signal'!A415</f>
        <v>200906</v>
      </c>
    </row>
    <row r="416" spans="1:1" x14ac:dyDescent="0.25">
      <c r="A416" s="6">
        <f>'Momentum Signal'!A416</f>
        <v>200907</v>
      </c>
    </row>
    <row r="417" spans="1:1" x14ac:dyDescent="0.25">
      <c r="A417" s="6">
        <f>'Momentum Signal'!A417</f>
        <v>200908</v>
      </c>
    </row>
    <row r="418" spans="1:1" x14ac:dyDescent="0.25">
      <c r="A418" s="6">
        <f>'Momentum Signal'!A418</f>
        <v>200909</v>
      </c>
    </row>
    <row r="419" spans="1:1" x14ac:dyDescent="0.25">
      <c r="A419" s="6">
        <f>'Momentum Signal'!A419</f>
        <v>200910</v>
      </c>
    </row>
    <row r="420" spans="1:1" x14ac:dyDescent="0.25">
      <c r="A420" s="6">
        <f>'Momentum Signal'!A420</f>
        <v>200911</v>
      </c>
    </row>
    <row r="421" spans="1:1" x14ac:dyDescent="0.25">
      <c r="A421" s="6">
        <f>'Momentum Signal'!A421</f>
        <v>200912</v>
      </c>
    </row>
    <row r="422" spans="1:1" x14ac:dyDescent="0.25">
      <c r="A422" s="6">
        <f>'Momentum Signal'!A422</f>
        <v>201001</v>
      </c>
    </row>
    <row r="423" spans="1:1" x14ac:dyDescent="0.25">
      <c r="A423" s="6">
        <f>'Momentum Signal'!A423</f>
        <v>201002</v>
      </c>
    </row>
    <row r="424" spans="1:1" x14ac:dyDescent="0.25">
      <c r="A424" s="6">
        <f>'Momentum Signal'!A424</f>
        <v>201003</v>
      </c>
    </row>
    <row r="425" spans="1:1" x14ac:dyDescent="0.25">
      <c r="A425" s="6">
        <f>'Momentum Signal'!A425</f>
        <v>201004</v>
      </c>
    </row>
    <row r="426" spans="1:1" x14ac:dyDescent="0.25">
      <c r="A426" s="6">
        <f>'Momentum Signal'!A426</f>
        <v>201005</v>
      </c>
    </row>
    <row r="427" spans="1:1" x14ac:dyDescent="0.25">
      <c r="A427" s="6">
        <f>'Momentum Signal'!A427</f>
        <v>201006</v>
      </c>
    </row>
    <row r="428" spans="1:1" x14ac:dyDescent="0.25">
      <c r="A428" s="6">
        <f>'Momentum Signal'!A428</f>
        <v>201007</v>
      </c>
    </row>
    <row r="429" spans="1:1" x14ac:dyDescent="0.25">
      <c r="A429" s="6">
        <f>'Momentum Signal'!A429</f>
        <v>201008</v>
      </c>
    </row>
    <row r="430" spans="1:1" x14ac:dyDescent="0.25">
      <c r="A430" s="6">
        <f>'Momentum Signal'!A430</f>
        <v>201009</v>
      </c>
    </row>
    <row r="431" spans="1:1" x14ac:dyDescent="0.25">
      <c r="A431" s="6">
        <f>'Momentum Signal'!A431</f>
        <v>201010</v>
      </c>
    </row>
    <row r="432" spans="1:1" x14ac:dyDescent="0.25">
      <c r="A432" s="6">
        <f>'Momentum Signal'!A432</f>
        <v>201011</v>
      </c>
    </row>
    <row r="433" spans="1:1" x14ac:dyDescent="0.25">
      <c r="A433" s="6">
        <f>'Momentum Signal'!A433</f>
        <v>201012</v>
      </c>
    </row>
    <row r="434" spans="1:1" x14ac:dyDescent="0.25">
      <c r="A434" s="6">
        <f>'Momentum Signal'!A434</f>
        <v>201101</v>
      </c>
    </row>
    <row r="435" spans="1:1" x14ac:dyDescent="0.25">
      <c r="A435" s="6">
        <f>'Momentum Signal'!A435</f>
        <v>201102</v>
      </c>
    </row>
    <row r="436" spans="1:1" x14ac:dyDescent="0.25">
      <c r="A436" s="6">
        <f>'Momentum Signal'!A436</f>
        <v>201103</v>
      </c>
    </row>
    <row r="437" spans="1:1" x14ac:dyDescent="0.25">
      <c r="A437" s="6">
        <f>'Momentum Signal'!A437</f>
        <v>201104</v>
      </c>
    </row>
    <row r="438" spans="1:1" x14ac:dyDescent="0.25">
      <c r="A438" s="6">
        <f>'Momentum Signal'!A438</f>
        <v>201105</v>
      </c>
    </row>
    <row r="439" spans="1:1" x14ac:dyDescent="0.25">
      <c r="A439" s="6">
        <f>'Momentum Signal'!A439</f>
        <v>201106</v>
      </c>
    </row>
    <row r="440" spans="1:1" x14ac:dyDescent="0.25">
      <c r="A440" s="6">
        <f>'Momentum Signal'!A440</f>
        <v>201107</v>
      </c>
    </row>
    <row r="441" spans="1:1" x14ac:dyDescent="0.25">
      <c r="A441" s="6">
        <f>'Momentum Signal'!A441</f>
        <v>201108</v>
      </c>
    </row>
    <row r="442" spans="1:1" x14ac:dyDescent="0.25">
      <c r="A442" s="6">
        <f>'Momentum Signal'!A442</f>
        <v>201109</v>
      </c>
    </row>
    <row r="443" spans="1:1" x14ac:dyDescent="0.25">
      <c r="A443" s="6">
        <f>'Momentum Signal'!A443</f>
        <v>201110</v>
      </c>
    </row>
    <row r="444" spans="1:1" x14ac:dyDescent="0.25">
      <c r="A444" s="6">
        <f>'Momentum Signal'!A444</f>
        <v>201111</v>
      </c>
    </row>
    <row r="445" spans="1:1" x14ac:dyDescent="0.25">
      <c r="A445" s="6">
        <f>'Momentum Signal'!A445</f>
        <v>201112</v>
      </c>
    </row>
    <row r="446" spans="1:1" x14ac:dyDescent="0.25">
      <c r="A446" s="6">
        <f>'Momentum Signal'!A446</f>
        <v>201201</v>
      </c>
    </row>
    <row r="447" spans="1:1" x14ac:dyDescent="0.25">
      <c r="A447" s="6">
        <f>'Momentum Signal'!A447</f>
        <v>201202</v>
      </c>
    </row>
    <row r="448" spans="1:1" x14ac:dyDescent="0.25">
      <c r="A448" s="6">
        <f>'Momentum Signal'!A448</f>
        <v>201203</v>
      </c>
    </row>
    <row r="449" spans="1:1" x14ac:dyDescent="0.25">
      <c r="A449" s="6">
        <f>'Momentum Signal'!A449</f>
        <v>201204</v>
      </c>
    </row>
    <row r="450" spans="1:1" x14ac:dyDescent="0.25">
      <c r="A450" s="6">
        <f>'Momentum Signal'!A450</f>
        <v>201205</v>
      </c>
    </row>
    <row r="451" spans="1:1" x14ac:dyDescent="0.25">
      <c r="A451" s="6">
        <f>'Momentum Signal'!A451</f>
        <v>201206</v>
      </c>
    </row>
    <row r="452" spans="1:1" x14ac:dyDescent="0.25">
      <c r="A452" s="6">
        <f>'Momentum Signal'!A452</f>
        <v>201207</v>
      </c>
    </row>
    <row r="453" spans="1:1" x14ac:dyDescent="0.25">
      <c r="A453" s="6">
        <f>'Momentum Signal'!A453</f>
        <v>201208</v>
      </c>
    </row>
    <row r="454" spans="1:1" x14ac:dyDescent="0.25">
      <c r="A454" s="6">
        <f>'Momentum Signal'!A454</f>
        <v>201209</v>
      </c>
    </row>
    <row r="455" spans="1:1" x14ac:dyDescent="0.25">
      <c r="A455" s="6">
        <f>'Momentum Signal'!A455</f>
        <v>201210</v>
      </c>
    </row>
    <row r="456" spans="1:1" x14ac:dyDescent="0.25">
      <c r="A456" s="6">
        <f>'Momentum Signal'!A456</f>
        <v>201211</v>
      </c>
    </row>
    <row r="457" spans="1:1" x14ac:dyDescent="0.25">
      <c r="A457" s="6">
        <f>'Momentum Signal'!A457</f>
        <v>201212</v>
      </c>
    </row>
    <row r="458" spans="1:1" x14ac:dyDescent="0.25">
      <c r="A458" s="6">
        <f>'Momentum Signal'!A458</f>
        <v>201301</v>
      </c>
    </row>
    <row r="459" spans="1:1" x14ac:dyDescent="0.25">
      <c r="A459" s="6">
        <f>'Momentum Signal'!A459</f>
        <v>201302</v>
      </c>
    </row>
    <row r="460" spans="1:1" x14ac:dyDescent="0.25">
      <c r="A460" s="6">
        <f>'Momentum Signal'!A460</f>
        <v>201303</v>
      </c>
    </row>
    <row r="461" spans="1:1" x14ac:dyDescent="0.25">
      <c r="A461" s="6">
        <f>'Momentum Signal'!A461</f>
        <v>201304</v>
      </c>
    </row>
    <row r="462" spans="1:1" x14ac:dyDescent="0.25">
      <c r="A462" s="6">
        <f>'Momentum Signal'!A462</f>
        <v>201305</v>
      </c>
    </row>
    <row r="463" spans="1:1" x14ac:dyDescent="0.25">
      <c r="A463" s="6">
        <f>'Momentum Signal'!A463</f>
        <v>201306</v>
      </c>
    </row>
    <row r="464" spans="1:1" x14ac:dyDescent="0.25">
      <c r="A464" s="6">
        <f>'Momentum Signal'!A464</f>
        <v>201307</v>
      </c>
    </row>
    <row r="465" spans="1:1" x14ac:dyDescent="0.25">
      <c r="A465" s="6">
        <f>'Momentum Signal'!A465</f>
        <v>201308</v>
      </c>
    </row>
    <row r="466" spans="1:1" x14ac:dyDescent="0.25">
      <c r="A466" s="6">
        <f>'Momentum Signal'!A466</f>
        <v>201309</v>
      </c>
    </row>
    <row r="467" spans="1:1" x14ac:dyDescent="0.25">
      <c r="A467" s="6">
        <f>'Momentum Signal'!A467</f>
        <v>201310</v>
      </c>
    </row>
    <row r="468" spans="1:1" x14ac:dyDescent="0.25">
      <c r="A468" s="6">
        <f>'Momentum Signal'!A468</f>
        <v>201311</v>
      </c>
    </row>
    <row r="469" spans="1:1" x14ac:dyDescent="0.25">
      <c r="A469" s="6">
        <f>'Momentum Signal'!A469</f>
        <v>201312</v>
      </c>
    </row>
    <row r="470" spans="1:1" x14ac:dyDescent="0.25">
      <c r="A470" s="6">
        <f>'Momentum Signal'!A470</f>
        <v>201401</v>
      </c>
    </row>
    <row r="471" spans="1:1" x14ac:dyDescent="0.25">
      <c r="A471" s="6">
        <f>'Momentum Signal'!A471</f>
        <v>201402</v>
      </c>
    </row>
    <row r="472" spans="1:1" x14ac:dyDescent="0.25">
      <c r="A472" s="6">
        <f>'Momentum Signal'!A472</f>
        <v>201403</v>
      </c>
    </row>
    <row r="473" spans="1:1" x14ac:dyDescent="0.25">
      <c r="A473" s="6">
        <f>'Momentum Signal'!A473</f>
        <v>201404</v>
      </c>
    </row>
    <row r="474" spans="1:1" x14ac:dyDescent="0.25">
      <c r="A474" s="6">
        <f>'Momentum Signal'!A474</f>
        <v>201405</v>
      </c>
    </row>
    <row r="475" spans="1:1" x14ac:dyDescent="0.25">
      <c r="A475" s="6">
        <f>'Momentum Signal'!A475</f>
        <v>201406</v>
      </c>
    </row>
    <row r="476" spans="1:1" x14ac:dyDescent="0.25">
      <c r="A476" s="6">
        <f>'Momentum Signal'!A476</f>
        <v>201407</v>
      </c>
    </row>
    <row r="477" spans="1:1" x14ac:dyDescent="0.25">
      <c r="A477" s="6">
        <f>'Momentum Signal'!A477</f>
        <v>201408</v>
      </c>
    </row>
    <row r="478" spans="1:1" x14ac:dyDescent="0.25">
      <c r="A478" s="6">
        <f>'Momentum Signal'!A478</f>
        <v>201409</v>
      </c>
    </row>
    <row r="479" spans="1:1" x14ac:dyDescent="0.25">
      <c r="A479" s="6">
        <f>'Momentum Signal'!A479</f>
        <v>201410</v>
      </c>
    </row>
    <row r="480" spans="1:1" x14ac:dyDescent="0.25">
      <c r="A480" s="6">
        <f>'Momentum Signal'!A480</f>
        <v>201411</v>
      </c>
    </row>
    <row r="481" spans="1:1" x14ac:dyDescent="0.25">
      <c r="A481" s="6">
        <f>'Momentum Signal'!A481</f>
        <v>201412</v>
      </c>
    </row>
    <row r="482" spans="1:1" x14ac:dyDescent="0.25">
      <c r="A482" s="6">
        <f>'Momentum Signal'!A482</f>
        <v>201501</v>
      </c>
    </row>
    <row r="483" spans="1:1" x14ac:dyDescent="0.25">
      <c r="A483" s="6">
        <f>'Momentum Signal'!A483</f>
        <v>201502</v>
      </c>
    </row>
    <row r="484" spans="1:1" x14ac:dyDescent="0.25">
      <c r="A484" s="6">
        <f>'Momentum Signal'!A484</f>
        <v>201503</v>
      </c>
    </row>
    <row r="485" spans="1:1" x14ac:dyDescent="0.25">
      <c r="A485" s="6">
        <f>'Momentum Signal'!A485</f>
        <v>201504</v>
      </c>
    </row>
    <row r="486" spans="1:1" x14ac:dyDescent="0.25">
      <c r="A486" s="6">
        <f>'Momentum Signal'!A486</f>
        <v>201505</v>
      </c>
    </row>
    <row r="487" spans="1:1" x14ac:dyDescent="0.25">
      <c r="A487" s="6">
        <f>'Momentum Signal'!A487</f>
        <v>201506</v>
      </c>
    </row>
    <row r="488" spans="1:1" x14ac:dyDescent="0.25">
      <c r="A488" s="6">
        <f>'Momentum Signal'!A488</f>
        <v>201507</v>
      </c>
    </row>
    <row r="489" spans="1:1" x14ac:dyDescent="0.25">
      <c r="A489" s="6">
        <f>'Momentum Signal'!A489</f>
        <v>201508</v>
      </c>
    </row>
    <row r="490" spans="1:1" x14ac:dyDescent="0.25">
      <c r="A490" s="6">
        <f>'Momentum Signal'!A490</f>
        <v>201509</v>
      </c>
    </row>
    <row r="491" spans="1:1" x14ac:dyDescent="0.25">
      <c r="A491" s="6">
        <f>'Momentum Signal'!A491</f>
        <v>201510</v>
      </c>
    </row>
    <row r="492" spans="1:1" x14ac:dyDescent="0.25">
      <c r="A492" s="6">
        <f>'Momentum Signal'!A492</f>
        <v>201511</v>
      </c>
    </row>
    <row r="493" spans="1:1" x14ac:dyDescent="0.25">
      <c r="A493" s="6">
        <f>'Momentum Signal'!A493</f>
        <v>201512</v>
      </c>
    </row>
    <row r="494" spans="1:1" x14ac:dyDescent="0.25">
      <c r="A494" s="6">
        <f>'Momentum Signal'!A494</f>
        <v>201601</v>
      </c>
    </row>
    <row r="495" spans="1:1" x14ac:dyDescent="0.25">
      <c r="A495" s="6">
        <f>'Momentum Signal'!A495</f>
        <v>201602</v>
      </c>
    </row>
    <row r="496" spans="1:1" x14ac:dyDescent="0.25">
      <c r="A496" s="6">
        <f>'Momentum Signal'!A496</f>
        <v>201603</v>
      </c>
    </row>
    <row r="497" spans="1:1" x14ac:dyDescent="0.25">
      <c r="A497" s="6">
        <f>'Momentum Signal'!A497</f>
        <v>201604</v>
      </c>
    </row>
    <row r="498" spans="1:1" x14ac:dyDescent="0.25">
      <c r="A498" s="6">
        <f>'Momentum Signal'!A498</f>
        <v>201605</v>
      </c>
    </row>
    <row r="499" spans="1:1" x14ac:dyDescent="0.25">
      <c r="A499" s="6">
        <f>'Momentum Signal'!A499</f>
        <v>201606</v>
      </c>
    </row>
    <row r="500" spans="1:1" x14ac:dyDescent="0.25">
      <c r="A500" s="6">
        <f>'Momentum Signal'!A500</f>
        <v>201607</v>
      </c>
    </row>
    <row r="501" spans="1:1" x14ac:dyDescent="0.25">
      <c r="A501" s="6">
        <f>'Momentum Signal'!A501</f>
        <v>201608</v>
      </c>
    </row>
    <row r="502" spans="1:1" x14ac:dyDescent="0.25">
      <c r="A502" s="6">
        <f>'Momentum Signal'!A502</f>
        <v>201609</v>
      </c>
    </row>
    <row r="503" spans="1:1" x14ac:dyDescent="0.25">
      <c r="A503" s="6">
        <f>'Momentum Signal'!A503</f>
        <v>201610</v>
      </c>
    </row>
    <row r="504" spans="1:1" x14ac:dyDescent="0.25">
      <c r="A504" s="6">
        <f>'Momentum Signal'!A504</f>
        <v>201611</v>
      </c>
    </row>
    <row r="505" spans="1:1" x14ac:dyDescent="0.25">
      <c r="A505" s="6">
        <f>'Momentum Signal'!A505</f>
        <v>201612</v>
      </c>
    </row>
    <row r="506" spans="1:1" x14ac:dyDescent="0.25">
      <c r="A506" s="6">
        <f>'Momentum Signal'!A506</f>
        <v>201701</v>
      </c>
    </row>
    <row r="507" spans="1:1" x14ac:dyDescent="0.25">
      <c r="A507" s="6">
        <f>'Momentum Signal'!A507</f>
        <v>201702</v>
      </c>
    </row>
    <row r="508" spans="1:1" x14ac:dyDescent="0.25">
      <c r="A508" s="6">
        <f>'Momentum Signal'!A508</f>
        <v>201703</v>
      </c>
    </row>
    <row r="509" spans="1:1" x14ac:dyDescent="0.25">
      <c r="A509" s="6">
        <f>'Momentum Signal'!A509</f>
        <v>201704</v>
      </c>
    </row>
    <row r="510" spans="1:1" x14ac:dyDescent="0.25">
      <c r="A510" s="6">
        <f>'Momentum Signal'!A510</f>
        <v>201705</v>
      </c>
    </row>
    <row r="511" spans="1:1" x14ac:dyDescent="0.25">
      <c r="A511" s="6">
        <f>'Momentum Signal'!A511</f>
        <v>201706</v>
      </c>
    </row>
    <row r="512" spans="1:1" x14ac:dyDescent="0.25">
      <c r="A512" s="6">
        <f>'Momentum Signal'!A512</f>
        <v>201707</v>
      </c>
    </row>
    <row r="513" spans="1:1" x14ac:dyDescent="0.25">
      <c r="A513" s="6">
        <f>'Momentum Signal'!A513</f>
        <v>201708</v>
      </c>
    </row>
    <row r="514" spans="1:1" x14ac:dyDescent="0.25">
      <c r="A514" s="6">
        <f>'Momentum Signal'!A514</f>
        <v>201709</v>
      </c>
    </row>
    <row r="515" spans="1:1" x14ac:dyDescent="0.25">
      <c r="A515" s="6">
        <f>'Momentum Signal'!A515</f>
        <v>201710</v>
      </c>
    </row>
    <row r="516" spans="1:1" x14ac:dyDescent="0.25">
      <c r="A516" s="6">
        <f>'Momentum Signal'!A516</f>
        <v>201711</v>
      </c>
    </row>
    <row r="517" spans="1:1" x14ac:dyDescent="0.25">
      <c r="A517" s="6">
        <f>'Momentum Signal'!A517</f>
        <v>201712</v>
      </c>
    </row>
    <row r="518" spans="1:1" x14ac:dyDescent="0.25">
      <c r="A518" s="6">
        <f>'Momentum Signal'!A518</f>
        <v>201801</v>
      </c>
    </row>
    <row r="519" spans="1:1" x14ac:dyDescent="0.25">
      <c r="A519" s="6">
        <f>'Momentum Signal'!A519</f>
        <v>201802</v>
      </c>
    </row>
    <row r="520" spans="1:1" x14ac:dyDescent="0.25">
      <c r="A520" s="6">
        <f>'Momentum Signal'!A520</f>
        <v>201803</v>
      </c>
    </row>
    <row r="521" spans="1:1" x14ac:dyDescent="0.25">
      <c r="A521" s="6">
        <f>'Momentum Signal'!A521</f>
        <v>201804</v>
      </c>
    </row>
    <row r="522" spans="1:1" x14ac:dyDescent="0.25">
      <c r="A522" s="6">
        <f>'Momentum Signal'!A522</f>
        <v>201805</v>
      </c>
    </row>
    <row r="523" spans="1:1" x14ac:dyDescent="0.25">
      <c r="A523" s="6">
        <f>'Momentum Signal'!A523</f>
        <v>201806</v>
      </c>
    </row>
    <row r="524" spans="1:1" x14ac:dyDescent="0.25">
      <c r="A524" s="6">
        <f>'Momentum Signal'!A524</f>
        <v>201807</v>
      </c>
    </row>
    <row r="525" spans="1:1" x14ac:dyDescent="0.25">
      <c r="A525" s="6">
        <f>'Momentum Signal'!A525</f>
        <v>201808</v>
      </c>
    </row>
    <row r="526" spans="1:1" x14ac:dyDescent="0.25">
      <c r="A526" s="6">
        <f>'Momentum Signal'!A526</f>
        <v>201809</v>
      </c>
    </row>
    <row r="527" spans="1:1" x14ac:dyDescent="0.25">
      <c r="A527" s="6">
        <f>'Momentum Signal'!A527</f>
        <v>201810</v>
      </c>
    </row>
    <row r="528" spans="1:1" x14ac:dyDescent="0.25">
      <c r="A528" s="6">
        <f>'Momentum Signal'!A528</f>
        <v>201811</v>
      </c>
    </row>
    <row r="529" spans="1:1" x14ac:dyDescent="0.25">
      <c r="A529" s="6">
        <f>'Momentum Signal'!A529</f>
        <v>201812</v>
      </c>
    </row>
    <row r="530" spans="1:1" x14ac:dyDescent="0.25">
      <c r="A530" s="6">
        <f>'Momentum Signal'!A530</f>
        <v>201901</v>
      </c>
    </row>
    <row r="531" spans="1:1" x14ac:dyDescent="0.25">
      <c r="A531" s="6">
        <f>'Momentum Signal'!A531</f>
        <v>201902</v>
      </c>
    </row>
    <row r="532" spans="1:1" x14ac:dyDescent="0.25">
      <c r="A532" s="6">
        <f>'Momentum Signal'!A532</f>
        <v>201903</v>
      </c>
    </row>
    <row r="533" spans="1:1" x14ac:dyDescent="0.25">
      <c r="A533" s="6">
        <f>'Momentum Signal'!A533</f>
        <v>201904</v>
      </c>
    </row>
    <row r="534" spans="1:1" x14ac:dyDescent="0.25">
      <c r="A534" s="6">
        <f>'Momentum Signal'!A534</f>
        <v>201905</v>
      </c>
    </row>
    <row r="535" spans="1:1" x14ac:dyDescent="0.25">
      <c r="A535" s="6">
        <f>'Momentum Signal'!A535</f>
        <v>201906</v>
      </c>
    </row>
    <row r="536" spans="1:1" x14ac:dyDescent="0.25">
      <c r="A536" s="6">
        <f>'Momentum Signal'!A536</f>
        <v>201907</v>
      </c>
    </row>
    <row r="537" spans="1:1" x14ac:dyDescent="0.25">
      <c r="A537" s="6">
        <f>'Momentum Signal'!A537</f>
        <v>201908</v>
      </c>
    </row>
    <row r="538" spans="1:1" x14ac:dyDescent="0.25">
      <c r="A538" s="6">
        <f>'Momentum Signal'!A538</f>
        <v>201909</v>
      </c>
    </row>
    <row r="539" spans="1:1" x14ac:dyDescent="0.25">
      <c r="A539" s="6">
        <f>'Momentum Signal'!A539</f>
        <v>201910</v>
      </c>
    </row>
    <row r="540" spans="1:1" x14ac:dyDescent="0.25">
      <c r="A540" s="6">
        <f>'Momentum Signal'!A540</f>
        <v>201911</v>
      </c>
    </row>
    <row r="541" spans="1:1" x14ac:dyDescent="0.25">
      <c r="A541" s="6">
        <f>'Momentum Signal'!A541</f>
        <v>201912</v>
      </c>
    </row>
    <row r="542" spans="1:1" x14ac:dyDescent="0.25">
      <c r="A542" s="6">
        <f>'Momentum Signal'!A542</f>
        <v>202001</v>
      </c>
    </row>
    <row r="543" spans="1:1" x14ac:dyDescent="0.25">
      <c r="A543" s="6">
        <f>'Momentum Signal'!A543</f>
        <v>202002</v>
      </c>
    </row>
    <row r="544" spans="1:1" x14ac:dyDescent="0.25">
      <c r="A544" s="6">
        <f>'Momentum Signal'!A544</f>
        <v>202003</v>
      </c>
    </row>
    <row r="545" spans="1:1" x14ac:dyDescent="0.25">
      <c r="A545" s="6">
        <f>'Momentum Signal'!A545</f>
        <v>202004</v>
      </c>
    </row>
    <row r="546" spans="1:1" x14ac:dyDescent="0.25">
      <c r="A546" s="6">
        <f>'Momentum Signal'!A546</f>
        <v>202005</v>
      </c>
    </row>
    <row r="547" spans="1:1" x14ac:dyDescent="0.25">
      <c r="A547" s="6">
        <f>'Momentum Signal'!A547</f>
        <v>202006</v>
      </c>
    </row>
    <row r="548" spans="1:1" x14ac:dyDescent="0.25">
      <c r="A548" s="6">
        <f>'Momentum Signal'!A548</f>
        <v>202007</v>
      </c>
    </row>
    <row r="549" spans="1:1" x14ac:dyDescent="0.25">
      <c r="A549" s="6">
        <f>'Momentum Signal'!A549</f>
        <v>202008</v>
      </c>
    </row>
    <row r="550" spans="1:1" x14ac:dyDescent="0.25">
      <c r="A550" s="6">
        <f>'Momentum Signal'!A550</f>
        <v>202009</v>
      </c>
    </row>
    <row r="551" spans="1:1" x14ac:dyDescent="0.25">
      <c r="A551" s="6">
        <f>'Momentum Signal'!A551</f>
        <v>202010</v>
      </c>
    </row>
    <row r="552" spans="1:1" x14ac:dyDescent="0.25">
      <c r="A552" s="6">
        <f>'Momentum Signal'!A552</f>
        <v>202011</v>
      </c>
    </row>
    <row r="553" spans="1:1" x14ac:dyDescent="0.25">
      <c r="A553" s="6">
        <f>'Momentum Signal'!A553</f>
        <v>202012</v>
      </c>
    </row>
    <row r="554" spans="1:1" x14ac:dyDescent="0.25">
      <c r="A554" s="6">
        <f>'Momentum Signal'!A554</f>
        <v>202101</v>
      </c>
    </row>
    <row r="555" spans="1:1" x14ac:dyDescent="0.25">
      <c r="A555" s="6">
        <f>'Momentum Signal'!A555</f>
        <v>202102</v>
      </c>
    </row>
    <row r="556" spans="1:1" x14ac:dyDescent="0.25">
      <c r="A556" s="6">
        <f>'Momentum Signal'!A556</f>
        <v>202103</v>
      </c>
    </row>
    <row r="557" spans="1:1" x14ac:dyDescent="0.25">
      <c r="A557" s="6">
        <f>'Momentum Signal'!A557</f>
        <v>202104</v>
      </c>
    </row>
    <row r="558" spans="1:1" x14ac:dyDescent="0.25">
      <c r="A558" s="6">
        <f>'Momentum Signal'!A558</f>
        <v>202105</v>
      </c>
    </row>
    <row r="559" spans="1:1" x14ac:dyDescent="0.25">
      <c r="A559" s="6">
        <f>'Momentum Signal'!A559</f>
        <v>202106</v>
      </c>
    </row>
    <row r="560" spans="1:1" x14ac:dyDescent="0.25">
      <c r="A560" s="6">
        <f>'Momentum Signal'!A560</f>
        <v>202107</v>
      </c>
    </row>
    <row r="561" spans="1:1" x14ac:dyDescent="0.25">
      <c r="A561" s="6">
        <f>'Momentum Signal'!A561</f>
        <v>202108</v>
      </c>
    </row>
    <row r="562" spans="1:1" x14ac:dyDescent="0.25">
      <c r="A562" s="6">
        <f>'Momentum Signal'!A562</f>
        <v>202109</v>
      </c>
    </row>
    <row r="563" spans="1:1" x14ac:dyDescent="0.25">
      <c r="A563" s="6">
        <f>'Momentum Signal'!A563</f>
        <v>202110</v>
      </c>
    </row>
    <row r="564" spans="1:1" x14ac:dyDescent="0.25">
      <c r="A564" s="6">
        <f>'Momentum Signal'!A564</f>
        <v>202111</v>
      </c>
    </row>
    <row r="565" spans="1:1" x14ac:dyDescent="0.25">
      <c r="A565" s="6">
        <f>'Momentum Signal'!A565</f>
        <v>202112</v>
      </c>
    </row>
    <row r="566" spans="1:1" x14ac:dyDescent="0.25">
      <c r="A566" s="6">
        <f>'Momentum Signal'!A566</f>
        <v>202201</v>
      </c>
    </row>
    <row r="567" spans="1:1" x14ac:dyDescent="0.25">
      <c r="A567" s="6">
        <f>'Momentum Signal'!A567</f>
        <v>202202</v>
      </c>
    </row>
    <row r="568" spans="1:1" x14ac:dyDescent="0.25">
      <c r="A568" s="6">
        <f>'Momentum Signal'!A568</f>
        <v>202203</v>
      </c>
    </row>
    <row r="569" spans="1:1" x14ac:dyDescent="0.25">
      <c r="A569" s="6">
        <f>'Momentum Signal'!A569</f>
        <v>202204</v>
      </c>
    </row>
    <row r="570" spans="1:1" x14ac:dyDescent="0.25">
      <c r="A570" s="6">
        <f>'Momentum Signal'!A570</f>
        <v>202205</v>
      </c>
    </row>
    <row r="571" spans="1:1" x14ac:dyDescent="0.25">
      <c r="A571" s="6">
        <f>'Momentum Signal'!A571</f>
        <v>202206</v>
      </c>
    </row>
    <row r="572" spans="1:1" x14ac:dyDescent="0.25">
      <c r="A572" s="6">
        <f>'Momentum Signal'!A572</f>
        <v>202207</v>
      </c>
    </row>
    <row r="573" spans="1:1" x14ac:dyDescent="0.25">
      <c r="A573" s="6">
        <f>'Momentum Signal'!A573</f>
        <v>202208</v>
      </c>
    </row>
    <row r="574" spans="1:1" x14ac:dyDescent="0.25">
      <c r="A574" s="6">
        <f>'Momentum Signal'!A574</f>
        <v>202209</v>
      </c>
    </row>
    <row r="575" spans="1:1" x14ac:dyDescent="0.25">
      <c r="A575" s="6">
        <f>'Momentum Signal'!A575</f>
        <v>202210</v>
      </c>
    </row>
    <row r="576" spans="1:1" x14ac:dyDescent="0.25">
      <c r="A576" s="6">
        <f>'Momentum Signal'!A576</f>
        <v>202211</v>
      </c>
    </row>
    <row r="577" spans="1:1" x14ac:dyDescent="0.25">
      <c r="A577" s="6">
        <f>'Momentum Signal'!A577</f>
        <v>202212</v>
      </c>
    </row>
    <row r="578" spans="1:1" x14ac:dyDescent="0.25">
      <c r="A578" s="6">
        <f>'Momentum Signal'!A578</f>
        <v>202301</v>
      </c>
    </row>
    <row r="579" spans="1:1" x14ac:dyDescent="0.25">
      <c r="A579" s="6">
        <f>'Momentum Signal'!A579</f>
        <v>202302</v>
      </c>
    </row>
    <row r="580" spans="1:1" x14ac:dyDescent="0.25">
      <c r="A580" s="6">
        <f>'Momentum Signal'!A580</f>
        <v>202303</v>
      </c>
    </row>
    <row r="581" spans="1:1" x14ac:dyDescent="0.25">
      <c r="A581" s="6">
        <f>'Momentum Signal'!A581</f>
        <v>202304</v>
      </c>
    </row>
    <row r="582" spans="1:1" x14ac:dyDescent="0.25">
      <c r="A582" s="6">
        <f>'Momentum Signal'!A582</f>
        <v>202305</v>
      </c>
    </row>
    <row r="583" spans="1:1" x14ac:dyDescent="0.25">
      <c r="A583" s="6">
        <f>'Momentum Signal'!A583</f>
        <v>202306</v>
      </c>
    </row>
    <row r="584" spans="1:1" x14ac:dyDescent="0.25">
      <c r="A584" s="6">
        <f>'Momentum Signal'!A584</f>
        <v>202307</v>
      </c>
    </row>
    <row r="585" spans="1:1" x14ac:dyDescent="0.25">
      <c r="A585" s="6">
        <f>'Momentum Signal'!A585</f>
        <v>202308</v>
      </c>
    </row>
    <row r="586" spans="1:1" x14ac:dyDescent="0.25">
      <c r="A586" s="6">
        <f>'Momentum Signal'!A586</f>
        <v>202309</v>
      </c>
    </row>
    <row r="587" spans="1:1" x14ac:dyDescent="0.25">
      <c r="A587" s="6">
        <f>'Momentum Signal'!A587</f>
        <v>202310</v>
      </c>
    </row>
    <row r="588" spans="1:1" x14ac:dyDescent="0.25">
      <c r="A588" s="6">
        <f>'Momentum Signal'!A588</f>
        <v>202311</v>
      </c>
    </row>
    <row r="589" spans="1:1" x14ac:dyDescent="0.25">
      <c r="A589" s="6">
        <f>'Momentum Signal'!A589</f>
        <v>202312</v>
      </c>
    </row>
    <row r="590" spans="1:1" x14ac:dyDescent="0.25">
      <c r="A590" s="6">
        <f>'Momentum Signal'!A590</f>
        <v>202401</v>
      </c>
    </row>
    <row r="591" spans="1:1" x14ac:dyDescent="0.25">
      <c r="A591" s="6">
        <f>'Momentum Signal'!A591</f>
        <v>202402</v>
      </c>
    </row>
    <row r="592" spans="1:1" x14ac:dyDescent="0.25">
      <c r="A592" s="6">
        <f>'Momentum Signal'!A592</f>
        <v>202403</v>
      </c>
    </row>
    <row r="593" spans="1:1" x14ac:dyDescent="0.25">
      <c r="A593" s="6">
        <f>'Momentum Signal'!A593</f>
        <v>202404</v>
      </c>
    </row>
    <row r="594" spans="1:1" x14ac:dyDescent="0.25">
      <c r="A594" s="6">
        <f>'Momentum Signal'!A594</f>
        <v>202405</v>
      </c>
    </row>
    <row r="595" spans="1:1" x14ac:dyDescent="0.25">
      <c r="A595" s="6">
        <f>'Momentum Signal'!A595</f>
        <v>202406</v>
      </c>
    </row>
    <row r="596" spans="1:1" x14ac:dyDescent="0.25">
      <c r="A596" s="6">
        <f>'Momentum Signal'!A596</f>
        <v>202407</v>
      </c>
    </row>
    <row r="597" spans="1:1" x14ac:dyDescent="0.25">
      <c r="A597" s="6">
        <f>'Momentum Signal'!A597</f>
        <v>202408</v>
      </c>
    </row>
    <row r="598" spans="1:1" x14ac:dyDescent="0.25">
      <c r="A598" s="6">
        <f>'Momentum Signal'!A598</f>
        <v>202409</v>
      </c>
    </row>
    <row r="599" spans="1:1" x14ac:dyDescent="0.25">
      <c r="A599" s="6">
        <f>'Momentum Signal'!A599</f>
        <v>202410</v>
      </c>
    </row>
    <row r="600" spans="1:1" x14ac:dyDescent="0.25">
      <c r="A600" s="6">
        <f>'Momentum Signal'!A600</f>
        <v>202411</v>
      </c>
    </row>
    <row r="601" spans="1:1" x14ac:dyDescent="0.25">
      <c r="A601" s="6">
        <f>'Momentum Signal'!A601</f>
        <v>202412</v>
      </c>
    </row>
    <row r="602" spans="1:1" x14ac:dyDescent="0.25">
      <c r="A602" s="6"/>
    </row>
    <row r="603" spans="1:1" x14ac:dyDescent="0.25">
      <c r="A603" s="6"/>
    </row>
    <row r="604" spans="1:1" x14ac:dyDescent="0.25">
      <c r="A604" s="6"/>
    </row>
    <row r="605" spans="1:1" x14ac:dyDescent="0.25">
      <c r="A605" s="6"/>
    </row>
    <row r="606" spans="1:1" x14ac:dyDescent="0.25">
      <c r="A606" s="6"/>
    </row>
    <row r="607" spans="1:1" x14ac:dyDescent="0.25">
      <c r="A607" s="6"/>
    </row>
    <row r="608" spans="1:1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3EED-09AF-4FEA-8B2A-BF80C68F7475}">
  <dimension ref="A1:AL732"/>
  <sheetViews>
    <sheetView zoomScaleNormal="100" workbookViewId="0"/>
  </sheetViews>
  <sheetFormatPr defaultColWidth="8.85546875" defaultRowHeight="15" x14ac:dyDescent="0.25"/>
  <cols>
    <col min="1" max="1" width="10.7109375" bestFit="1" customWidth="1"/>
    <col min="2" max="2" width="22.42578125" bestFit="1" customWidth="1"/>
    <col min="3" max="3" width="17" bestFit="1" customWidth="1"/>
    <col min="4" max="7" width="12" bestFit="1" customWidth="1"/>
    <col min="8" max="8" width="13.42578125" customWidth="1"/>
    <col min="9" max="10" width="12" bestFit="1" customWidth="1"/>
  </cols>
  <sheetData>
    <row r="1" spans="1:38" ht="21" x14ac:dyDescent="0.35">
      <c r="A1" s="2" t="s">
        <v>11</v>
      </c>
      <c r="S1" s="2" t="s">
        <v>1</v>
      </c>
      <c r="AK1" s="2" t="s">
        <v>2</v>
      </c>
    </row>
    <row r="2" spans="1:38" ht="15.75" thickBot="1" x14ac:dyDescent="0.3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28</v>
      </c>
      <c r="AL2" s="1" t="s">
        <v>3</v>
      </c>
    </row>
    <row r="3" spans="1:38" ht="15.75" thickTop="1" x14ac:dyDescent="0.25">
      <c r="A3" s="3">
        <f>ReturnData!A14</f>
        <v>197501</v>
      </c>
      <c r="B3">
        <f>IF('Monthly Ranks'!B2&lt;=8, 1/8,0)</f>
        <v>0</v>
      </c>
      <c r="C3">
        <f>IF('Monthly Ranks'!C2&lt;=8, 1/8,0)</f>
        <v>0.125</v>
      </c>
      <c r="D3">
        <f>IF('Monthly Ranks'!D2&lt;=8, 1/8,0)</f>
        <v>0</v>
      </c>
      <c r="E3">
        <f>IF('Monthly Ranks'!E2&lt;=8, 1/8,0)</f>
        <v>0</v>
      </c>
      <c r="F3">
        <f>IF('Monthly Ranks'!F2&lt;=8, 1/8,0)</f>
        <v>0</v>
      </c>
      <c r="G3">
        <f>IF('Monthly Ranks'!G2&lt;=8, 1/8,0)</f>
        <v>0.125</v>
      </c>
      <c r="H3">
        <f>IF('Monthly Ranks'!H2&lt;=8, 1/8,0)</f>
        <v>0.125</v>
      </c>
      <c r="I3">
        <f>IF('Monthly Ranks'!I2&lt;=8, 1/8,0)</f>
        <v>0.125</v>
      </c>
      <c r="J3">
        <f>IF('Monthly Ranks'!J2&lt;=8, 1/8,0)</f>
        <v>0.125</v>
      </c>
      <c r="K3">
        <f>IF('Monthly Ranks'!K2&lt;=8, 1/8,0)</f>
        <v>0</v>
      </c>
      <c r="L3">
        <f>IF('Monthly Ranks'!L2&lt;=8, 1/8,0)</f>
        <v>0</v>
      </c>
      <c r="M3">
        <f>IF('Monthly Ranks'!M2&lt;=8, 1/8,0)</f>
        <v>0.125</v>
      </c>
      <c r="N3">
        <f>IF('Monthly Ranks'!N2&lt;=8, 1/8,0)</f>
        <v>0.125</v>
      </c>
      <c r="O3">
        <f>IF('Monthly Ranks'!O2&lt;=8, 1/8,0)</f>
        <v>0.125</v>
      </c>
      <c r="P3">
        <f>IF('Monthly Ranks'!P2&lt;=8, 1/8,0)</f>
        <v>0</v>
      </c>
      <c r="Q3">
        <f>IF('Monthly Ranks'!Q2&lt;=8, 1/8,0)</f>
        <v>0</v>
      </c>
      <c r="S3">
        <f t="shared" ref="S3:S66" si="0">A3</f>
        <v>197501</v>
      </c>
      <c r="T3" s="16">
        <f>B3*ReturnData!B14</f>
        <v>0</v>
      </c>
      <c r="U3" s="16">
        <f>C3*ReturnData!C14</f>
        <v>1.4775E-2</v>
      </c>
      <c r="V3" s="16">
        <f>D3*ReturnData!D14</f>
        <v>0</v>
      </c>
      <c r="W3" s="16">
        <f>E3*ReturnData!E14</f>
        <v>0</v>
      </c>
      <c r="X3" s="16">
        <f>F3*ReturnData!F14</f>
        <v>0</v>
      </c>
      <c r="Y3" s="16">
        <f>G3*ReturnData!G14</f>
        <v>1.2762500000000001E-2</v>
      </c>
      <c r="Z3" s="16">
        <f>H3*ReturnData!H14</f>
        <v>2.9249999999999996E-3</v>
      </c>
      <c r="AA3" s="16">
        <f>I3*ReturnData!I14</f>
        <v>3.2625000000000001E-2</v>
      </c>
      <c r="AB3" s="16">
        <f>J3*ReturnData!J14</f>
        <v>2.2162500000000002E-2</v>
      </c>
      <c r="AC3" s="16">
        <f>K3*ReturnData!K14</f>
        <v>0</v>
      </c>
      <c r="AD3" s="16">
        <f>L3*ReturnData!L14</f>
        <v>0</v>
      </c>
      <c r="AE3" s="16">
        <f>M3*ReturnData!M14</f>
        <v>2.8462499999999998E-2</v>
      </c>
      <c r="AF3" s="16">
        <f>N3*ReturnData!N14</f>
        <v>2.2499999999999999E-2</v>
      </c>
      <c r="AG3" s="16">
        <f>O3*ReturnData!O14</f>
        <v>2.35E-2</v>
      </c>
      <c r="AH3" s="16">
        <f>P3*ReturnData!P14</f>
        <v>0</v>
      </c>
      <c r="AI3" s="16">
        <f>Q3*ReturnData!Q14</f>
        <v>0</v>
      </c>
      <c r="AK3" s="1">
        <f t="shared" ref="AK3:AK66" si="1">S3</f>
        <v>197501</v>
      </c>
      <c r="AL3" s="17">
        <f>SUM(T3:AI3)</f>
        <v>0.15971250000000001</v>
      </c>
    </row>
    <row r="4" spans="1:38" x14ac:dyDescent="0.25">
      <c r="A4" s="6">
        <f>ReturnData!A15</f>
        <v>197502</v>
      </c>
      <c r="S4">
        <f t="shared" si="0"/>
        <v>197502</v>
      </c>
      <c r="AK4">
        <f t="shared" si="1"/>
        <v>197502</v>
      </c>
      <c r="AL4" s="9"/>
    </row>
    <row r="5" spans="1:38" x14ac:dyDescent="0.25">
      <c r="A5" s="6">
        <f>ReturnData!A16</f>
        <v>197503</v>
      </c>
      <c r="S5">
        <f t="shared" si="0"/>
        <v>197503</v>
      </c>
      <c r="AK5">
        <f t="shared" si="1"/>
        <v>197503</v>
      </c>
      <c r="AL5" s="9"/>
    </row>
    <row r="6" spans="1:38" x14ac:dyDescent="0.25">
      <c r="A6" s="6">
        <f>ReturnData!A17</f>
        <v>197504</v>
      </c>
      <c r="S6">
        <f t="shared" si="0"/>
        <v>197504</v>
      </c>
      <c r="AK6">
        <f t="shared" si="1"/>
        <v>197504</v>
      </c>
      <c r="AL6" s="9"/>
    </row>
    <row r="7" spans="1:38" x14ac:dyDescent="0.25">
      <c r="A7" s="6">
        <f>ReturnData!A18</f>
        <v>197505</v>
      </c>
      <c r="S7">
        <f t="shared" si="0"/>
        <v>197505</v>
      </c>
      <c r="AK7">
        <f t="shared" si="1"/>
        <v>197505</v>
      </c>
      <c r="AL7" s="9"/>
    </row>
    <row r="8" spans="1:38" x14ac:dyDescent="0.25">
      <c r="A8" s="6">
        <f>ReturnData!A19</f>
        <v>197506</v>
      </c>
      <c r="S8">
        <f t="shared" si="0"/>
        <v>197506</v>
      </c>
      <c r="AK8">
        <f t="shared" si="1"/>
        <v>197506</v>
      </c>
      <c r="AL8" s="9"/>
    </row>
    <row r="9" spans="1:38" x14ac:dyDescent="0.25">
      <c r="A9" s="6">
        <f>ReturnData!A20</f>
        <v>197507</v>
      </c>
      <c r="S9">
        <f t="shared" si="0"/>
        <v>197507</v>
      </c>
      <c r="AK9">
        <f t="shared" si="1"/>
        <v>197507</v>
      </c>
      <c r="AL9" s="9"/>
    </row>
    <row r="10" spans="1:38" x14ac:dyDescent="0.25">
      <c r="A10" s="6">
        <f>ReturnData!A21</f>
        <v>197508</v>
      </c>
      <c r="S10">
        <f t="shared" si="0"/>
        <v>197508</v>
      </c>
      <c r="AK10">
        <f t="shared" si="1"/>
        <v>197508</v>
      </c>
      <c r="AL10" s="9"/>
    </row>
    <row r="11" spans="1:38" x14ac:dyDescent="0.25">
      <c r="A11" s="6">
        <f>ReturnData!A22</f>
        <v>197509</v>
      </c>
      <c r="S11">
        <f t="shared" si="0"/>
        <v>197509</v>
      </c>
      <c r="AK11">
        <f t="shared" si="1"/>
        <v>197509</v>
      </c>
      <c r="AL11" s="9"/>
    </row>
    <row r="12" spans="1:38" x14ac:dyDescent="0.25">
      <c r="A12" s="6">
        <f>ReturnData!A23</f>
        <v>197510</v>
      </c>
      <c r="S12">
        <f t="shared" si="0"/>
        <v>197510</v>
      </c>
      <c r="AK12">
        <f t="shared" si="1"/>
        <v>197510</v>
      </c>
      <c r="AL12" s="9"/>
    </row>
    <row r="13" spans="1:38" x14ac:dyDescent="0.25">
      <c r="A13" s="6">
        <f>ReturnData!A24</f>
        <v>197511</v>
      </c>
      <c r="S13">
        <f t="shared" si="0"/>
        <v>197511</v>
      </c>
      <c r="AK13">
        <f t="shared" si="1"/>
        <v>197511</v>
      </c>
      <c r="AL13" s="9"/>
    </row>
    <row r="14" spans="1:38" x14ac:dyDescent="0.25">
      <c r="A14" s="6">
        <f>ReturnData!A25</f>
        <v>197512</v>
      </c>
      <c r="S14">
        <f t="shared" si="0"/>
        <v>197512</v>
      </c>
      <c r="AK14">
        <f t="shared" si="1"/>
        <v>197512</v>
      </c>
      <c r="AL14" s="9"/>
    </row>
    <row r="15" spans="1:38" x14ac:dyDescent="0.25">
      <c r="A15" s="6">
        <f>ReturnData!A26</f>
        <v>197601</v>
      </c>
      <c r="S15">
        <f t="shared" si="0"/>
        <v>197601</v>
      </c>
      <c r="AK15">
        <f t="shared" si="1"/>
        <v>197601</v>
      </c>
      <c r="AL15" s="9"/>
    </row>
    <row r="16" spans="1:38" x14ac:dyDescent="0.25">
      <c r="A16" s="6">
        <f>ReturnData!A27</f>
        <v>197602</v>
      </c>
      <c r="S16">
        <f t="shared" si="0"/>
        <v>197602</v>
      </c>
      <c r="AK16">
        <f t="shared" si="1"/>
        <v>197602</v>
      </c>
      <c r="AL16" s="9"/>
    </row>
    <row r="17" spans="1:38" x14ac:dyDescent="0.25">
      <c r="A17" s="6">
        <f>ReturnData!A28</f>
        <v>197603</v>
      </c>
      <c r="S17">
        <f t="shared" si="0"/>
        <v>197603</v>
      </c>
      <c r="AK17">
        <f t="shared" si="1"/>
        <v>197603</v>
      </c>
      <c r="AL17" s="9"/>
    </row>
    <row r="18" spans="1:38" x14ac:dyDescent="0.25">
      <c r="A18" s="6">
        <f>ReturnData!A29</f>
        <v>197604</v>
      </c>
      <c r="S18">
        <f t="shared" si="0"/>
        <v>197604</v>
      </c>
      <c r="AK18">
        <f t="shared" si="1"/>
        <v>197604</v>
      </c>
      <c r="AL18" s="9"/>
    </row>
    <row r="19" spans="1:38" x14ac:dyDescent="0.25">
      <c r="A19" s="6">
        <f>ReturnData!A30</f>
        <v>197605</v>
      </c>
      <c r="S19">
        <f t="shared" si="0"/>
        <v>197605</v>
      </c>
      <c r="AK19">
        <f t="shared" si="1"/>
        <v>197605</v>
      </c>
      <c r="AL19" s="9"/>
    </row>
    <row r="20" spans="1:38" x14ac:dyDescent="0.25">
      <c r="A20" s="6">
        <f>ReturnData!A31</f>
        <v>197606</v>
      </c>
      <c r="S20">
        <f t="shared" si="0"/>
        <v>197606</v>
      </c>
      <c r="AK20">
        <f t="shared" si="1"/>
        <v>197606</v>
      </c>
      <c r="AL20" s="9"/>
    </row>
    <row r="21" spans="1:38" x14ac:dyDescent="0.25">
      <c r="A21" s="6">
        <f>ReturnData!A32</f>
        <v>197607</v>
      </c>
      <c r="S21">
        <f t="shared" si="0"/>
        <v>197607</v>
      </c>
      <c r="AK21">
        <f t="shared" si="1"/>
        <v>197607</v>
      </c>
      <c r="AL21" s="9"/>
    </row>
    <row r="22" spans="1:38" x14ac:dyDescent="0.25">
      <c r="A22" s="6">
        <f>ReturnData!A33</f>
        <v>197608</v>
      </c>
      <c r="S22">
        <f t="shared" si="0"/>
        <v>197608</v>
      </c>
      <c r="AK22">
        <f t="shared" si="1"/>
        <v>197608</v>
      </c>
      <c r="AL22" s="9"/>
    </row>
    <row r="23" spans="1:38" x14ac:dyDescent="0.25">
      <c r="A23" s="6">
        <f>ReturnData!A34</f>
        <v>197609</v>
      </c>
      <c r="S23">
        <f t="shared" si="0"/>
        <v>197609</v>
      </c>
      <c r="AK23">
        <f t="shared" si="1"/>
        <v>197609</v>
      </c>
      <c r="AL23" s="9"/>
    </row>
    <row r="24" spans="1:38" x14ac:dyDescent="0.25">
      <c r="A24" s="6">
        <f>ReturnData!A35</f>
        <v>197610</v>
      </c>
      <c r="S24">
        <f t="shared" si="0"/>
        <v>197610</v>
      </c>
      <c r="AK24">
        <f t="shared" si="1"/>
        <v>197610</v>
      </c>
      <c r="AL24" s="9"/>
    </row>
    <row r="25" spans="1:38" x14ac:dyDescent="0.25">
      <c r="A25" s="6">
        <f>ReturnData!A36</f>
        <v>197611</v>
      </c>
      <c r="S25">
        <f t="shared" si="0"/>
        <v>197611</v>
      </c>
      <c r="AK25">
        <f t="shared" si="1"/>
        <v>197611</v>
      </c>
      <c r="AL25" s="9"/>
    </row>
    <row r="26" spans="1:38" x14ac:dyDescent="0.25">
      <c r="A26" s="6">
        <f>ReturnData!A37</f>
        <v>197612</v>
      </c>
      <c r="S26">
        <f t="shared" si="0"/>
        <v>197612</v>
      </c>
      <c r="AK26">
        <f t="shared" si="1"/>
        <v>197612</v>
      </c>
      <c r="AL26" s="9"/>
    </row>
    <row r="27" spans="1:38" x14ac:dyDescent="0.25">
      <c r="A27" s="6">
        <f>ReturnData!A38</f>
        <v>197701</v>
      </c>
      <c r="S27">
        <f t="shared" si="0"/>
        <v>197701</v>
      </c>
      <c r="AK27">
        <f t="shared" si="1"/>
        <v>197701</v>
      </c>
      <c r="AL27" s="9"/>
    </row>
    <row r="28" spans="1:38" x14ac:dyDescent="0.25">
      <c r="A28" s="6">
        <f>ReturnData!A39</f>
        <v>197702</v>
      </c>
      <c r="S28">
        <f t="shared" si="0"/>
        <v>197702</v>
      </c>
      <c r="AK28">
        <f t="shared" si="1"/>
        <v>197702</v>
      </c>
      <c r="AL28" s="9"/>
    </row>
    <row r="29" spans="1:38" x14ac:dyDescent="0.25">
      <c r="A29" s="6">
        <f>ReturnData!A40</f>
        <v>197703</v>
      </c>
      <c r="S29">
        <f t="shared" si="0"/>
        <v>197703</v>
      </c>
      <c r="AK29">
        <f t="shared" si="1"/>
        <v>197703</v>
      </c>
      <c r="AL29" s="9"/>
    </row>
    <row r="30" spans="1:38" x14ac:dyDescent="0.25">
      <c r="A30" s="6">
        <f>ReturnData!A41</f>
        <v>197704</v>
      </c>
      <c r="S30">
        <f t="shared" si="0"/>
        <v>197704</v>
      </c>
      <c r="AK30">
        <f t="shared" si="1"/>
        <v>197704</v>
      </c>
      <c r="AL30" s="9"/>
    </row>
    <row r="31" spans="1:38" x14ac:dyDescent="0.25">
      <c r="A31" s="6">
        <f>ReturnData!A42</f>
        <v>197705</v>
      </c>
      <c r="S31">
        <f t="shared" si="0"/>
        <v>197705</v>
      </c>
      <c r="AK31">
        <f t="shared" si="1"/>
        <v>197705</v>
      </c>
      <c r="AL31" s="9"/>
    </row>
    <row r="32" spans="1:38" x14ac:dyDescent="0.25">
      <c r="A32" s="6">
        <f>ReturnData!A43</f>
        <v>197706</v>
      </c>
      <c r="S32">
        <f t="shared" si="0"/>
        <v>197706</v>
      </c>
      <c r="AK32">
        <f t="shared" si="1"/>
        <v>197706</v>
      </c>
      <c r="AL32" s="9"/>
    </row>
    <row r="33" spans="1:38" x14ac:dyDescent="0.25">
      <c r="A33" s="6">
        <f>ReturnData!A44</f>
        <v>197707</v>
      </c>
      <c r="S33">
        <f t="shared" si="0"/>
        <v>197707</v>
      </c>
      <c r="AK33">
        <f t="shared" si="1"/>
        <v>197707</v>
      </c>
      <c r="AL33" s="9"/>
    </row>
    <row r="34" spans="1:38" x14ac:dyDescent="0.25">
      <c r="A34" s="6">
        <f>ReturnData!A45</f>
        <v>197708</v>
      </c>
      <c r="S34">
        <f t="shared" si="0"/>
        <v>197708</v>
      </c>
      <c r="AK34">
        <f t="shared" si="1"/>
        <v>197708</v>
      </c>
      <c r="AL34" s="9"/>
    </row>
    <row r="35" spans="1:38" x14ac:dyDescent="0.25">
      <c r="A35" s="6">
        <f>ReturnData!A46</f>
        <v>197709</v>
      </c>
      <c r="S35">
        <f t="shared" si="0"/>
        <v>197709</v>
      </c>
      <c r="AK35">
        <f t="shared" si="1"/>
        <v>197709</v>
      </c>
      <c r="AL35" s="9"/>
    </row>
    <row r="36" spans="1:38" x14ac:dyDescent="0.25">
      <c r="A36" s="6">
        <f>ReturnData!A47</f>
        <v>197710</v>
      </c>
      <c r="S36">
        <f t="shared" si="0"/>
        <v>197710</v>
      </c>
      <c r="AK36">
        <f t="shared" si="1"/>
        <v>197710</v>
      </c>
      <c r="AL36" s="9"/>
    </row>
    <row r="37" spans="1:38" x14ac:dyDescent="0.25">
      <c r="A37" s="6">
        <f>ReturnData!A48</f>
        <v>197711</v>
      </c>
      <c r="S37">
        <f t="shared" si="0"/>
        <v>197711</v>
      </c>
      <c r="AK37">
        <f t="shared" si="1"/>
        <v>197711</v>
      </c>
      <c r="AL37" s="9"/>
    </row>
    <row r="38" spans="1:38" x14ac:dyDescent="0.25">
      <c r="A38" s="6">
        <f>ReturnData!A49</f>
        <v>197712</v>
      </c>
      <c r="S38">
        <f t="shared" si="0"/>
        <v>197712</v>
      </c>
      <c r="AK38">
        <f t="shared" si="1"/>
        <v>197712</v>
      </c>
      <c r="AL38" s="9"/>
    </row>
    <row r="39" spans="1:38" x14ac:dyDescent="0.25">
      <c r="A39" s="6">
        <f>ReturnData!A50</f>
        <v>197801</v>
      </c>
      <c r="S39">
        <f t="shared" si="0"/>
        <v>197801</v>
      </c>
      <c r="AK39">
        <f t="shared" si="1"/>
        <v>197801</v>
      </c>
      <c r="AL39" s="9"/>
    </row>
    <row r="40" spans="1:38" x14ac:dyDescent="0.25">
      <c r="A40" s="6">
        <f>ReturnData!A51</f>
        <v>197802</v>
      </c>
      <c r="S40">
        <f t="shared" si="0"/>
        <v>197802</v>
      </c>
      <c r="AK40">
        <f t="shared" si="1"/>
        <v>197802</v>
      </c>
      <c r="AL40" s="9"/>
    </row>
    <row r="41" spans="1:38" x14ac:dyDescent="0.25">
      <c r="A41" s="6">
        <f>ReturnData!A52</f>
        <v>197803</v>
      </c>
      <c r="S41">
        <f t="shared" si="0"/>
        <v>197803</v>
      </c>
      <c r="AK41">
        <f t="shared" si="1"/>
        <v>197803</v>
      </c>
      <c r="AL41" s="9"/>
    </row>
    <row r="42" spans="1:38" x14ac:dyDescent="0.25">
      <c r="A42" s="6">
        <f>ReturnData!A53</f>
        <v>197804</v>
      </c>
      <c r="S42">
        <f t="shared" si="0"/>
        <v>197804</v>
      </c>
      <c r="AK42">
        <f t="shared" si="1"/>
        <v>197804</v>
      </c>
      <c r="AL42" s="9"/>
    </row>
    <row r="43" spans="1:38" x14ac:dyDescent="0.25">
      <c r="A43" s="6">
        <f>ReturnData!A54</f>
        <v>197805</v>
      </c>
      <c r="S43">
        <f t="shared" si="0"/>
        <v>197805</v>
      </c>
      <c r="AK43">
        <f t="shared" si="1"/>
        <v>197805</v>
      </c>
      <c r="AL43" s="9"/>
    </row>
    <row r="44" spans="1:38" x14ac:dyDescent="0.25">
      <c r="A44" s="6">
        <f>ReturnData!A55</f>
        <v>197806</v>
      </c>
      <c r="S44">
        <f t="shared" si="0"/>
        <v>197806</v>
      </c>
      <c r="AK44">
        <f t="shared" si="1"/>
        <v>197806</v>
      </c>
      <c r="AL44" s="9"/>
    </row>
    <row r="45" spans="1:38" x14ac:dyDescent="0.25">
      <c r="A45" s="6">
        <f>ReturnData!A56</f>
        <v>197807</v>
      </c>
      <c r="S45">
        <f t="shared" si="0"/>
        <v>197807</v>
      </c>
      <c r="AK45">
        <f t="shared" si="1"/>
        <v>197807</v>
      </c>
      <c r="AL45" s="9"/>
    </row>
    <row r="46" spans="1:38" x14ac:dyDescent="0.25">
      <c r="A46" s="6">
        <f>ReturnData!A57</f>
        <v>197808</v>
      </c>
      <c r="S46">
        <f t="shared" si="0"/>
        <v>197808</v>
      </c>
      <c r="AK46">
        <f t="shared" si="1"/>
        <v>197808</v>
      </c>
      <c r="AL46" s="9"/>
    </row>
    <row r="47" spans="1:38" x14ac:dyDescent="0.25">
      <c r="A47" s="6">
        <f>ReturnData!A58</f>
        <v>197809</v>
      </c>
      <c r="S47">
        <f t="shared" si="0"/>
        <v>197809</v>
      </c>
      <c r="AK47">
        <f t="shared" si="1"/>
        <v>197809</v>
      </c>
      <c r="AL47" s="9"/>
    </row>
    <row r="48" spans="1:38" x14ac:dyDescent="0.25">
      <c r="A48" s="6">
        <f>ReturnData!A59</f>
        <v>197810</v>
      </c>
      <c r="S48">
        <f t="shared" si="0"/>
        <v>197810</v>
      </c>
      <c r="AK48">
        <f t="shared" si="1"/>
        <v>197810</v>
      </c>
      <c r="AL48" s="9"/>
    </row>
    <row r="49" spans="1:38" x14ac:dyDescent="0.25">
      <c r="A49" s="6">
        <f>ReturnData!A60</f>
        <v>197811</v>
      </c>
      <c r="S49">
        <f t="shared" si="0"/>
        <v>197811</v>
      </c>
      <c r="AK49">
        <f t="shared" si="1"/>
        <v>197811</v>
      </c>
      <c r="AL49" s="9"/>
    </row>
    <row r="50" spans="1:38" x14ac:dyDescent="0.25">
      <c r="A50" s="6">
        <f>ReturnData!A61</f>
        <v>197812</v>
      </c>
      <c r="S50">
        <f t="shared" si="0"/>
        <v>197812</v>
      </c>
      <c r="AK50">
        <f t="shared" si="1"/>
        <v>197812</v>
      </c>
      <c r="AL50" s="9"/>
    </row>
    <row r="51" spans="1:38" x14ac:dyDescent="0.25">
      <c r="A51" s="6">
        <f>ReturnData!A62</f>
        <v>197901</v>
      </c>
      <c r="S51">
        <f t="shared" si="0"/>
        <v>197901</v>
      </c>
      <c r="AK51">
        <f t="shared" si="1"/>
        <v>197901</v>
      </c>
      <c r="AL51" s="9"/>
    </row>
    <row r="52" spans="1:38" x14ac:dyDescent="0.25">
      <c r="A52" s="6">
        <f>ReturnData!A63</f>
        <v>197902</v>
      </c>
      <c r="S52">
        <f t="shared" si="0"/>
        <v>197902</v>
      </c>
      <c r="AK52">
        <f t="shared" si="1"/>
        <v>197902</v>
      </c>
      <c r="AL52" s="9"/>
    </row>
    <row r="53" spans="1:38" x14ac:dyDescent="0.25">
      <c r="A53" s="6">
        <f>ReturnData!A64</f>
        <v>197903</v>
      </c>
      <c r="S53">
        <f t="shared" si="0"/>
        <v>197903</v>
      </c>
      <c r="AK53">
        <f t="shared" si="1"/>
        <v>197903</v>
      </c>
      <c r="AL53" s="9"/>
    </row>
    <row r="54" spans="1:38" x14ac:dyDescent="0.25">
      <c r="A54" s="6">
        <f>ReturnData!A65</f>
        <v>197904</v>
      </c>
      <c r="S54">
        <f t="shared" si="0"/>
        <v>197904</v>
      </c>
      <c r="AK54">
        <f t="shared" si="1"/>
        <v>197904</v>
      </c>
      <c r="AL54" s="9"/>
    </row>
    <row r="55" spans="1:38" x14ac:dyDescent="0.25">
      <c r="A55" s="6">
        <f>ReturnData!A66</f>
        <v>197905</v>
      </c>
      <c r="S55">
        <f t="shared" si="0"/>
        <v>197905</v>
      </c>
      <c r="AK55">
        <f t="shared" si="1"/>
        <v>197905</v>
      </c>
      <c r="AL55" s="9"/>
    </row>
    <row r="56" spans="1:38" x14ac:dyDescent="0.25">
      <c r="A56" s="6">
        <f>ReturnData!A67</f>
        <v>197906</v>
      </c>
      <c r="S56">
        <f t="shared" si="0"/>
        <v>197906</v>
      </c>
      <c r="AK56">
        <f t="shared" si="1"/>
        <v>197906</v>
      </c>
      <c r="AL56" s="9"/>
    </row>
    <row r="57" spans="1:38" x14ac:dyDescent="0.25">
      <c r="A57" s="6">
        <f>ReturnData!A68</f>
        <v>197907</v>
      </c>
      <c r="S57">
        <f t="shared" si="0"/>
        <v>197907</v>
      </c>
      <c r="AK57">
        <f t="shared" si="1"/>
        <v>197907</v>
      </c>
      <c r="AL57" s="9"/>
    </row>
    <row r="58" spans="1:38" x14ac:dyDescent="0.25">
      <c r="A58" s="6">
        <f>ReturnData!A69</f>
        <v>197908</v>
      </c>
      <c r="S58">
        <f t="shared" si="0"/>
        <v>197908</v>
      </c>
      <c r="AK58">
        <f t="shared" si="1"/>
        <v>197908</v>
      </c>
      <c r="AL58" s="9"/>
    </row>
    <row r="59" spans="1:38" x14ac:dyDescent="0.25">
      <c r="A59" s="6">
        <f>ReturnData!A70</f>
        <v>197909</v>
      </c>
      <c r="S59">
        <f t="shared" si="0"/>
        <v>197909</v>
      </c>
      <c r="AK59">
        <f t="shared" si="1"/>
        <v>197909</v>
      </c>
      <c r="AL59" s="9"/>
    </row>
    <row r="60" spans="1:38" x14ac:dyDescent="0.25">
      <c r="A60" s="6">
        <f>ReturnData!A71</f>
        <v>197910</v>
      </c>
      <c r="S60">
        <f t="shared" si="0"/>
        <v>197910</v>
      </c>
      <c r="AK60">
        <f t="shared" si="1"/>
        <v>197910</v>
      </c>
      <c r="AL60" s="9"/>
    </row>
    <row r="61" spans="1:38" x14ac:dyDescent="0.25">
      <c r="A61" s="6">
        <f>ReturnData!A72</f>
        <v>197911</v>
      </c>
      <c r="S61">
        <f t="shared" si="0"/>
        <v>197911</v>
      </c>
      <c r="AK61">
        <f t="shared" si="1"/>
        <v>197911</v>
      </c>
      <c r="AL61" s="9"/>
    </row>
    <row r="62" spans="1:38" x14ac:dyDescent="0.25">
      <c r="A62" s="6">
        <f>ReturnData!A73</f>
        <v>197912</v>
      </c>
      <c r="S62">
        <f t="shared" si="0"/>
        <v>197912</v>
      </c>
      <c r="AK62">
        <f t="shared" si="1"/>
        <v>197912</v>
      </c>
      <c r="AL62" s="9"/>
    </row>
    <row r="63" spans="1:38" x14ac:dyDescent="0.25">
      <c r="A63" s="6">
        <f>ReturnData!A74</f>
        <v>198001</v>
      </c>
      <c r="S63">
        <f t="shared" si="0"/>
        <v>198001</v>
      </c>
      <c r="AK63">
        <f t="shared" si="1"/>
        <v>198001</v>
      </c>
      <c r="AL63" s="9"/>
    </row>
    <row r="64" spans="1:38" x14ac:dyDescent="0.25">
      <c r="A64" s="6">
        <f>ReturnData!A75</f>
        <v>198002</v>
      </c>
      <c r="S64">
        <f t="shared" si="0"/>
        <v>198002</v>
      </c>
      <c r="AK64">
        <f t="shared" si="1"/>
        <v>198002</v>
      </c>
      <c r="AL64" s="9"/>
    </row>
    <row r="65" spans="1:38" x14ac:dyDescent="0.25">
      <c r="A65" s="6">
        <f>ReturnData!A76</f>
        <v>198003</v>
      </c>
      <c r="S65">
        <f t="shared" si="0"/>
        <v>198003</v>
      </c>
      <c r="AK65">
        <f t="shared" si="1"/>
        <v>198003</v>
      </c>
      <c r="AL65" s="9"/>
    </row>
    <row r="66" spans="1:38" x14ac:dyDescent="0.25">
      <c r="A66" s="6">
        <f>ReturnData!A77</f>
        <v>198004</v>
      </c>
      <c r="S66">
        <f t="shared" si="0"/>
        <v>198004</v>
      </c>
      <c r="AK66">
        <f t="shared" si="1"/>
        <v>198004</v>
      </c>
      <c r="AL66" s="9"/>
    </row>
    <row r="67" spans="1:38" x14ac:dyDescent="0.25">
      <c r="A67" s="6">
        <f>ReturnData!A78</f>
        <v>198005</v>
      </c>
      <c r="S67">
        <f t="shared" ref="S67:S130" si="2">A67</f>
        <v>198005</v>
      </c>
      <c r="AK67">
        <f t="shared" ref="AK67:AK130" si="3">S67</f>
        <v>198005</v>
      </c>
      <c r="AL67" s="9"/>
    </row>
    <row r="68" spans="1:38" x14ac:dyDescent="0.25">
      <c r="A68" s="6">
        <f>ReturnData!A79</f>
        <v>198006</v>
      </c>
      <c r="S68">
        <f t="shared" si="2"/>
        <v>198006</v>
      </c>
      <c r="AK68">
        <f t="shared" si="3"/>
        <v>198006</v>
      </c>
      <c r="AL68" s="9"/>
    </row>
    <row r="69" spans="1:38" x14ac:dyDescent="0.25">
      <c r="A69" s="6">
        <f>ReturnData!A80</f>
        <v>198007</v>
      </c>
      <c r="S69">
        <f t="shared" si="2"/>
        <v>198007</v>
      </c>
      <c r="AK69">
        <f t="shared" si="3"/>
        <v>198007</v>
      </c>
      <c r="AL69" s="9"/>
    </row>
    <row r="70" spans="1:38" x14ac:dyDescent="0.25">
      <c r="A70" s="6">
        <f>ReturnData!A81</f>
        <v>198008</v>
      </c>
      <c r="S70">
        <f t="shared" si="2"/>
        <v>198008</v>
      </c>
      <c r="AK70">
        <f t="shared" si="3"/>
        <v>198008</v>
      </c>
      <c r="AL70" s="9"/>
    </row>
    <row r="71" spans="1:38" x14ac:dyDescent="0.25">
      <c r="A71" s="6">
        <f>ReturnData!A82</f>
        <v>198009</v>
      </c>
      <c r="S71">
        <f t="shared" si="2"/>
        <v>198009</v>
      </c>
      <c r="AK71">
        <f t="shared" si="3"/>
        <v>198009</v>
      </c>
      <c r="AL71" s="9"/>
    </row>
    <row r="72" spans="1:38" x14ac:dyDescent="0.25">
      <c r="A72" s="6">
        <f>ReturnData!A83</f>
        <v>198010</v>
      </c>
      <c r="S72">
        <f t="shared" si="2"/>
        <v>198010</v>
      </c>
      <c r="AK72">
        <f t="shared" si="3"/>
        <v>198010</v>
      </c>
      <c r="AL72" s="9"/>
    </row>
    <row r="73" spans="1:38" x14ac:dyDescent="0.25">
      <c r="A73" s="6">
        <f>ReturnData!A84</f>
        <v>198011</v>
      </c>
      <c r="S73">
        <f t="shared" si="2"/>
        <v>198011</v>
      </c>
      <c r="AK73">
        <f t="shared" si="3"/>
        <v>198011</v>
      </c>
      <c r="AL73" s="9"/>
    </row>
    <row r="74" spans="1:38" x14ac:dyDescent="0.25">
      <c r="A74" s="6">
        <f>ReturnData!A85</f>
        <v>198012</v>
      </c>
      <c r="S74">
        <f t="shared" si="2"/>
        <v>198012</v>
      </c>
      <c r="AK74">
        <f t="shared" si="3"/>
        <v>198012</v>
      </c>
      <c r="AL74" s="9"/>
    </row>
    <row r="75" spans="1:38" x14ac:dyDescent="0.25">
      <c r="A75" s="6">
        <f>ReturnData!A86</f>
        <v>198101</v>
      </c>
      <c r="S75">
        <f t="shared" si="2"/>
        <v>198101</v>
      </c>
      <c r="AK75">
        <f t="shared" si="3"/>
        <v>198101</v>
      </c>
      <c r="AL75" s="9"/>
    </row>
    <row r="76" spans="1:38" x14ac:dyDescent="0.25">
      <c r="A76" s="6">
        <f>ReturnData!A87</f>
        <v>198102</v>
      </c>
      <c r="S76">
        <f t="shared" si="2"/>
        <v>198102</v>
      </c>
      <c r="AK76">
        <f t="shared" si="3"/>
        <v>198102</v>
      </c>
      <c r="AL76" s="9"/>
    </row>
    <row r="77" spans="1:38" x14ac:dyDescent="0.25">
      <c r="A77" s="6">
        <f>ReturnData!A88</f>
        <v>198103</v>
      </c>
      <c r="S77">
        <f t="shared" si="2"/>
        <v>198103</v>
      </c>
      <c r="AK77">
        <f t="shared" si="3"/>
        <v>198103</v>
      </c>
      <c r="AL77" s="9"/>
    </row>
    <row r="78" spans="1:38" x14ac:dyDescent="0.25">
      <c r="A78" s="6">
        <f>ReturnData!A89</f>
        <v>198104</v>
      </c>
      <c r="S78">
        <f t="shared" si="2"/>
        <v>198104</v>
      </c>
      <c r="AK78">
        <f t="shared" si="3"/>
        <v>198104</v>
      </c>
      <c r="AL78" s="9"/>
    </row>
    <row r="79" spans="1:38" x14ac:dyDescent="0.25">
      <c r="A79" s="6">
        <f>ReturnData!A90</f>
        <v>198105</v>
      </c>
      <c r="S79">
        <f t="shared" si="2"/>
        <v>198105</v>
      </c>
      <c r="AK79">
        <f t="shared" si="3"/>
        <v>198105</v>
      </c>
      <c r="AL79" s="9"/>
    </row>
    <row r="80" spans="1:38" x14ac:dyDescent="0.25">
      <c r="A80" s="6">
        <f>ReturnData!A91</f>
        <v>198106</v>
      </c>
      <c r="S80">
        <f t="shared" si="2"/>
        <v>198106</v>
      </c>
      <c r="AK80">
        <f t="shared" si="3"/>
        <v>198106</v>
      </c>
      <c r="AL80" s="9"/>
    </row>
    <row r="81" spans="1:38" x14ac:dyDescent="0.25">
      <c r="A81" s="6">
        <f>ReturnData!A92</f>
        <v>198107</v>
      </c>
      <c r="S81">
        <f t="shared" si="2"/>
        <v>198107</v>
      </c>
      <c r="AK81">
        <f t="shared" si="3"/>
        <v>198107</v>
      </c>
      <c r="AL81" s="9"/>
    </row>
    <row r="82" spans="1:38" x14ac:dyDescent="0.25">
      <c r="A82" s="6">
        <f>ReturnData!A93</f>
        <v>198108</v>
      </c>
      <c r="S82">
        <f t="shared" si="2"/>
        <v>198108</v>
      </c>
      <c r="AK82">
        <f t="shared" si="3"/>
        <v>198108</v>
      </c>
      <c r="AL82" s="9"/>
    </row>
    <row r="83" spans="1:38" x14ac:dyDescent="0.25">
      <c r="A83" s="6">
        <f>ReturnData!A94</f>
        <v>198109</v>
      </c>
      <c r="S83">
        <f t="shared" si="2"/>
        <v>198109</v>
      </c>
      <c r="AK83">
        <f t="shared" si="3"/>
        <v>198109</v>
      </c>
      <c r="AL83" s="9"/>
    </row>
    <row r="84" spans="1:38" x14ac:dyDescent="0.25">
      <c r="A84" s="6">
        <f>ReturnData!A95</f>
        <v>198110</v>
      </c>
      <c r="S84">
        <f t="shared" si="2"/>
        <v>198110</v>
      </c>
      <c r="AK84">
        <f t="shared" si="3"/>
        <v>198110</v>
      </c>
      <c r="AL84" s="9"/>
    </row>
    <row r="85" spans="1:38" x14ac:dyDescent="0.25">
      <c r="A85" s="6">
        <f>ReturnData!A96</f>
        <v>198111</v>
      </c>
      <c r="S85">
        <f t="shared" si="2"/>
        <v>198111</v>
      </c>
      <c r="AK85">
        <f t="shared" si="3"/>
        <v>198111</v>
      </c>
      <c r="AL85" s="9"/>
    </row>
    <row r="86" spans="1:38" x14ac:dyDescent="0.25">
      <c r="A86" s="6">
        <f>ReturnData!A97</f>
        <v>198112</v>
      </c>
      <c r="S86">
        <f t="shared" si="2"/>
        <v>198112</v>
      </c>
      <c r="AK86">
        <f t="shared" si="3"/>
        <v>198112</v>
      </c>
      <c r="AL86" s="9"/>
    </row>
    <row r="87" spans="1:38" x14ac:dyDescent="0.25">
      <c r="A87" s="6">
        <f>ReturnData!A98</f>
        <v>198201</v>
      </c>
      <c r="S87">
        <f t="shared" si="2"/>
        <v>198201</v>
      </c>
      <c r="AK87">
        <f t="shared" si="3"/>
        <v>198201</v>
      </c>
      <c r="AL87" s="9"/>
    </row>
    <row r="88" spans="1:38" x14ac:dyDescent="0.25">
      <c r="A88" s="6">
        <f>ReturnData!A99</f>
        <v>198202</v>
      </c>
      <c r="S88">
        <f t="shared" si="2"/>
        <v>198202</v>
      </c>
      <c r="AK88">
        <f t="shared" si="3"/>
        <v>198202</v>
      </c>
      <c r="AL88" s="9"/>
    </row>
    <row r="89" spans="1:38" x14ac:dyDescent="0.25">
      <c r="A89" s="6">
        <f>ReturnData!A100</f>
        <v>198203</v>
      </c>
      <c r="S89">
        <f t="shared" si="2"/>
        <v>198203</v>
      </c>
      <c r="AK89">
        <f t="shared" si="3"/>
        <v>198203</v>
      </c>
      <c r="AL89" s="9"/>
    </row>
    <row r="90" spans="1:38" x14ac:dyDescent="0.25">
      <c r="A90" s="6">
        <f>ReturnData!A101</f>
        <v>198204</v>
      </c>
      <c r="S90">
        <f t="shared" si="2"/>
        <v>198204</v>
      </c>
      <c r="AK90">
        <f t="shared" si="3"/>
        <v>198204</v>
      </c>
      <c r="AL90" s="9"/>
    </row>
    <row r="91" spans="1:38" x14ac:dyDescent="0.25">
      <c r="A91" s="6">
        <f>ReturnData!A102</f>
        <v>198205</v>
      </c>
      <c r="S91">
        <f t="shared" si="2"/>
        <v>198205</v>
      </c>
      <c r="AK91">
        <f t="shared" si="3"/>
        <v>198205</v>
      </c>
      <c r="AL91" s="9"/>
    </row>
    <row r="92" spans="1:38" x14ac:dyDescent="0.25">
      <c r="A92" s="6">
        <f>ReturnData!A103</f>
        <v>198206</v>
      </c>
      <c r="S92">
        <f t="shared" si="2"/>
        <v>198206</v>
      </c>
      <c r="AK92">
        <f t="shared" si="3"/>
        <v>198206</v>
      </c>
      <c r="AL92" s="9"/>
    </row>
    <row r="93" spans="1:38" x14ac:dyDescent="0.25">
      <c r="A93" s="6">
        <f>ReturnData!A104</f>
        <v>198207</v>
      </c>
      <c r="S93">
        <f t="shared" si="2"/>
        <v>198207</v>
      </c>
      <c r="AK93">
        <f t="shared" si="3"/>
        <v>198207</v>
      </c>
      <c r="AL93" s="9"/>
    </row>
    <row r="94" spans="1:38" x14ac:dyDescent="0.25">
      <c r="A94" s="6">
        <f>ReturnData!A105</f>
        <v>198208</v>
      </c>
      <c r="S94">
        <f t="shared" si="2"/>
        <v>198208</v>
      </c>
      <c r="AK94">
        <f t="shared" si="3"/>
        <v>198208</v>
      </c>
      <c r="AL94" s="9"/>
    </row>
    <row r="95" spans="1:38" x14ac:dyDescent="0.25">
      <c r="A95" s="6">
        <f>ReturnData!A106</f>
        <v>198209</v>
      </c>
      <c r="S95">
        <f t="shared" si="2"/>
        <v>198209</v>
      </c>
      <c r="AK95">
        <f t="shared" si="3"/>
        <v>198209</v>
      </c>
      <c r="AL95" s="9"/>
    </row>
    <row r="96" spans="1:38" x14ac:dyDescent="0.25">
      <c r="A96" s="6">
        <f>ReturnData!A107</f>
        <v>198210</v>
      </c>
      <c r="S96">
        <f t="shared" si="2"/>
        <v>198210</v>
      </c>
      <c r="AK96">
        <f t="shared" si="3"/>
        <v>198210</v>
      </c>
      <c r="AL96" s="9"/>
    </row>
    <row r="97" spans="1:38" x14ac:dyDescent="0.25">
      <c r="A97" s="6">
        <f>ReturnData!A108</f>
        <v>198211</v>
      </c>
      <c r="S97">
        <f t="shared" si="2"/>
        <v>198211</v>
      </c>
      <c r="AK97">
        <f t="shared" si="3"/>
        <v>198211</v>
      </c>
      <c r="AL97" s="9"/>
    </row>
    <row r="98" spans="1:38" x14ac:dyDescent="0.25">
      <c r="A98" s="6">
        <f>ReturnData!A109</f>
        <v>198212</v>
      </c>
      <c r="S98">
        <f t="shared" si="2"/>
        <v>198212</v>
      </c>
      <c r="AK98">
        <f t="shared" si="3"/>
        <v>198212</v>
      </c>
      <c r="AL98" s="9"/>
    </row>
    <row r="99" spans="1:38" x14ac:dyDescent="0.25">
      <c r="A99" s="6">
        <f>ReturnData!A110</f>
        <v>198301</v>
      </c>
      <c r="S99">
        <f t="shared" si="2"/>
        <v>198301</v>
      </c>
      <c r="AK99">
        <f t="shared" si="3"/>
        <v>198301</v>
      </c>
      <c r="AL99" s="9"/>
    </row>
    <row r="100" spans="1:38" x14ac:dyDescent="0.25">
      <c r="A100" s="6">
        <f>ReturnData!A111</f>
        <v>198302</v>
      </c>
      <c r="S100">
        <f t="shared" si="2"/>
        <v>198302</v>
      </c>
      <c r="AK100">
        <f t="shared" si="3"/>
        <v>198302</v>
      </c>
      <c r="AL100" s="9"/>
    </row>
    <row r="101" spans="1:38" x14ac:dyDescent="0.25">
      <c r="A101" s="6">
        <f>ReturnData!A112</f>
        <v>198303</v>
      </c>
      <c r="S101">
        <f t="shared" si="2"/>
        <v>198303</v>
      </c>
      <c r="AK101">
        <f t="shared" si="3"/>
        <v>198303</v>
      </c>
      <c r="AL101" s="9"/>
    </row>
    <row r="102" spans="1:38" x14ac:dyDescent="0.25">
      <c r="A102" s="6">
        <f>ReturnData!A113</f>
        <v>198304</v>
      </c>
      <c r="S102">
        <f t="shared" si="2"/>
        <v>198304</v>
      </c>
      <c r="AK102">
        <f t="shared" si="3"/>
        <v>198304</v>
      </c>
      <c r="AL102" s="9"/>
    </row>
    <row r="103" spans="1:38" x14ac:dyDescent="0.25">
      <c r="A103" s="6">
        <f>ReturnData!A114</f>
        <v>198305</v>
      </c>
      <c r="S103">
        <f t="shared" si="2"/>
        <v>198305</v>
      </c>
      <c r="AK103">
        <f t="shared" si="3"/>
        <v>198305</v>
      </c>
      <c r="AL103" s="9"/>
    </row>
    <row r="104" spans="1:38" x14ac:dyDescent="0.25">
      <c r="A104" s="6">
        <f>ReturnData!A115</f>
        <v>198306</v>
      </c>
      <c r="S104">
        <f t="shared" si="2"/>
        <v>198306</v>
      </c>
      <c r="AK104">
        <f t="shared" si="3"/>
        <v>198306</v>
      </c>
      <c r="AL104" s="9"/>
    </row>
    <row r="105" spans="1:38" x14ac:dyDescent="0.25">
      <c r="A105" s="6">
        <f>ReturnData!A116</f>
        <v>198307</v>
      </c>
      <c r="S105">
        <f t="shared" si="2"/>
        <v>198307</v>
      </c>
      <c r="AK105">
        <f t="shared" si="3"/>
        <v>198307</v>
      </c>
      <c r="AL105" s="9"/>
    </row>
    <row r="106" spans="1:38" x14ac:dyDescent="0.25">
      <c r="A106" s="6">
        <f>ReturnData!A117</f>
        <v>198308</v>
      </c>
      <c r="S106">
        <f t="shared" si="2"/>
        <v>198308</v>
      </c>
      <c r="AK106">
        <f t="shared" si="3"/>
        <v>198308</v>
      </c>
      <c r="AL106" s="9"/>
    </row>
    <row r="107" spans="1:38" x14ac:dyDescent="0.25">
      <c r="A107" s="6">
        <f>ReturnData!A118</f>
        <v>198309</v>
      </c>
      <c r="S107">
        <f t="shared" si="2"/>
        <v>198309</v>
      </c>
      <c r="AK107">
        <f t="shared" si="3"/>
        <v>198309</v>
      </c>
      <c r="AL107" s="9"/>
    </row>
    <row r="108" spans="1:38" x14ac:dyDescent="0.25">
      <c r="A108" s="6">
        <f>ReturnData!A119</f>
        <v>198310</v>
      </c>
      <c r="S108">
        <f t="shared" si="2"/>
        <v>198310</v>
      </c>
      <c r="AK108">
        <f t="shared" si="3"/>
        <v>198310</v>
      </c>
      <c r="AL108" s="9"/>
    </row>
    <row r="109" spans="1:38" x14ac:dyDescent="0.25">
      <c r="A109" s="6">
        <f>ReturnData!A120</f>
        <v>198311</v>
      </c>
      <c r="S109">
        <f t="shared" si="2"/>
        <v>198311</v>
      </c>
      <c r="AK109">
        <f t="shared" si="3"/>
        <v>198311</v>
      </c>
      <c r="AL109" s="9"/>
    </row>
    <row r="110" spans="1:38" x14ac:dyDescent="0.25">
      <c r="A110" s="6">
        <f>ReturnData!A121</f>
        <v>198312</v>
      </c>
      <c r="S110">
        <f t="shared" si="2"/>
        <v>198312</v>
      </c>
      <c r="AK110">
        <f t="shared" si="3"/>
        <v>198312</v>
      </c>
      <c r="AL110" s="9"/>
    </row>
    <row r="111" spans="1:38" x14ac:dyDescent="0.25">
      <c r="A111" s="6">
        <f>ReturnData!A122</f>
        <v>198401</v>
      </c>
      <c r="S111">
        <f t="shared" si="2"/>
        <v>198401</v>
      </c>
      <c r="AK111">
        <f t="shared" si="3"/>
        <v>198401</v>
      </c>
      <c r="AL111" s="9"/>
    </row>
    <row r="112" spans="1:38" x14ac:dyDescent="0.25">
      <c r="A112" s="6">
        <f>ReturnData!A123</f>
        <v>198402</v>
      </c>
      <c r="S112">
        <f t="shared" si="2"/>
        <v>198402</v>
      </c>
      <c r="AK112">
        <f t="shared" si="3"/>
        <v>198402</v>
      </c>
      <c r="AL112" s="9"/>
    </row>
    <row r="113" spans="1:38" x14ac:dyDescent="0.25">
      <c r="A113" s="6">
        <f>ReturnData!A124</f>
        <v>198403</v>
      </c>
      <c r="S113">
        <f t="shared" si="2"/>
        <v>198403</v>
      </c>
      <c r="AK113">
        <f t="shared" si="3"/>
        <v>198403</v>
      </c>
      <c r="AL113" s="9"/>
    </row>
    <row r="114" spans="1:38" x14ac:dyDescent="0.25">
      <c r="A114" s="6">
        <f>ReturnData!A125</f>
        <v>198404</v>
      </c>
      <c r="S114">
        <f t="shared" si="2"/>
        <v>198404</v>
      </c>
      <c r="AK114">
        <f t="shared" si="3"/>
        <v>198404</v>
      </c>
      <c r="AL114" s="9"/>
    </row>
    <row r="115" spans="1:38" x14ac:dyDescent="0.25">
      <c r="A115" s="6">
        <f>ReturnData!A126</f>
        <v>198405</v>
      </c>
      <c r="S115">
        <f t="shared" si="2"/>
        <v>198405</v>
      </c>
      <c r="AK115">
        <f t="shared" si="3"/>
        <v>198405</v>
      </c>
      <c r="AL115" s="9"/>
    </row>
    <row r="116" spans="1:38" x14ac:dyDescent="0.25">
      <c r="A116" s="6">
        <f>ReturnData!A127</f>
        <v>198406</v>
      </c>
      <c r="S116">
        <f t="shared" si="2"/>
        <v>198406</v>
      </c>
      <c r="AK116">
        <f t="shared" si="3"/>
        <v>198406</v>
      </c>
      <c r="AL116" s="9"/>
    </row>
    <row r="117" spans="1:38" x14ac:dyDescent="0.25">
      <c r="A117" s="6">
        <f>ReturnData!A128</f>
        <v>198407</v>
      </c>
      <c r="S117">
        <f t="shared" si="2"/>
        <v>198407</v>
      </c>
      <c r="AK117">
        <f t="shared" si="3"/>
        <v>198407</v>
      </c>
      <c r="AL117" s="9"/>
    </row>
    <row r="118" spans="1:38" x14ac:dyDescent="0.25">
      <c r="A118" s="6">
        <f>ReturnData!A129</f>
        <v>198408</v>
      </c>
      <c r="S118">
        <f t="shared" si="2"/>
        <v>198408</v>
      </c>
      <c r="AK118">
        <f t="shared" si="3"/>
        <v>198408</v>
      </c>
      <c r="AL118" s="9"/>
    </row>
    <row r="119" spans="1:38" x14ac:dyDescent="0.25">
      <c r="A119" s="6">
        <f>ReturnData!A130</f>
        <v>198409</v>
      </c>
      <c r="S119">
        <f t="shared" si="2"/>
        <v>198409</v>
      </c>
      <c r="AK119">
        <f t="shared" si="3"/>
        <v>198409</v>
      </c>
      <c r="AL119" s="9"/>
    </row>
    <row r="120" spans="1:38" x14ac:dyDescent="0.25">
      <c r="A120" s="6">
        <f>ReturnData!A131</f>
        <v>198410</v>
      </c>
      <c r="S120">
        <f t="shared" si="2"/>
        <v>198410</v>
      </c>
      <c r="AK120">
        <f t="shared" si="3"/>
        <v>198410</v>
      </c>
      <c r="AL120" s="9"/>
    </row>
    <row r="121" spans="1:38" x14ac:dyDescent="0.25">
      <c r="A121" s="6">
        <f>ReturnData!A132</f>
        <v>198411</v>
      </c>
      <c r="S121">
        <f t="shared" si="2"/>
        <v>198411</v>
      </c>
      <c r="AK121">
        <f t="shared" si="3"/>
        <v>198411</v>
      </c>
      <c r="AL121" s="9"/>
    </row>
    <row r="122" spans="1:38" x14ac:dyDescent="0.25">
      <c r="A122" s="6">
        <f>ReturnData!A133</f>
        <v>198412</v>
      </c>
      <c r="S122">
        <f t="shared" si="2"/>
        <v>198412</v>
      </c>
      <c r="AK122">
        <f t="shared" si="3"/>
        <v>198412</v>
      </c>
      <c r="AL122" s="9"/>
    </row>
    <row r="123" spans="1:38" x14ac:dyDescent="0.25">
      <c r="A123" s="6">
        <f>ReturnData!A134</f>
        <v>198501</v>
      </c>
      <c r="S123">
        <f t="shared" si="2"/>
        <v>198501</v>
      </c>
      <c r="AK123">
        <f t="shared" si="3"/>
        <v>198501</v>
      </c>
      <c r="AL123" s="9"/>
    </row>
    <row r="124" spans="1:38" x14ac:dyDescent="0.25">
      <c r="A124" s="6">
        <f>ReturnData!A135</f>
        <v>198502</v>
      </c>
      <c r="S124">
        <f t="shared" si="2"/>
        <v>198502</v>
      </c>
      <c r="AK124">
        <f t="shared" si="3"/>
        <v>198502</v>
      </c>
      <c r="AL124" s="9"/>
    </row>
    <row r="125" spans="1:38" x14ac:dyDescent="0.25">
      <c r="A125" s="6">
        <f>ReturnData!A136</f>
        <v>198503</v>
      </c>
      <c r="S125">
        <f t="shared" si="2"/>
        <v>198503</v>
      </c>
      <c r="AK125">
        <f t="shared" si="3"/>
        <v>198503</v>
      </c>
      <c r="AL125" s="9"/>
    </row>
    <row r="126" spans="1:38" x14ac:dyDescent="0.25">
      <c r="A126" s="6">
        <f>ReturnData!A137</f>
        <v>198504</v>
      </c>
      <c r="S126">
        <f t="shared" si="2"/>
        <v>198504</v>
      </c>
      <c r="AK126">
        <f t="shared" si="3"/>
        <v>198504</v>
      </c>
      <c r="AL126" s="9"/>
    </row>
    <row r="127" spans="1:38" x14ac:dyDescent="0.25">
      <c r="A127" s="6">
        <f>ReturnData!A138</f>
        <v>198505</v>
      </c>
      <c r="S127">
        <f t="shared" si="2"/>
        <v>198505</v>
      </c>
      <c r="AK127">
        <f t="shared" si="3"/>
        <v>198505</v>
      </c>
      <c r="AL127" s="9"/>
    </row>
    <row r="128" spans="1:38" x14ac:dyDescent="0.25">
      <c r="A128" s="6">
        <f>ReturnData!A139</f>
        <v>198506</v>
      </c>
      <c r="S128">
        <f t="shared" si="2"/>
        <v>198506</v>
      </c>
      <c r="AK128">
        <f t="shared" si="3"/>
        <v>198506</v>
      </c>
      <c r="AL128" s="9"/>
    </row>
    <row r="129" spans="1:38" x14ac:dyDescent="0.25">
      <c r="A129" s="6">
        <f>ReturnData!A140</f>
        <v>198507</v>
      </c>
      <c r="S129">
        <f t="shared" si="2"/>
        <v>198507</v>
      </c>
      <c r="AK129">
        <f t="shared" si="3"/>
        <v>198507</v>
      </c>
      <c r="AL129" s="9"/>
    </row>
    <row r="130" spans="1:38" x14ac:dyDescent="0.25">
      <c r="A130" s="6">
        <f>ReturnData!A141</f>
        <v>198508</v>
      </c>
      <c r="S130">
        <f t="shared" si="2"/>
        <v>198508</v>
      </c>
      <c r="AK130">
        <f t="shared" si="3"/>
        <v>198508</v>
      </c>
      <c r="AL130" s="9"/>
    </row>
    <row r="131" spans="1:38" x14ac:dyDescent="0.25">
      <c r="A131" s="6">
        <f>ReturnData!A142</f>
        <v>198509</v>
      </c>
      <c r="S131">
        <f t="shared" ref="S131:S194" si="4">A131</f>
        <v>198509</v>
      </c>
      <c r="AK131">
        <f t="shared" ref="AK131:AK194" si="5">S131</f>
        <v>198509</v>
      </c>
      <c r="AL131" s="9"/>
    </row>
    <row r="132" spans="1:38" x14ac:dyDescent="0.25">
      <c r="A132" s="6">
        <f>ReturnData!A143</f>
        <v>198510</v>
      </c>
      <c r="S132">
        <f t="shared" si="4"/>
        <v>198510</v>
      </c>
      <c r="AK132">
        <f t="shared" si="5"/>
        <v>198510</v>
      </c>
      <c r="AL132" s="9"/>
    </row>
    <row r="133" spans="1:38" x14ac:dyDescent="0.25">
      <c r="A133" s="6">
        <f>ReturnData!A144</f>
        <v>198511</v>
      </c>
      <c r="S133">
        <f t="shared" si="4"/>
        <v>198511</v>
      </c>
      <c r="AK133">
        <f t="shared" si="5"/>
        <v>198511</v>
      </c>
      <c r="AL133" s="9"/>
    </row>
    <row r="134" spans="1:38" x14ac:dyDescent="0.25">
      <c r="A134" s="6">
        <f>ReturnData!A145</f>
        <v>198512</v>
      </c>
      <c r="S134">
        <f t="shared" si="4"/>
        <v>198512</v>
      </c>
      <c r="AK134">
        <f t="shared" si="5"/>
        <v>198512</v>
      </c>
      <c r="AL134" s="9"/>
    </row>
    <row r="135" spans="1:38" x14ac:dyDescent="0.25">
      <c r="A135" s="6">
        <f>ReturnData!A146</f>
        <v>198601</v>
      </c>
      <c r="S135">
        <f t="shared" si="4"/>
        <v>198601</v>
      </c>
      <c r="AK135">
        <f t="shared" si="5"/>
        <v>198601</v>
      </c>
      <c r="AL135" s="9"/>
    </row>
    <row r="136" spans="1:38" x14ac:dyDescent="0.25">
      <c r="A136" s="6">
        <f>ReturnData!A147</f>
        <v>198602</v>
      </c>
      <c r="S136">
        <f t="shared" si="4"/>
        <v>198602</v>
      </c>
      <c r="AK136">
        <f t="shared" si="5"/>
        <v>198602</v>
      </c>
      <c r="AL136" s="9"/>
    </row>
    <row r="137" spans="1:38" x14ac:dyDescent="0.25">
      <c r="A137" s="6">
        <f>ReturnData!A148</f>
        <v>198603</v>
      </c>
      <c r="S137">
        <f t="shared" si="4"/>
        <v>198603</v>
      </c>
      <c r="AK137">
        <f t="shared" si="5"/>
        <v>198603</v>
      </c>
      <c r="AL137" s="9"/>
    </row>
    <row r="138" spans="1:38" x14ac:dyDescent="0.25">
      <c r="A138" s="6">
        <f>ReturnData!A149</f>
        <v>198604</v>
      </c>
      <c r="S138">
        <f t="shared" si="4"/>
        <v>198604</v>
      </c>
      <c r="AK138">
        <f t="shared" si="5"/>
        <v>198604</v>
      </c>
      <c r="AL138" s="9"/>
    </row>
    <row r="139" spans="1:38" x14ac:dyDescent="0.25">
      <c r="A139" s="6">
        <f>ReturnData!A150</f>
        <v>198605</v>
      </c>
      <c r="S139">
        <f t="shared" si="4"/>
        <v>198605</v>
      </c>
      <c r="AK139">
        <f t="shared" si="5"/>
        <v>198605</v>
      </c>
      <c r="AL139" s="9"/>
    </row>
    <row r="140" spans="1:38" x14ac:dyDescent="0.25">
      <c r="A140" s="6">
        <f>ReturnData!A151</f>
        <v>198606</v>
      </c>
      <c r="S140">
        <f t="shared" si="4"/>
        <v>198606</v>
      </c>
      <c r="AK140">
        <f t="shared" si="5"/>
        <v>198606</v>
      </c>
      <c r="AL140" s="9"/>
    </row>
    <row r="141" spans="1:38" x14ac:dyDescent="0.25">
      <c r="A141" s="6">
        <f>ReturnData!A152</f>
        <v>198607</v>
      </c>
      <c r="S141">
        <f t="shared" si="4"/>
        <v>198607</v>
      </c>
      <c r="AK141">
        <f t="shared" si="5"/>
        <v>198607</v>
      </c>
      <c r="AL141" s="9"/>
    </row>
    <row r="142" spans="1:38" x14ac:dyDescent="0.25">
      <c r="A142" s="6">
        <f>ReturnData!A153</f>
        <v>198608</v>
      </c>
      <c r="S142">
        <f t="shared" si="4"/>
        <v>198608</v>
      </c>
      <c r="AK142">
        <f t="shared" si="5"/>
        <v>198608</v>
      </c>
      <c r="AL142" s="9"/>
    </row>
    <row r="143" spans="1:38" x14ac:dyDescent="0.25">
      <c r="A143" s="6">
        <f>ReturnData!A154</f>
        <v>198609</v>
      </c>
      <c r="S143">
        <f t="shared" si="4"/>
        <v>198609</v>
      </c>
      <c r="AK143">
        <f t="shared" si="5"/>
        <v>198609</v>
      </c>
      <c r="AL143" s="9"/>
    </row>
    <row r="144" spans="1:38" x14ac:dyDescent="0.25">
      <c r="A144" s="6">
        <f>ReturnData!A155</f>
        <v>198610</v>
      </c>
      <c r="S144">
        <f t="shared" si="4"/>
        <v>198610</v>
      </c>
      <c r="AK144">
        <f t="shared" si="5"/>
        <v>198610</v>
      </c>
      <c r="AL144" s="9"/>
    </row>
    <row r="145" spans="1:38" x14ac:dyDescent="0.25">
      <c r="A145" s="6">
        <f>ReturnData!A156</f>
        <v>198611</v>
      </c>
      <c r="S145">
        <f t="shared" si="4"/>
        <v>198611</v>
      </c>
      <c r="AK145">
        <f t="shared" si="5"/>
        <v>198611</v>
      </c>
      <c r="AL145" s="9"/>
    </row>
    <row r="146" spans="1:38" x14ac:dyDescent="0.25">
      <c r="A146" s="6">
        <f>ReturnData!A157</f>
        <v>198612</v>
      </c>
      <c r="S146">
        <f t="shared" si="4"/>
        <v>198612</v>
      </c>
      <c r="AK146">
        <f t="shared" si="5"/>
        <v>198612</v>
      </c>
      <c r="AL146" s="9"/>
    </row>
    <row r="147" spans="1:38" x14ac:dyDescent="0.25">
      <c r="A147" s="6">
        <f>ReturnData!A158</f>
        <v>198701</v>
      </c>
      <c r="S147">
        <f t="shared" si="4"/>
        <v>198701</v>
      </c>
      <c r="AK147">
        <f t="shared" si="5"/>
        <v>198701</v>
      </c>
      <c r="AL147" s="9"/>
    </row>
    <row r="148" spans="1:38" x14ac:dyDescent="0.25">
      <c r="A148" s="6">
        <f>ReturnData!A159</f>
        <v>198702</v>
      </c>
      <c r="S148">
        <f t="shared" si="4"/>
        <v>198702</v>
      </c>
      <c r="AK148">
        <f t="shared" si="5"/>
        <v>198702</v>
      </c>
      <c r="AL148" s="9"/>
    </row>
    <row r="149" spans="1:38" x14ac:dyDescent="0.25">
      <c r="A149" s="6">
        <f>ReturnData!A160</f>
        <v>198703</v>
      </c>
      <c r="S149">
        <f t="shared" si="4"/>
        <v>198703</v>
      </c>
      <c r="AK149">
        <f t="shared" si="5"/>
        <v>198703</v>
      </c>
      <c r="AL149" s="9"/>
    </row>
    <row r="150" spans="1:38" x14ac:dyDescent="0.25">
      <c r="A150" s="6">
        <f>ReturnData!A161</f>
        <v>198704</v>
      </c>
      <c r="S150">
        <f t="shared" si="4"/>
        <v>198704</v>
      </c>
      <c r="AK150">
        <f t="shared" si="5"/>
        <v>198704</v>
      </c>
      <c r="AL150" s="9"/>
    </row>
    <row r="151" spans="1:38" x14ac:dyDescent="0.25">
      <c r="A151" s="6">
        <f>ReturnData!A162</f>
        <v>198705</v>
      </c>
      <c r="S151">
        <f t="shared" si="4"/>
        <v>198705</v>
      </c>
      <c r="AK151">
        <f t="shared" si="5"/>
        <v>198705</v>
      </c>
      <c r="AL151" s="9"/>
    </row>
    <row r="152" spans="1:38" x14ac:dyDescent="0.25">
      <c r="A152" s="6">
        <f>ReturnData!A163</f>
        <v>198706</v>
      </c>
      <c r="S152">
        <f t="shared" si="4"/>
        <v>198706</v>
      </c>
      <c r="AK152">
        <f t="shared" si="5"/>
        <v>198706</v>
      </c>
      <c r="AL152" s="9"/>
    </row>
    <row r="153" spans="1:38" x14ac:dyDescent="0.25">
      <c r="A153" s="6">
        <f>ReturnData!A164</f>
        <v>198707</v>
      </c>
      <c r="S153">
        <f t="shared" si="4"/>
        <v>198707</v>
      </c>
      <c r="AK153">
        <f t="shared" si="5"/>
        <v>198707</v>
      </c>
      <c r="AL153" s="9"/>
    </row>
    <row r="154" spans="1:38" x14ac:dyDescent="0.25">
      <c r="A154" s="6">
        <f>ReturnData!A165</f>
        <v>198708</v>
      </c>
      <c r="S154">
        <f t="shared" si="4"/>
        <v>198708</v>
      </c>
      <c r="AK154">
        <f t="shared" si="5"/>
        <v>198708</v>
      </c>
      <c r="AL154" s="9"/>
    </row>
    <row r="155" spans="1:38" x14ac:dyDescent="0.25">
      <c r="A155" s="6">
        <f>ReturnData!A166</f>
        <v>198709</v>
      </c>
      <c r="S155">
        <f t="shared" si="4"/>
        <v>198709</v>
      </c>
      <c r="AK155">
        <f t="shared" si="5"/>
        <v>198709</v>
      </c>
      <c r="AL155" s="9"/>
    </row>
    <row r="156" spans="1:38" x14ac:dyDescent="0.25">
      <c r="A156" s="6">
        <f>ReturnData!A167</f>
        <v>198710</v>
      </c>
      <c r="S156">
        <f t="shared" si="4"/>
        <v>198710</v>
      </c>
      <c r="AK156">
        <f t="shared" si="5"/>
        <v>198710</v>
      </c>
      <c r="AL156" s="9"/>
    </row>
    <row r="157" spans="1:38" x14ac:dyDescent="0.25">
      <c r="A157" s="6">
        <f>ReturnData!A168</f>
        <v>198711</v>
      </c>
      <c r="S157">
        <f t="shared" si="4"/>
        <v>198711</v>
      </c>
      <c r="AK157">
        <f t="shared" si="5"/>
        <v>198711</v>
      </c>
      <c r="AL157" s="9"/>
    </row>
    <row r="158" spans="1:38" x14ac:dyDescent="0.25">
      <c r="A158" s="6">
        <f>ReturnData!A169</f>
        <v>198712</v>
      </c>
      <c r="S158">
        <f t="shared" si="4"/>
        <v>198712</v>
      </c>
      <c r="AK158">
        <f t="shared" si="5"/>
        <v>198712</v>
      </c>
      <c r="AL158" s="9"/>
    </row>
    <row r="159" spans="1:38" x14ac:dyDescent="0.25">
      <c r="A159" s="6">
        <f>ReturnData!A170</f>
        <v>198801</v>
      </c>
      <c r="S159">
        <f t="shared" si="4"/>
        <v>198801</v>
      </c>
      <c r="AK159">
        <f t="shared" si="5"/>
        <v>198801</v>
      </c>
      <c r="AL159" s="9"/>
    </row>
    <row r="160" spans="1:38" x14ac:dyDescent="0.25">
      <c r="A160" s="6">
        <f>ReturnData!A171</f>
        <v>198802</v>
      </c>
      <c r="S160">
        <f t="shared" si="4"/>
        <v>198802</v>
      </c>
      <c r="AK160">
        <f t="shared" si="5"/>
        <v>198802</v>
      </c>
      <c r="AL160" s="9"/>
    </row>
    <row r="161" spans="1:38" x14ac:dyDescent="0.25">
      <c r="A161" s="6">
        <f>ReturnData!A172</f>
        <v>198803</v>
      </c>
      <c r="S161">
        <f t="shared" si="4"/>
        <v>198803</v>
      </c>
      <c r="AK161">
        <f t="shared" si="5"/>
        <v>198803</v>
      </c>
      <c r="AL161" s="9"/>
    </row>
    <row r="162" spans="1:38" x14ac:dyDescent="0.25">
      <c r="A162" s="6">
        <f>ReturnData!A173</f>
        <v>198804</v>
      </c>
      <c r="S162">
        <f t="shared" si="4"/>
        <v>198804</v>
      </c>
      <c r="AK162">
        <f t="shared" si="5"/>
        <v>198804</v>
      </c>
      <c r="AL162" s="9"/>
    </row>
    <row r="163" spans="1:38" x14ac:dyDescent="0.25">
      <c r="A163" s="6">
        <f>ReturnData!A174</f>
        <v>198805</v>
      </c>
      <c r="S163">
        <f t="shared" si="4"/>
        <v>198805</v>
      </c>
      <c r="AK163">
        <f t="shared" si="5"/>
        <v>198805</v>
      </c>
      <c r="AL163" s="9"/>
    </row>
    <row r="164" spans="1:38" x14ac:dyDescent="0.25">
      <c r="A164" s="6">
        <f>ReturnData!A175</f>
        <v>198806</v>
      </c>
      <c r="S164">
        <f t="shared" si="4"/>
        <v>198806</v>
      </c>
      <c r="AK164">
        <f t="shared" si="5"/>
        <v>198806</v>
      </c>
      <c r="AL164" s="9"/>
    </row>
    <row r="165" spans="1:38" x14ac:dyDescent="0.25">
      <c r="A165" s="6">
        <f>ReturnData!A176</f>
        <v>198807</v>
      </c>
      <c r="S165">
        <f t="shared" si="4"/>
        <v>198807</v>
      </c>
      <c r="AK165">
        <f t="shared" si="5"/>
        <v>198807</v>
      </c>
      <c r="AL165" s="9"/>
    </row>
    <row r="166" spans="1:38" x14ac:dyDescent="0.25">
      <c r="A166" s="6">
        <f>ReturnData!A177</f>
        <v>198808</v>
      </c>
      <c r="S166">
        <f t="shared" si="4"/>
        <v>198808</v>
      </c>
      <c r="AK166">
        <f t="shared" si="5"/>
        <v>198808</v>
      </c>
      <c r="AL166" s="9"/>
    </row>
    <row r="167" spans="1:38" x14ac:dyDescent="0.25">
      <c r="A167" s="6">
        <f>ReturnData!A178</f>
        <v>198809</v>
      </c>
      <c r="S167">
        <f t="shared" si="4"/>
        <v>198809</v>
      </c>
      <c r="AK167">
        <f t="shared" si="5"/>
        <v>198809</v>
      </c>
      <c r="AL167" s="9"/>
    </row>
    <row r="168" spans="1:38" x14ac:dyDescent="0.25">
      <c r="A168" s="6">
        <f>ReturnData!A179</f>
        <v>198810</v>
      </c>
      <c r="S168">
        <f t="shared" si="4"/>
        <v>198810</v>
      </c>
      <c r="AK168">
        <f t="shared" si="5"/>
        <v>198810</v>
      </c>
      <c r="AL168" s="9"/>
    </row>
    <row r="169" spans="1:38" x14ac:dyDescent="0.25">
      <c r="A169" s="6">
        <f>ReturnData!A180</f>
        <v>198811</v>
      </c>
      <c r="S169">
        <f t="shared" si="4"/>
        <v>198811</v>
      </c>
      <c r="AK169">
        <f t="shared" si="5"/>
        <v>198811</v>
      </c>
      <c r="AL169" s="9"/>
    </row>
    <row r="170" spans="1:38" x14ac:dyDescent="0.25">
      <c r="A170" s="6">
        <f>ReturnData!A181</f>
        <v>198812</v>
      </c>
      <c r="S170">
        <f t="shared" si="4"/>
        <v>198812</v>
      </c>
      <c r="AK170">
        <f t="shared" si="5"/>
        <v>198812</v>
      </c>
      <c r="AL170" s="9"/>
    </row>
    <row r="171" spans="1:38" x14ac:dyDescent="0.25">
      <c r="A171" s="6">
        <f>ReturnData!A182</f>
        <v>198901</v>
      </c>
      <c r="S171">
        <f t="shared" si="4"/>
        <v>198901</v>
      </c>
      <c r="AK171">
        <f t="shared" si="5"/>
        <v>198901</v>
      </c>
      <c r="AL171" s="9"/>
    </row>
    <row r="172" spans="1:38" x14ac:dyDescent="0.25">
      <c r="A172" s="6">
        <f>ReturnData!A183</f>
        <v>198902</v>
      </c>
      <c r="S172">
        <f t="shared" si="4"/>
        <v>198902</v>
      </c>
      <c r="AK172">
        <f t="shared" si="5"/>
        <v>198902</v>
      </c>
      <c r="AL172" s="9"/>
    </row>
    <row r="173" spans="1:38" x14ac:dyDescent="0.25">
      <c r="A173" s="6">
        <f>ReturnData!A184</f>
        <v>198903</v>
      </c>
      <c r="S173">
        <f t="shared" si="4"/>
        <v>198903</v>
      </c>
      <c r="AK173">
        <f t="shared" si="5"/>
        <v>198903</v>
      </c>
      <c r="AL173" s="9"/>
    </row>
    <row r="174" spans="1:38" x14ac:dyDescent="0.25">
      <c r="A174" s="6">
        <f>ReturnData!A185</f>
        <v>198904</v>
      </c>
      <c r="S174">
        <f t="shared" si="4"/>
        <v>198904</v>
      </c>
      <c r="AK174">
        <f t="shared" si="5"/>
        <v>198904</v>
      </c>
      <c r="AL174" s="9"/>
    </row>
    <row r="175" spans="1:38" x14ac:dyDescent="0.25">
      <c r="A175" s="6">
        <f>ReturnData!A186</f>
        <v>198905</v>
      </c>
      <c r="S175">
        <f t="shared" si="4"/>
        <v>198905</v>
      </c>
      <c r="AK175">
        <f t="shared" si="5"/>
        <v>198905</v>
      </c>
      <c r="AL175" s="9"/>
    </row>
    <row r="176" spans="1:38" x14ac:dyDescent="0.25">
      <c r="A176" s="6">
        <f>ReturnData!A187</f>
        <v>198906</v>
      </c>
      <c r="S176">
        <f t="shared" si="4"/>
        <v>198906</v>
      </c>
      <c r="AK176">
        <f t="shared" si="5"/>
        <v>198906</v>
      </c>
      <c r="AL176" s="9"/>
    </row>
    <row r="177" spans="1:38" x14ac:dyDescent="0.25">
      <c r="A177" s="6">
        <f>ReturnData!A188</f>
        <v>198907</v>
      </c>
      <c r="S177">
        <f t="shared" si="4"/>
        <v>198907</v>
      </c>
      <c r="AK177">
        <f t="shared" si="5"/>
        <v>198907</v>
      </c>
      <c r="AL177" s="9"/>
    </row>
    <row r="178" spans="1:38" x14ac:dyDescent="0.25">
      <c r="A178" s="6">
        <f>ReturnData!A189</f>
        <v>198908</v>
      </c>
      <c r="S178">
        <f t="shared" si="4"/>
        <v>198908</v>
      </c>
      <c r="AK178">
        <f t="shared" si="5"/>
        <v>198908</v>
      </c>
      <c r="AL178" s="9"/>
    </row>
    <row r="179" spans="1:38" x14ac:dyDescent="0.25">
      <c r="A179" s="6">
        <f>ReturnData!A190</f>
        <v>198909</v>
      </c>
      <c r="S179">
        <f t="shared" si="4"/>
        <v>198909</v>
      </c>
      <c r="AK179">
        <f t="shared" si="5"/>
        <v>198909</v>
      </c>
      <c r="AL179" s="9"/>
    </row>
    <row r="180" spans="1:38" x14ac:dyDescent="0.25">
      <c r="A180" s="6">
        <f>ReturnData!A191</f>
        <v>198910</v>
      </c>
      <c r="S180">
        <f t="shared" si="4"/>
        <v>198910</v>
      </c>
      <c r="AK180">
        <f t="shared" si="5"/>
        <v>198910</v>
      </c>
      <c r="AL180" s="9"/>
    </row>
    <row r="181" spans="1:38" x14ac:dyDescent="0.25">
      <c r="A181" s="6">
        <f>ReturnData!A192</f>
        <v>198911</v>
      </c>
      <c r="S181">
        <f t="shared" si="4"/>
        <v>198911</v>
      </c>
      <c r="AK181">
        <f t="shared" si="5"/>
        <v>198911</v>
      </c>
      <c r="AL181" s="9"/>
    </row>
    <row r="182" spans="1:38" x14ac:dyDescent="0.25">
      <c r="A182" s="6">
        <f>ReturnData!A193</f>
        <v>198912</v>
      </c>
      <c r="S182">
        <f t="shared" si="4"/>
        <v>198912</v>
      </c>
      <c r="AK182">
        <f t="shared" si="5"/>
        <v>198912</v>
      </c>
      <c r="AL182" s="9"/>
    </row>
    <row r="183" spans="1:38" x14ac:dyDescent="0.25">
      <c r="A183" s="6">
        <f>ReturnData!A194</f>
        <v>199001</v>
      </c>
      <c r="S183">
        <f t="shared" si="4"/>
        <v>199001</v>
      </c>
      <c r="AK183">
        <f t="shared" si="5"/>
        <v>199001</v>
      </c>
      <c r="AL183" s="9"/>
    </row>
    <row r="184" spans="1:38" x14ac:dyDescent="0.25">
      <c r="A184" s="6">
        <f>ReturnData!A195</f>
        <v>199002</v>
      </c>
      <c r="S184">
        <f t="shared" si="4"/>
        <v>199002</v>
      </c>
      <c r="AK184">
        <f t="shared" si="5"/>
        <v>199002</v>
      </c>
      <c r="AL184" s="9"/>
    </row>
    <row r="185" spans="1:38" x14ac:dyDescent="0.25">
      <c r="A185" s="6">
        <f>ReturnData!A196</f>
        <v>199003</v>
      </c>
      <c r="S185">
        <f t="shared" si="4"/>
        <v>199003</v>
      </c>
      <c r="AK185">
        <f t="shared" si="5"/>
        <v>199003</v>
      </c>
      <c r="AL185" s="9"/>
    </row>
    <row r="186" spans="1:38" x14ac:dyDescent="0.25">
      <c r="A186" s="6">
        <f>ReturnData!A197</f>
        <v>199004</v>
      </c>
      <c r="S186">
        <f t="shared" si="4"/>
        <v>199004</v>
      </c>
      <c r="AK186">
        <f t="shared" si="5"/>
        <v>199004</v>
      </c>
      <c r="AL186" s="9"/>
    </row>
    <row r="187" spans="1:38" x14ac:dyDescent="0.25">
      <c r="A187" s="6">
        <f>ReturnData!A198</f>
        <v>199005</v>
      </c>
      <c r="S187">
        <f t="shared" si="4"/>
        <v>199005</v>
      </c>
      <c r="AK187">
        <f t="shared" si="5"/>
        <v>199005</v>
      </c>
      <c r="AL187" s="9"/>
    </row>
    <row r="188" spans="1:38" x14ac:dyDescent="0.25">
      <c r="A188" s="6">
        <f>ReturnData!A199</f>
        <v>199006</v>
      </c>
      <c r="S188">
        <f t="shared" si="4"/>
        <v>199006</v>
      </c>
      <c r="AK188">
        <f t="shared" si="5"/>
        <v>199006</v>
      </c>
      <c r="AL188" s="9"/>
    </row>
    <row r="189" spans="1:38" x14ac:dyDescent="0.25">
      <c r="A189" s="6">
        <f>ReturnData!A200</f>
        <v>199007</v>
      </c>
      <c r="S189">
        <f t="shared" si="4"/>
        <v>199007</v>
      </c>
      <c r="AK189">
        <f t="shared" si="5"/>
        <v>199007</v>
      </c>
      <c r="AL189" s="9"/>
    </row>
    <row r="190" spans="1:38" x14ac:dyDescent="0.25">
      <c r="A190" s="6">
        <f>ReturnData!A201</f>
        <v>199008</v>
      </c>
      <c r="S190">
        <f t="shared" si="4"/>
        <v>199008</v>
      </c>
      <c r="AK190">
        <f t="shared" si="5"/>
        <v>199008</v>
      </c>
      <c r="AL190" s="9"/>
    </row>
    <row r="191" spans="1:38" x14ac:dyDescent="0.25">
      <c r="A191" s="6">
        <f>ReturnData!A202</f>
        <v>199009</v>
      </c>
      <c r="S191">
        <f t="shared" si="4"/>
        <v>199009</v>
      </c>
      <c r="AK191">
        <f t="shared" si="5"/>
        <v>199009</v>
      </c>
      <c r="AL191" s="9"/>
    </row>
    <row r="192" spans="1:38" x14ac:dyDescent="0.25">
      <c r="A192" s="6">
        <f>ReturnData!A203</f>
        <v>199010</v>
      </c>
      <c r="S192">
        <f t="shared" si="4"/>
        <v>199010</v>
      </c>
      <c r="AK192">
        <f t="shared" si="5"/>
        <v>199010</v>
      </c>
      <c r="AL192" s="9"/>
    </row>
    <row r="193" spans="1:38" x14ac:dyDescent="0.25">
      <c r="A193" s="6">
        <f>ReturnData!A204</f>
        <v>199011</v>
      </c>
      <c r="S193">
        <f t="shared" si="4"/>
        <v>199011</v>
      </c>
      <c r="AK193">
        <f t="shared" si="5"/>
        <v>199011</v>
      </c>
      <c r="AL193" s="9"/>
    </row>
    <row r="194" spans="1:38" x14ac:dyDescent="0.25">
      <c r="A194" s="6">
        <f>ReturnData!A205</f>
        <v>199012</v>
      </c>
      <c r="S194">
        <f t="shared" si="4"/>
        <v>199012</v>
      </c>
      <c r="AK194">
        <f t="shared" si="5"/>
        <v>199012</v>
      </c>
      <c r="AL194" s="9"/>
    </row>
    <row r="195" spans="1:38" x14ac:dyDescent="0.25">
      <c r="A195" s="6">
        <f>ReturnData!A206</f>
        <v>199101</v>
      </c>
      <c r="S195">
        <f t="shared" ref="S195:S258" si="6">A195</f>
        <v>199101</v>
      </c>
      <c r="AK195">
        <f t="shared" ref="AK195:AK258" si="7">S195</f>
        <v>199101</v>
      </c>
      <c r="AL195" s="9"/>
    </row>
    <row r="196" spans="1:38" x14ac:dyDescent="0.25">
      <c r="A196" s="6">
        <f>ReturnData!A207</f>
        <v>199102</v>
      </c>
      <c r="S196">
        <f t="shared" si="6"/>
        <v>199102</v>
      </c>
      <c r="AK196">
        <f t="shared" si="7"/>
        <v>199102</v>
      </c>
      <c r="AL196" s="9"/>
    </row>
    <row r="197" spans="1:38" x14ac:dyDescent="0.25">
      <c r="A197" s="6">
        <f>ReturnData!A208</f>
        <v>199103</v>
      </c>
      <c r="S197">
        <f t="shared" si="6"/>
        <v>199103</v>
      </c>
      <c r="AK197">
        <f t="shared" si="7"/>
        <v>199103</v>
      </c>
      <c r="AL197" s="9"/>
    </row>
    <row r="198" spans="1:38" x14ac:dyDescent="0.25">
      <c r="A198" s="6">
        <f>ReturnData!A209</f>
        <v>199104</v>
      </c>
      <c r="S198">
        <f t="shared" si="6"/>
        <v>199104</v>
      </c>
      <c r="AK198">
        <f t="shared" si="7"/>
        <v>199104</v>
      </c>
      <c r="AL198" s="9"/>
    </row>
    <row r="199" spans="1:38" x14ac:dyDescent="0.25">
      <c r="A199" s="6">
        <f>ReturnData!A210</f>
        <v>199105</v>
      </c>
      <c r="S199">
        <f t="shared" si="6"/>
        <v>199105</v>
      </c>
      <c r="AK199">
        <f t="shared" si="7"/>
        <v>199105</v>
      </c>
      <c r="AL199" s="9"/>
    </row>
    <row r="200" spans="1:38" x14ac:dyDescent="0.25">
      <c r="A200" s="6">
        <f>ReturnData!A211</f>
        <v>199106</v>
      </c>
      <c r="S200">
        <f t="shared" si="6"/>
        <v>199106</v>
      </c>
      <c r="AK200">
        <f t="shared" si="7"/>
        <v>199106</v>
      </c>
      <c r="AL200" s="9"/>
    </row>
    <row r="201" spans="1:38" x14ac:dyDescent="0.25">
      <c r="A201" s="6">
        <f>ReturnData!A212</f>
        <v>199107</v>
      </c>
      <c r="S201">
        <f t="shared" si="6"/>
        <v>199107</v>
      </c>
      <c r="AK201">
        <f t="shared" si="7"/>
        <v>199107</v>
      </c>
      <c r="AL201" s="9"/>
    </row>
    <row r="202" spans="1:38" x14ac:dyDescent="0.25">
      <c r="A202" s="6">
        <f>ReturnData!A213</f>
        <v>199108</v>
      </c>
      <c r="S202">
        <f t="shared" si="6"/>
        <v>199108</v>
      </c>
      <c r="AK202">
        <f t="shared" si="7"/>
        <v>199108</v>
      </c>
      <c r="AL202" s="9"/>
    </row>
    <row r="203" spans="1:38" x14ac:dyDescent="0.25">
      <c r="A203" s="6">
        <f>ReturnData!A214</f>
        <v>199109</v>
      </c>
      <c r="S203">
        <f t="shared" si="6"/>
        <v>199109</v>
      </c>
      <c r="AK203">
        <f t="shared" si="7"/>
        <v>199109</v>
      </c>
      <c r="AL203" s="9"/>
    </row>
    <row r="204" spans="1:38" x14ac:dyDescent="0.25">
      <c r="A204" s="6">
        <f>ReturnData!A215</f>
        <v>199110</v>
      </c>
      <c r="S204">
        <f t="shared" si="6"/>
        <v>199110</v>
      </c>
      <c r="AK204">
        <f t="shared" si="7"/>
        <v>199110</v>
      </c>
      <c r="AL204" s="9"/>
    </row>
    <row r="205" spans="1:38" x14ac:dyDescent="0.25">
      <c r="A205" s="6">
        <f>ReturnData!A216</f>
        <v>199111</v>
      </c>
      <c r="S205">
        <f t="shared" si="6"/>
        <v>199111</v>
      </c>
      <c r="AK205">
        <f t="shared" si="7"/>
        <v>199111</v>
      </c>
      <c r="AL205" s="9"/>
    </row>
    <row r="206" spans="1:38" x14ac:dyDescent="0.25">
      <c r="A206" s="6">
        <f>ReturnData!A217</f>
        <v>199112</v>
      </c>
      <c r="S206">
        <f t="shared" si="6"/>
        <v>199112</v>
      </c>
      <c r="AK206">
        <f t="shared" si="7"/>
        <v>199112</v>
      </c>
      <c r="AL206" s="9"/>
    </row>
    <row r="207" spans="1:38" x14ac:dyDescent="0.25">
      <c r="A207" s="6">
        <f>ReturnData!A218</f>
        <v>199201</v>
      </c>
      <c r="S207">
        <f t="shared" si="6"/>
        <v>199201</v>
      </c>
      <c r="AK207">
        <f t="shared" si="7"/>
        <v>199201</v>
      </c>
      <c r="AL207" s="9"/>
    </row>
    <row r="208" spans="1:38" x14ac:dyDescent="0.25">
      <c r="A208" s="6">
        <f>ReturnData!A219</f>
        <v>199202</v>
      </c>
      <c r="S208">
        <f t="shared" si="6"/>
        <v>199202</v>
      </c>
      <c r="AK208">
        <f t="shared" si="7"/>
        <v>199202</v>
      </c>
      <c r="AL208" s="9"/>
    </row>
    <row r="209" spans="1:38" x14ac:dyDescent="0.25">
      <c r="A209" s="6">
        <f>ReturnData!A220</f>
        <v>199203</v>
      </c>
      <c r="S209">
        <f t="shared" si="6"/>
        <v>199203</v>
      </c>
      <c r="AK209">
        <f t="shared" si="7"/>
        <v>199203</v>
      </c>
      <c r="AL209" s="9"/>
    </row>
    <row r="210" spans="1:38" x14ac:dyDescent="0.25">
      <c r="A210" s="6">
        <f>ReturnData!A221</f>
        <v>199204</v>
      </c>
      <c r="S210">
        <f t="shared" si="6"/>
        <v>199204</v>
      </c>
      <c r="AK210">
        <f t="shared" si="7"/>
        <v>199204</v>
      </c>
      <c r="AL210" s="9"/>
    </row>
    <row r="211" spans="1:38" x14ac:dyDescent="0.25">
      <c r="A211" s="6">
        <f>ReturnData!A222</f>
        <v>199205</v>
      </c>
      <c r="S211">
        <f t="shared" si="6"/>
        <v>199205</v>
      </c>
      <c r="AK211">
        <f t="shared" si="7"/>
        <v>199205</v>
      </c>
      <c r="AL211" s="9"/>
    </row>
    <row r="212" spans="1:38" x14ac:dyDescent="0.25">
      <c r="A212" s="6">
        <f>ReturnData!A223</f>
        <v>199206</v>
      </c>
      <c r="S212">
        <f t="shared" si="6"/>
        <v>199206</v>
      </c>
      <c r="AK212">
        <f t="shared" si="7"/>
        <v>199206</v>
      </c>
      <c r="AL212" s="9"/>
    </row>
    <row r="213" spans="1:38" x14ac:dyDescent="0.25">
      <c r="A213" s="6">
        <f>ReturnData!A224</f>
        <v>199207</v>
      </c>
      <c r="S213">
        <f t="shared" si="6"/>
        <v>199207</v>
      </c>
      <c r="AK213">
        <f t="shared" si="7"/>
        <v>199207</v>
      </c>
      <c r="AL213" s="9"/>
    </row>
    <row r="214" spans="1:38" x14ac:dyDescent="0.25">
      <c r="A214" s="6">
        <f>ReturnData!A225</f>
        <v>199208</v>
      </c>
      <c r="S214">
        <f t="shared" si="6"/>
        <v>199208</v>
      </c>
      <c r="AK214">
        <f t="shared" si="7"/>
        <v>199208</v>
      </c>
      <c r="AL214" s="9"/>
    </row>
    <row r="215" spans="1:38" x14ac:dyDescent="0.25">
      <c r="A215" s="6">
        <f>ReturnData!A226</f>
        <v>199209</v>
      </c>
      <c r="S215">
        <f t="shared" si="6"/>
        <v>199209</v>
      </c>
      <c r="AK215">
        <f t="shared" si="7"/>
        <v>199209</v>
      </c>
      <c r="AL215" s="9"/>
    </row>
    <row r="216" spans="1:38" x14ac:dyDescent="0.25">
      <c r="A216" s="6">
        <f>ReturnData!A227</f>
        <v>199210</v>
      </c>
      <c r="S216">
        <f t="shared" si="6"/>
        <v>199210</v>
      </c>
      <c r="AK216">
        <f t="shared" si="7"/>
        <v>199210</v>
      </c>
      <c r="AL216" s="9"/>
    </row>
    <row r="217" spans="1:38" x14ac:dyDescent="0.25">
      <c r="A217" s="6">
        <f>ReturnData!A228</f>
        <v>199211</v>
      </c>
      <c r="S217">
        <f t="shared" si="6"/>
        <v>199211</v>
      </c>
      <c r="AK217">
        <f t="shared" si="7"/>
        <v>199211</v>
      </c>
      <c r="AL217" s="9"/>
    </row>
    <row r="218" spans="1:38" x14ac:dyDescent="0.25">
      <c r="A218" s="6">
        <f>ReturnData!A229</f>
        <v>199212</v>
      </c>
      <c r="S218">
        <f t="shared" si="6"/>
        <v>199212</v>
      </c>
      <c r="AK218">
        <f t="shared" si="7"/>
        <v>199212</v>
      </c>
      <c r="AL218" s="9"/>
    </row>
    <row r="219" spans="1:38" x14ac:dyDescent="0.25">
      <c r="A219" s="6">
        <f>ReturnData!A230</f>
        <v>199301</v>
      </c>
      <c r="S219">
        <f t="shared" si="6"/>
        <v>199301</v>
      </c>
      <c r="AK219">
        <f t="shared" si="7"/>
        <v>199301</v>
      </c>
      <c r="AL219" s="9"/>
    </row>
    <row r="220" spans="1:38" x14ac:dyDescent="0.25">
      <c r="A220" s="6">
        <f>ReturnData!A231</f>
        <v>199302</v>
      </c>
      <c r="S220">
        <f t="shared" si="6"/>
        <v>199302</v>
      </c>
      <c r="AK220">
        <f t="shared" si="7"/>
        <v>199302</v>
      </c>
      <c r="AL220" s="9"/>
    </row>
    <row r="221" spans="1:38" x14ac:dyDescent="0.25">
      <c r="A221" s="6">
        <f>ReturnData!A232</f>
        <v>199303</v>
      </c>
      <c r="S221">
        <f t="shared" si="6"/>
        <v>199303</v>
      </c>
      <c r="AK221">
        <f t="shared" si="7"/>
        <v>199303</v>
      </c>
      <c r="AL221" s="9"/>
    </row>
    <row r="222" spans="1:38" x14ac:dyDescent="0.25">
      <c r="A222" s="6">
        <f>ReturnData!A233</f>
        <v>199304</v>
      </c>
      <c r="S222">
        <f t="shared" si="6"/>
        <v>199304</v>
      </c>
      <c r="AK222">
        <f t="shared" si="7"/>
        <v>199304</v>
      </c>
      <c r="AL222" s="9"/>
    </row>
    <row r="223" spans="1:38" x14ac:dyDescent="0.25">
      <c r="A223" s="6">
        <f>ReturnData!A234</f>
        <v>199305</v>
      </c>
      <c r="S223">
        <f t="shared" si="6"/>
        <v>199305</v>
      </c>
      <c r="AK223">
        <f t="shared" si="7"/>
        <v>199305</v>
      </c>
      <c r="AL223" s="9"/>
    </row>
    <row r="224" spans="1:38" x14ac:dyDescent="0.25">
      <c r="A224" s="6">
        <f>ReturnData!A235</f>
        <v>199306</v>
      </c>
      <c r="S224">
        <f t="shared" si="6"/>
        <v>199306</v>
      </c>
      <c r="AK224">
        <f t="shared" si="7"/>
        <v>199306</v>
      </c>
      <c r="AL224" s="9"/>
    </row>
    <row r="225" spans="1:38" x14ac:dyDescent="0.25">
      <c r="A225" s="6">
        <f>ReturnData!A236</f>
        <v>199307</v>
      </c>
      <c r="S225">
        <f t="shared" si="6"/>
        <v>199307</v>
      </c>
      <c r="AK225">
        <f t="shared" si="7"/>
        <v>199307</v>
      </c>
      <c r="AL225" s="9"/>
    </row>
    <row r="226" spans="1:38" x14ac:dyDescent="0.25">
      <c r="A226" s="6">
        <f>ReturnData!A237</f>
        <v>199308</v>
      </c>
      <c r="S226">
        <f t="shared" si="6"/>
        <v>199308</v>
      </c>
      <c r="AK226">
        <f t="shared" si="7"/>
        <v>199308</v>
      </c>
      <c r="AL226" s="9"/>
    </row>
    <row r="227" spans="1:38" x14ac:dyDescent="0.25">
      <c r="A227" s="6">
        <f>ReturnData!A238</f>
        <v>199309</v>
      </c>
      <c r="S227">
        <f t="shared" si="6"/>
        <v>199309</v>
      </c>
      <c r="AK227">
        <f t="shared" si="7"/>
        <v>199309</v>
      </c>
      <c r="AL227" s="9"/>
    </row>
    <row r="228" spans="1:38" x14ac:dyDescent="0.25">
      <c r="A228" s="6">
        <f>ReturnData!A239</f>
        <v>199310</v>
      </c>
      <c r="S228">
        <f t="shared" si="6"/>
        <v>199310</v>
      </c>
      <c r="AK228">
        <f t="shared" si="7"/>
        <v>199310</v>
      </c>
      <c r="AL228" s="9"/>
    </row>
    <row r="229" spans="1:38" x14ac:dyDescent="0.25">
      <c r="A229" s="6">
        <f>ReturnData!A240</f>
        <v>199311</v>
      </c>
      <c r="S229">
        <f t="shared" si="6"/>
        <v>199311</v>
      </c>
      <c r="AK229">
        <f t="shared" si="7"/>
        <v>199311</v>
      </c>
      <c r="AL229" s="9"/>
    </row>
    <row r="230" spans="1:38" x14ac:dyDescent="0.25">
      <c r="A230" s="6">
        <f>ReturnData!A241</f>
        <v>199312</v>
      </c>
      <c r="S230">
        <f t="shared" si="6"/>
        <v>199312</v>
      </c>
      <c r="AK230">
        <f t="shared" si="7"/>
        <v>199312</v>
      </c>
      <c r="AL230" s="9"/>
    </row>
    <row r="231" spans="1:38" x14ac:dyDescent="0.25">
      <c r="A231" s="6">
        <f>ReturnData!A242</f>
        <v>199401</v>
      </c>
      <c r="S231">
        <f t="shared" si="6"/>
        <v>199401</v>
      </c>
      <c r="AK231">
        <f t="shared" si="7"/>
        <v>199401</v>
      </c>
      <c r="AL231" s="9"/>
    </row>
    <row r="232" spans="1:38" x14ac:dyDescent="0.25">
      <c r="A232" s="6">
        <f>ReturnData!A243</f>
        <v>199402</v>
      </c>
      <c r="S232">
        <f t="shared" si="6"/>
        <v>199402</v>
      </c>
      <c r="AK232">
        <f t="shared" si="7"/>
        <v>199402</v>
      </c>
      <c r="AL232" s="9"/>
    </row>
    <row r="233" spans="1:38" x14ac:dyDescent="0.25">
      <c r="A233" s="6">
        <f>ReturnData!A244</f>
        <v>199403</v>
      </c>
      <c r="S233">
        <f t="shared" si="6"/>
        <v>199403</v>
      </c>
      <c r="AK233">
        <f t="shared" si="7"/>
        <v>199403</v>
      </c>
      <c r="AL233" s="9"/>
    </row>
    <row r="234" spans="1:38" x14ac:dyDescent="0.25">
      <c r="A234" s="6">
        <f>ReturnData!A245</f>
        <v>199404</v>
      </c>
      <c r="S234">
        <f t="shared" si="6"/>
        <v>199404</v>
      </c>
      <c r="AK234">
        <f t="shared" si="7"/>
        <v>199404</v>
      </c>
      <c r="AL234" s="9"/>
    </row>
    <row r="235" spans="1:38" x14ac:dyDescent="0.25">
      <c r="A235" s="6">
        <f>ReturnData!A246</f>
        <v>199405</v>
      </c>
      <c r="S235">
        <f t="shared" si="6"/>
        <v>199405</v>
      </c>
      <c r="AK235">
        <f t="shared" si="7"/>
        <v>199405</v>
      </c>
      <c r="AL235" s="9"/>
    </row>
    <row r="236" spans="1:38" x14ac:dyDescent="0.25">
      <c r="A236" s="6">
        <f>ReturnData!A247</f>
        <v>199406</v>
      </c>
      <c r="S236">
        <f t="shared" si="6"/>
        <v>199406</v>
      </c>
      <c r="AK236">
        <f t="shared" si="7"/>
        <v>199406</v>
      </c>
      <c r="AL236" s="9"/>
    </row>
    <row r="237" spans="1:38" x14ac:dyDescent="0.25">
      <c r="A237" s="6">
        <f>ReturnData!A248</f>
        <v>199407</v>
      </c>
      <c r="S237">
        <f t="shared" si="6"/>
        <v>199407</v>
      </c>
      <c r="AK237">
        <f t="shared" si="7"/>
        <v>199407</v>
      </c>
      <c r="AL237" s="9"/>
    </row>
    <row r="238" spans="1:38" x14ac:dyDescent="0.25">
      <c r="A238" s="6">
        <f>ReturnData!A249</f>
        <v>199408</v>
      </c>
      <c r="S238">
        <f t="shared" si="6"/>
        <v>199408</v>
      </c>
      <c r="AK238">
        <f t="shared" si="7"/>
        <v>199408</v>
      </c>
      <c r="AL238" s="9"/>
    </row>
    <row r="239" spans="1:38" x14ac:dyDescent="0.25">
      <c r="A239" s="6">
        <f>ReturnData!A250</f>
        <v>199409</v>
      </c>
      <c r="S239">
        <f t="shared" si="6"/>
        <v>199409</v>
      </c>
      <c r="AK239">
        <f t="shared" si="7"/>
        <v>199409</v>
      </c>
      <c r="AL239" s="9"/>
    </row>
    <row r="240" spans="1:38" x14ac:dyDescent="0.25">
      <c r="A240" s="6">
        <f>ReturnData!A251</f>
        <v>199410</v>
      </c>
      <c r="S240">
        <f t="shared" si="6"/>
        <v>199410</v>
      </c>
      <c r="AK240">
        <f t="shared" si="7"/>
        <v>199410</v>
      </c>
      <c r="AL240" s="9"/>
    </row>
    <row r="241" spans="1:38" x14ac:dyDescent="0.25">
      <c r="A241" s="6">
        <f>ReturnData!A252</f>
        <v>199411</v>
      </c>
      <c r="S241">
        <f t="shared" si="6"/>
        <v>199411</v>
      </c>
      <c r="AK241">
        <f t="shared" si="7"/>
        <v>199411</v>
      </c>
      <c r="AL241" s="9"/>
    </row>
    <row r="242" spans="1:38" x14ac:dyDescent="0.25">
      <c r="A242" s="6">
        <f>ReturnData!A253</f>
        <v>199412</v>
      </c>
      <c r="S242">
        <f t="shared" si="6"/>
        <v>199412</v>
      </c>
      <c r="AK242">
        <f t="shared" si="7"/>
        <v>199412</v>
      </c>
      <c r="AL242" s="9"/>
    </row>
    <row r="243" spans="1:38" x14ac:dyDescent="0.25">
      <c r="A243" s="6">
        <f>ReturnData!A254</f>
        <v>199501</v>
      </c>
      <c r="S243">
        <f t="shared" si="6"/>
        <v>199501</v>
      </c>
      <c r="AK243">
        <f t="shared" si="7"/>
        <v>199501</v>
      </c>
      <c r="AL243" s="9"/>
    </row>
    <row r="244" spans="1:38" x14ac:dyDescent="0.25">
      <c r="A244" s="6">
        <f>ReturnData!A255</f>
        <v>199502</v>
      </c>
      <c r="S244">
        <f t="shared" si="6"/>
        <v>199502</v>
      </c>
      <c r="AK244">
        <f t="shared" si="7"/>
        <v>199502</v>
      </c>
      <c r="AL244" s="9"/>
    </row>
    <row r="245" spans="1:38" x14ac:dyDescent="0.25">
      <c r="A245" s="6">
        <f>ReturnData!A256</f>
        <v>199503</v>
      </c>
      <c r="S245">
        <f t="shared" si="6"/>
        <v>199503</v>
      </c>
      <c r="AK245">
        <f t="shared" si="7"/>
        <v>199503</v>
      </c>
      <c r="AL245" s="9"/>
    </row>
    <row r="246" spans="1:38" x14ac:dyDescent="0.25">
      <c r="A246" s="6">
        <f>ReturnData!A257</f>
        <v>199504</v>
      </c>
      <c r="S246">
        <f t="shared" si="6"/>
        <v>199504</v>
      </c>
      <c r="AK246">
        <f t="shared" si="7"/>
        <v>199504</v>
      </c>
      <c r="AL246" s="9"/>
    </row>
    <row r="247" spans="1:38" x14ac:dyDescent="0.25">
      <c r="A247" s="6">
        <f>ReturnData!A258</f>
        <v>199505</v>
      </c>
      <c r="S247">
        <f t="shared" si="6"/>
        <v>199505</v>
      </c>
      <c r="AK247">
        <f t="shared" si="7"/>
        <v>199505</v>
      </c>
      <c r="AL247" s="9"/>
    </row>
    <row r="248" spans="1:38" x14ac:dyDescent="0.25">
      <c r="A248" s="6">
        <f>ReturnData!A259</f>
        <v>199506</v>
      </c>
      <c r="S248">
        <f t="shared" si="6"/>
        <v>199506</v>
      </c>
      <c r="AK248">
        <f t="shared" si="7"/>
        <v>199506</v>
      </c>
      <c r="AL248" s="9"/>
    </row>
    <row r="249" spans="1:38" x14ac:dyDescent="0.25">
      <c r="A249" s="6">
        <f>ReturnData!A260</f>
        <v>199507</v>
      </c>
      <c r="S249">
        <f t="shared" si="6"/>
        <v>199507</v>
      </c>
      <c r="AK249">
        <f t="shared" si="7"/>
        <v>199507</v>
      </c>
      <c r="AL249" s="9"/>
    </row>
    <row r="250" spans="1:38" x14ac:dyDescent="0.25">
      <c r="A250" s="6">
        <f>ReturnData!A261</f>
        <v>199508</v>
      </c>
      <c r="S250">
        <f t="shared" si="6"/>
        <v>199508</v>
      </c>
      <c r="AK250">
        <f t="shared" si="7"/>
        <v>199508</v>
      </c>
      <c r="AL250" s="9"/>
    </row>
    <row r="251" spans="1:38" x14ac:dyDescent="0.25">
      <c r="A251" s="6">
        <f>ReturnData!A262</f>
        <v>199509</v>
      </c>
      <c r="S251">
        <f t="shared" si="6"/>
        <v>199509</v>
      </c>
      <c r="AK251">
        <f t="shared" si="7"/>
        <v>199509</v>
      </c>
      <c r="AL251" s="9"/>
    </row>
    <row r="252" spans="1:38" x14ac:dyDescent="0.25">
      <c r="A252" s="6">
        <f>ReturnData!A263</f>
        <v>199510</v>
      </c>
      <c r="S252">
        <f t="shared" si="6"/>
        <v>199510</v>
      </c>
      <c r="AK252">
        <f t="shared" si="7"/>
        <v>199510</v>
      </c>
      <c r="AL252" s="9"/>
    </row>
    <row r="253" spans="1:38" x14ac:dyDescent="0.25">
      <c r="A253" s="6">
        <f>ReturnData!A264</f>
        <v>199511</v>
      </c>
      <c r="S253">
        <f t="shared" si="6"/>
        <v>199511</v>
      </c>
      <c r="AK253">
        <f t="shared" si="7"/>
        <v>199511</v>
      </c>
      <c r="AL253" s="9"/>
    </row>
    <row r="254" spans="1:38" x14ac:dyDescent="0.25">
      <c r="A254" s="6">
        <f>ReturnData!A265</f>
        <v>199512</v>
      </c>
      <c r="S254">
        <f t="shared" si="6"/>
        <v>199512</v>
      </c>
      <c r="AK254">
        <f t="shared" si="7"/>
        <v>199512</v>
      </c>
      <c r="AL254" s="9"/>
    </row>
    <row r="255" spans="1:38" x14ac:dyDescent="0.25">
      <c r="A255" s="6">
        <f>ReturnData!A266</f>
        <v>199601</v>
      </c>
      <c r="S255">
        <f t="shared" si="6"/>
        <v>199601</v>
      </c>
      <c r="AK255">
        <f t="shared" si="7"/>
        <v>199601</v>
      </c>
      <c r="AL255" s="9"/>
    </row>
    <row r="256" spans="1:38" x14ac:dyDescent="0.25">
      <c r="A256" s="6">
        <f>ReturnData!A267</f>
        <v>199602</v>
      </c>
      <c r="S256">
        <f t="shared" si="6"/>
        <v>199602</v>
      </c>
      <c r="AK256">
        <f t="shared" si="7"/>
        <v>199602</v>
      </c>
      <c r="AL256" s="9"/>
    </row>
    <row r="257" spans="1:38" x14ac:dyDescent="0.25">
      <c r="A257" s="6">
        <f>ReturnData!A268</f>
        <v>199603</v>
      </c>
      <c r="S257">
        <f t="shared" si="6"/>
        <v>199603</v>
      </c>
      <c r="AK257">
        <f t="shared" si="7"/>
        <v>199603</v>
      </c>
      <c r="AL257" s="9"/>
    </row>
    <row r="258" spans="1:38" x14ac:dyDescent="0.25">
      <c r="A258" s="6">
        <f>ReturnData!A269</f>
        <v>199604</v>
      </c>
      <c r="S258">
        <f t="shared" si="6"/>
        <v>199604</v>
      </c>
      <c r="AK258">
        <f t="shared" si="7"/>
        <v>199604</v>
      </c>
      <c r="AL258" s="9"/>
    </row>
    <row r="259" spans="1:38" x14ac:dyDescent="0.25">
      <c r="A259" s="6">
        <f>ReturnData!A270</f>
        <v>199605</v>
      </c>
      <c r="S259">
        <f t="shared" ref="S259:S322" si="8">A259</f>
        <v>199605</v>
      </c>
      <c r="AK259">
        <f t="shared" ref="AK259:AK322" si="9">S259</f>
        <v>199605</v>
      </c>
      <c r="AL259" s="9"/>
    </row>
    <row r="260" spans="1:38" x14ac:dyDescent="0.25">
      <c r="A260" s="6">
        <f>ReturnData!A271</f>
        <v>199606</v>
      </c>
      <c r="S260">
        <f t="shared" si="8"/>
        <v>199606</v>
      </c>
      <c r="AK260">
        <f t="shared" si="9"/>
        <v>199606</v>
      </c>
      <c r="AL260" s="9"/>
    </row>
    <row r="261" spans="1:38" x14ac:dyDescent="0.25">
      <c r="A261" s="6">
        <f>ReturnData!A272</f>
        <v>199607</v>
      </c>
      <c r="S261">
        <f t="shared" si="8"/>
        <v>199607</v>
      </c>
      <c r="AK261">
        <f t="shared" si="9"/>
        <v>199607</v>
      </c>
      <c r="AL261" s="9"/>
    </row>
    <row r="262" spans="1:38" x14ac:dyDescent="0.25">
      <c r="A262" s="6">
        <f>ReturnData!A273</f>
        <v>199608</v>
      </c>
      <c r="S262">
        <f t="shared" si="8"/>
        <v>199608</v>
      </c>
      <c r="AK262">
        <f t="shared" si="9"/>
        <v>199608</v>
      </c>
      <c r="AL262" s="9"/>
    </row>
    <row r="263" spans="1:38" x14ac:dyDescent="0.25">
      <c r="A263" s="6">
        <f>ReturnData!A274</f>
        <v>199609</v>
      </c>
      <c r="S263">
        <f t="shared" si="8"/>
        <v>199609</v>
      </c>
      <c r="AK263">
        <f t="shared" si="9"/>
        <v>199609</v>
      </c>
      <c r="AL263" s="9"/>
    </row>
    <row r="264" spans="1:38" x14ac:dyDescent="0.25">
      <c r="A264" s="6">
        <f>ReturnData!A275</f>
        <v>199610</v>
      </c>
      <c r="S264">
        <f t="shared" si="8"/>
        <v>199610</v>
      </c>
      <c r="AK264">
        <f t="shared" si="9"/>
        <v>199610</v>
      </c>
      <c r="AL264" s="9"/>
    </row>
    <row r="265" spans="1:38" x14ac:dyDescent="0.25">
      <c r="A265" s="6">
        <f>ReturnData!A276</f>
        <v>199611</v>
      </c>
      <c r="S265">
        <f t="shared" si="8"/>
        <v>199611</v>
      </c>
      <c r="AK265">
        <f t="shared" si="9"/>
        <v>199611</v>
      </c>
      <c r="AL265" s="9"/>
    </row>
    <row r="266" spans="1:38" x14ac:dyDescent="0.25">
      <c r="A266" s="6">
        <f>ReturnData!A277</f>
        <v>199612</v>
      </c>
      <c r="S266">
        <f t="shared" si="8"/>
        <v>199612</v>
      </c>
      <c r="AK266">
        <f t="shared" si="9"/>
        <v>199612</v>
      </c>
      <c r="AL266" s="9"/>
    </row>
    <row r="267" spans="1:38" x14ac:dyDescent="0.25">
      <c r="A267" s="6">
        <f>ReturnData!A278</f>
        <v>199701</v>
      </c>
      <c r="S267">
        <f t="shared" si="8"/>
        <v>199701</v>
      </c>
      <c r="AK267">
        <f t="shared" si="9"/>
        <v>199701</v>
      </c>
      <c r="AL267" s="9"/>
    </row>
    <row r="268" spans="1:38" x14ac:dyDescent="0.25">
      <c r="A268" s="6">
        <f>ReturnData!A279</f>
        <v>199702</v>
      </c>
      <c r="S268">
        <f t="shared" si="8"/>
        <v>199702</v>
      </c>
      <c r="AK268">
        <f t="shared" si="9"/>
        <v>199702</v>
      </c>
      <c r="AL268" s="9"/>
    </row>
    <row r="269" spans="1:38" x14ac:dyDescent="0.25">
      <c r="A269" s="6">
        <f>ReturnData!A280</f>
        <v>199703</v>
      </c>
      <c r="S269">
        <f t="shared" si="8"/>
        <v>199703</v>
      </c>
      <c r="AK269">
        <f t="shared" si="9"/>
        <v>199703</v>
      </c>
      <c r="AL269" s="9"/>
    </row>
    <row r="270" spans="1:38" x14ac:dyDescent="0.25">
      <c r="A270" s="6">
        <f>ReturnData!A281</f>
        <v>199704</v>
      </c>
      <c r="S270">
        <f t="shared" si="8"/>
        <v>199704</v>
      </c>
      <c r="AK270">
        <f t="shared" si="9"/>
        <v>199704</v>
      </c>
      <c r="AL270" s="9"/>
    </row>
    <row r="271" spans="1:38" x14ac:dyDescent="0.25">
      <c r="A271" s="6">
        <f>ReturnData!A282</f>
        <v>199705</v>
      </c>
      <c r="S271">
        <f t="shared" si="8"/>
        <v>199705</v>
      </c>
      <c r="AK271">
        <f t="shared" si="9"/>
        <v>199705</v>
      </c>
      <c r="AL271" s="9"/>
    </row>
    <row r="272" spans="1:38" x14ac:dyDescent="0.25">
      <c r="A272" s="6">
        <f>ReturnData!A283</f>
        <v>199706</v>
      </c>
      <c r="S272">
        <f t="shared" si="8"/>
        <v>199706</v>
      </c>
      <c r="AK272">
        <f t="shared" si="9"/>
        <v>199706</v>
      </c>
      <c r="AL272" s="9"/>
    </row>
    <row r="273" spans="1:38" x14ac:dyDescent="0.25">
      <c r="A273" s="6">
        <f>ReturnData!A284</f>
        <v>199707</v>
      </c>
      <c r="S273">
        <f t="shared" si="8"/>
        <v>199707</v>
      </c>
      <c r="AK273">
        <f t="shared" si="9"/>
        <v>199707</v>
      </c>
      <c r="AL273" s="9"/>
    </row>
    <row r="274" spans="1:38" x14ac:dyDescent="0.25">
      <c r="A274" s="6">
        <f>ReturnData!A285</f>
        <v>199708</v>
      </c>
      <c r="S274">
        <f t="shared" si="8"/>
        <v>199708</v>
      </c>
      <c r="AK274">
        <f t="shared" si="9"/>
        <v>199708</v>
      </c>
      <c r="AL274" s="9"/>
    </row>
    <row r="275" spans="1:38" x14ac:dyDescent="0.25">
      <c r="A275" s="6">
        <f>ReturnData!A286</f>
        <v>199709</v>
      </c>
      <c r="S275">
        <f t="shared" si="8"/>
        <v>199709</v>
      </c>
      <c r="AK275">
        <f t="shared" si="9"/>
        <v>199709</v>
      </c>
      <c r="AL275" s="9"/>
    </row>
    <row r="276" spans="1:38" x14ac:dyDescent="0.25">
      <c r="A276" s="6">
        <f>ReturnData!A287</f>
        <v>199710</v>
      </c>
      <c r="S276">
        <f t="shared" si="8"/>
        <v>199710</v>
      </c>
      <c r="AK276">
        <f t="shared" si="9"/>
        <v>199710</v>
      </c>
      <c r="AL276" s="9"/>
    </row>
    <row r="277" spans="1:38" x14ac:dyDescent="0.25">
      <c r="A277" s="6">
        <f>ReturnData!A288</f>
        <v>199711</v>
      </c>
      <c r="S277">
        <f t="shared" si="8"/>
        <v>199711</v>
      </c>
      <c r="AK277">
        <f t="shared" si="9"/>
        <v>199711</v>
      </c>
      <c r="AL277" s="9"/>
    </row>
    <row r="278" spans="1:38" x14ac:dyDescent="0.25">
      <c r="A278" s="6">
        <f>ReturnData!A289</f>
        <v>199712</v>
      </c>
      <c r="S278">
        <f t="shared" si="8"/>
        <v>199712</v>
      </c>
      <c r="AK278">
        <f t="shared" si="9"/>
        <v>199712</v>
      </c>
      <c r="AL278" s="9"/>
    </row>
    <row r="279" spans="1:38" x14ac:dyDescent="0.25">
      <c r="A279" s="6">
        <f>ReturnData!A290</f>
        <v>199801</v>
      </c>
      <c r="S279">
        <f t="shared" si="8"/>
        <v>199801</v>
      </c>
      <c r="AK279">
        <f t="shared" si="9"/>
        <v>199801</v>
      </c>
      <c r="AL279" s="9"/>
    </row>
    <row r="280" spans="1:38" x14ac:dyDescent="0.25">
      <c r="A280" s="6">
        <f>ReturnData!A291</f>
        <v>199802</v>
      </c>
      <c r="S280">
        <f t="shared" si="8"/>
        <v>199802</v>
      </c>
      <c r="AK280">
        <f t="shared" si="9"/>
        <v>199802</v>
      </c>
      <c r="AL280" s="9"/>
    </row>
    <row r="281" spans="1:38" x14ac:dyDescent="0.25">
      <c r="A281" s="6">
        <f>ReturnData!A292</f>
        <v>199803</v>
      </c>
      <c r="S281">
        <f t="shared" si="8"/>
        <v>199803</v>
      </c>
      <c r="AK281">
        <f t="shared" si="9"/>
        <v>199803</v>
      </c>
      <c r="AL281" s="9"/>
    </row>
    <row r="282" spans="1:38" x14ac:dyDescent="0.25">
      <c r="A282" s="6">
        <f>ReturnData!A293</f>
        <v>199804</v>
      </c>
      <c r="S282">
        <f t="shared" si="8"/>
        <v>199804</v>
      </c>
      <c r="AK282">
        <f t="shared" si="9"/>
        <v>199804</v>
      </c>
      <c r="AL282" s="9"/>
    </row>
    <row r="283" spans="1:38" x14ac:dyDescent="0.25">
      <c r="A283" s="6">
        <f>ReturnData!A294</f>
        <v>199805</v>
      </c>
      <c r="S283">
        <f t="shared" si="8"/>
        <v>199805</v>
      </c>
      <c r="AK283">
        <f t="shared" si="9"/>
        <v>199805</v>
      </c>
      <c r="AL283" s="9"/>
    </row>
    <row r="284" spans="1:38" x14ac:dyDescent="0.25">
      <c r="A284" s="6">
        <f>ReturnData!A295</f>
        <v>199806</v>
      </c>
      <c r="S284">
        <f t="shared" si="8"/>
        <v>199806</v>
      </c>
      <c r="AK284">
        <f t="shared" si="9"/>
        <v>199806</v>
      </c>
      <c r="AL284" s="9"/>
    </row>
    <row r="285" spans="1:38" x14ac:dyDescent="0.25">
      <c r="A285" s="6">
        <f>ReturnData!A296</f>
        <v>199807</v>
      </c>
      <c r="S285">
        <f t="shared" si="8"/>
        <v>199807</v>
      </c>
      <c r="AK285">
        <f t="shared" si="9"/>
        <v>199807</v>
      </c>
      <c r="AL285" s="9"/>
    </row>
    <row r="286" spans="1:38" x14ac:dyDescent="0.25">
      <c r="A286" s="6">
        <f>ReturnData!A297</f>
        <v>199808</v>
      </c>
      <c r="S286">
        <f t="shared" si="8"/>
        <v>199808</v>
      </c>
      <c r="AK286">
        <f t="shared" si="9"/>
        <v>199808</v>
      </c>
      <c r="AL286" s="9"/>
    </row>
    <row r="287" spans="1:38" x14ac:dyDescent="0.25">
      <c r="A287" s="6">
        <f>ReturnData!A298</f>
        <v>199809</v>
      </c>
      <c r="S287">
        <f t="shared" si="8"/>
        <v>199809</v>
      </c>
      <c r="AK287">
        <f t="shared" si="9"/>
        <v>199809</v>
      </c>
      <c r="AL287" s="9"/>
    </row>
    <row r="288" spans="1:38" x14ac:dyDescent="0.25">
      <c r="A288" s="6">
        <f>ReturnData!A299</f>
        <v>199810</v>
      </c>
      <c r="S288">
        <f t="shared" si="8"/>
        <v>199810</v>
      </c>
      <c r="AK288">
        <f t="shared" si="9"/>
        <v>199810</v>
      </c>
      <c r="AL288" s="9"/>
    </row>
    <row r="289" spans="1:38" x14ac:dyDescent="0.25">
      <c r="A289" s="6">
        <f>ReturnData!A300</f>
        <v>199811</v>
      </c>
      <c r="S289">
        <f t="shared" si="8"/>
        <v>199811</v>
      </c>
      <c r="AK289">
        <f t="shared" si="9"/>
        <v>199811</v>
      </c>
      <c r="AL289" s="9"/>
    </row>
    <row r="290" spans="1:38" x14ac:dyDescent="0.25">
      <c r="A290" s="6">
        <f>ReturnData!A301</f>
        <v>199812</v>
      </c>
      <c r="S290">
        <f t="shared" si="8"/>
        <v>199812</v>
      </c>
      <c r="AK290">
        <f t="shared" si="9"/>
        <v>199812</v>
      </c>
      <c r="AL290" s="9"/>
    </row>
    <row r="291" spans="1:38" x14ac:dyDescent="0.25">
      <c r="A291" s="6">
        <f>ReturnData!A302</f>
        <v>199901</v>
      </c>
      <c r="S291">
        <f t="shared" si="8"/>
        <v>199901</v>
      </c>
      <c r="AK291">
        <f t="shared" si="9"/>
        <v>199901</v>
      </c>
      <c r="AL291" s="9"/>
    </row>
    <row r="292" spans="1:38" x14ac:dyDescent="0.25">
      <c r="A292" s="6">
        <f>ReturnData!A303</f>
        <v>199902</v>
      </c>
      <c r="S292">
        <f t="shared" si="8"/>
        <v>199902</v>
      </c>
      <c r="AK292">
        <f t="shared" si="9"/>
        <v>199902</v>
      </c>
      <c r="AL292" s="9"/>
    </row>
    <row r="293" spans="1:38" x14ac:dyDescent="0.25">
      <c r="A293" s="6">
        <f>ReturnData!A304</f>
        <v>199903</v>
      </c>
      <c r="S293">
        <f t="shared" si="8"/>
        <v>199903</v>
      </c>
      <c r="AK293">
        <f t="shared" si="9"/>
        <v>199903</v>
      </c>
      <c r="AL293" s="9"/>
    </row>
    <row r="294" spans="1:38" x14ac:dyDescent="0.25">
      <c r="A294" s="6">
        <f>ReturnData!A305</f>
        <v>199904</v>
      </c>
      <c r="S294">
        <f t="shared" si="8"/>
        <v>199904</v>
      </c>
      <c r="AK294">
        <f t="shared" si="9"/>
        <v>199904</v>
      </c>
      <c r="AL294" s="9"/>
    </row>
    <row r="295" spans="1:38" x14ac:dyDescent="0.25">
      <c r="A295" s="6">
        <f>ReturnData!A306</f>
        <v>199905</v>
      </c>
      <c r="S295">
        <f t="shared" si="8"/>
        <v>199905</v>
      </c>
      <c r="AK295">
        <f t="shared" si="9"/>
        <v>199905</v>
      </c>
      <c r="AL295" s="9"/>
    </row>
    <row r="296" spans="1:38" x14ac:dyDescent="0.25">
      <c r="A296" s="6">
        <f>ReturnData!A307</f>
        <v>199906</v>
      </c>
      <c r="S296">
        <f t="shared" si="8"/>
        <v>199906</v>
      </c>
      <c r="AK296">
        <f t="shared" si="9"/>
        <v>199906</v>
      </c>
      <c r="AL296" s="9"/>
    </row>
    <row r="297" spans="1:38" x14ac:dyDescent="0.25">
      <c r="A297" s="6">
        <f>ReturnData!A308</f>
        <v>199907</v>
      </c>
      <c r="S297">
        <f t="shared" si="8"/>
        <v>199907</v>
      </c>
      <c r="AK297">
        <f t="shared" si="9"/>
        <v>199907</v>
      </c>
      <c r="AL297" s="9"/>
    </row>
    <row r="298" spans="1:38" x14ac:dyDescent="0.25">
      <c r="A298" s="6">
        <f>ReturnData!A309</f>
        <v>199908</v>
      </c>
      <c r="S298">
        <f t="shared" si="8"/>
        <v>199908</v>
      </c>
      <c r="AK298">
        <f t="shared" si="9"/>
        <v>199908</v>
      </c>
      <c r="AL298" s="9"/>
    </row>
    <row r="299" spans="1:38" x14ac:dyDescent="0.25">
      <c r="A299" s="6">
        <f>ReturnData!A310</f>
        <v>199909</v>
      </c>
      <c r="S299">
        <f t="shared" si="8"/>
        <v>199909</v>
      </c>
      <c r="AK299">
        <f t="shared" si="9"/>
        <v>199909</v>
      </c>
      <c r="AL299" s="9"/>
    </row>
    <row r="300" spans="1:38" x14ac:dyDescent="0.25">
      <c r="A300" s="6">
        <f>ReturnData!A311</f>
        <v>199910</v>
      </c>
      <c r="S300">
        <f t="shared" si="8"/>
        <v>199910</v>
      </c>
      <c r="AK300">
        <f t="shared" si="9"/>
        <v>199910</v>
      </c>
      <c r="AL300" s="9"/>
    </row>
    <row r="301" spans="1:38" x14ac:dyDescent="0.25">
      <c r="A301" s="6">
        <f>ReturnData!A312</f>
        <v>199911</v>
      </c>
      <c r="S301">
        <f t="shared" si="8"/>
        <v>199911</v>
      </c>
      <c r="AK301">
        <f t="shared" si="9"/>
        <v>199911</v>
      </c>
      <c r="AL301" s="9"/>
    </row>
    <row r="302" spans="1:38" x14ac:dyDescent="0.25">
      <c r="A302" s="6">
        <f>ReturnData!A313</f>
        <v>199912</v>
      </c>
      <c r="S302">
        <f t="shared" si="8"/>
        <v>199912</v>
      </c>
      <c r="AK302">
        <f t="shared" si="9"/>
        <v>199912</v>
      </c>
      <c r="AL302" s="9"/>
    </row>
    <row r="303" spans="1:38" x14ac:dyDescent="0.25">
      <c r="A303" s="6">
        <f>ReturnData!A314</f>
        <v>200001</v>
      </c>
      <c r="S303">
        <f t="shared" si="8"/>
        <v>200001</v>
      </c>
      <c r="AK303">
        <f t="shared" si="9"/>
        <v>200001</v>
      </c>
      <c r="AL303" s="9"/>
    </row>
    <row r="304" spans="1:38" x14ac:dyDescent="0.25">
      <c r="A304" s="6">
        <f>ReturnData!A315</f>
        <v>200002</v>
      </c>
      <c r="S304">
        <f t="shared" si="8"/>
        <v>200002</v>
      </c>
      <c r="AK304">
        <f t="shared" si="9"/>
        <v>200002</v>
      </c>
      <c r="AL304" s="9"/>
    </row>
    <row r="305" spans="1:38" x14ac:dyDescent="0.25">
      <c r="A305" s="6">
        <f>ReturnData!A316</f>
        <v>200003</v>
      </c>
      <c r="S305">
        <f t="shared" si="8"/>
        <v>200003</v>
      </c>
      <c r="AK305">
        <f t="shared" si="9"/>
        <v>200003</v>
      </c>
      <c r="AL305" s="9"/>
    </row>
    <row r="306" spans="1:38" x14ac:dyDescent="0.25">
      <c r="A306" s="6">
        <f>ReturnData!A317</f>
        <v>200004</v>
      </c>
      <c r="S306">
        <f t="shared" si="8"/>
        <v>200004</v>
      </c>
      <c r="AK306">
        <f t="shared" si="9"/>
        <v>200004</v>
      </c>
      <c r="AL306" s="9"/>
    </row>
    <row r="307" spans="1:38" x14ac:dyDescent="0.25">
      <c r="A307" s="6">
        <f>ReturnData!A318</f>
        <v>200005</v>
      </c>
      <c r="S307">
        <f t="shared" si="8"/>
        <v>200005</v>
      </c>
      <c r="AK307">
        <f t="shared" si="9"/>
        <v>200005</v>
      </c>
      <c r="AL307" s="9"/>
    </row>
    <row r="308" spans="1:38" x14ac:dyDescent="0.25">
      <c r="A308" s="6">
        <f>ReturnData!A319</f>
        <v>200006</v>
      </c>
      <c r="S308">
        <f t="shared" si="8"/>
        <v>200006</v>
      </c>
      <c r="AK308">
        <f t="shared" si="9"/>
        <v>200006</v>
      </c>
      <c r="AL308" s="9"/>
    </row>
    <row r="309" spans="1:38" x14ac:dyDescent="0.25">
      <c r="A309" s="6">
        <f>ReturnData!A320</f>
        <v>200007</v>
      </c>
      <c r="S309">
        <f t="shared" si="8"/>
        <v>200007</v>
      </c>
      <c r="AK309">
        <f t="shared" si="9"/>
        <v>200007</v>
      </c>
      <c r="AL309" s="9"/>
    </row>
    <row r="310" spans="1:38" x14ac:dyDescent="0.25">
      <c r="A310" s="6">
        <f>ReturnData!A321</f>
        <v>200008</v>
      </c>
      <c r="S310">
        <f t="shared" si="8"/>
        <v>200008</v>
      </c>
      <c r="AK310">
        <f t="shared" si="9"/>
        <v>200008</v>
      </c>
      <c r="AL310" s="9"/>
    </row>
    <row r="311" spans="1:38" x14ac:dyDescent="0.25">
      <c r="A311" s="6">
        <f>ReturnData!A322</f>
        <v>200009</v>
      </c>
      <c r="S311">
        <f t="shared" si="8"/>
        <v>200009</v>
      </c>
      <c r="AK311">
        <f t="shared" si="9"/>
        <v>200009</v>
      </c>
      <c r="AL311" s="9"/>
    </row>
    <row r="312" spans="1:38" x14ac:dyDescent="0.25">
      <c r="A312" s="6">
        <f>ReturnData!A323</f>
        <v>200010</v>
      </c>
      <c r="S312">
        <f t="shared" si="8"/>
        <v>200010</v>
      </c>
      <c r="AK312">
        <f t="shared" si="9"/>
        <v>200010</v>
      </c>
      <c r="AL312" s="9"/>
    </row>
    <row r="313" spans="1:38" x14ac:dyDescent="0.25">
      <c r="A313" s="6">
        <f>ReturnData!A324</f>
        <v>200011</v>
      </c>
      <c r="S313">
        <f t="shared" si="8"/>
        <v>200011</v>
      </c>
      <c r="AK313">
        <f t="shared" si="9"/>
        <v>200011</v>
      </c>
      <c r="AL313" s="9"/>
    </row>
    <row r="314" spans="1:38" x14ac:dyDescent="0.25">
      <c r="A314" s="6">
        <f>ReturnData!A325</f>
        <v>200012</v>
      </c>
      <c r="S314">
        <f t="shared" si="8"/>
        <v>200012</v>
      </c>
      <c r="AK314">
        <f t="shared" si="9"/>
        <v>200012</v>
      </c>
      <c r="AL314" s="9"/>
    </row>
    <row r="315" spans="1:38" x14ac:dyDescent="0.25">
      <c r="A315" s="6">
        <f>ReturnData!A326</f>
        <v>200101</v>
      </c>
      <c r="S315">
        <f t="shared" si="8"/>
        <v>200101</v>
      </c>
      <c r="AK315">
        <f t="shared" si="9"/>
        <v>200101</v>
      </c>
      <c r="AL315" s="9"/>
    </row>
    <row r="316" spans="1:38" x14ac:dyDescent="0.25">
      <c r="A316" s="6">
        <f>ReturnData!A327</f>
        <v>200102</v>
      </c>
      <c r="S316">
        <f t="shared" si="8"/>
        <v>200102</v>
      </c>
      <c r="AK316">
        <f t="shared" si="9"/>
        <v>200102</v>
      </c>
      <c r="AL316" s="9"/>
    </row>
    <row r="317" spans="1:38" x14ac:dyDescent="0.25">
      <c r="A317" s="6">
        <f>ReturnData!A328</f>
        <v>200103</v>
      </c>
      <c r="S317">
        <f t="shared" si="8"/>
        <v>200103</v>
      </c>
      <c r="AK317">
        <f t="shared" si="9"/>
        <v>200103</v>
      </c>
      <c r="AL317" s="9"/>
    </row>
    <row r="318" spans="1:38" x14ac:dyDescent="0.25">
      <c r="A318" s="6">
        <f>ReturnData!A329</f>
        <v>200104</v>
      </c>
      <c r="S318">
        <f t="shared" si="8"/>
        <v>200104</v>
      </c>
      <c r="AK318">
        <f t="shared" si="9"/>
        <v>200104</v>
      </c>
      <c r="AL318" s="9"/>
    </row>
    <row r="319" spans="1:38" x14ac:dyDescent="0.25">
      <c r="A319" s="6">
        <f>ReturnData!A330</f>
        <v>200105</v>
      </c>
      <c r="S319">
        <f t="shared" si="8"/>
        <v>200105</v>
      </c>
      <c r="AK319">
        <f t="shared" si="9"/>
        <v>200105</v>
      </c>
      <c r="AL319" s="9"/>
    </row>
    <row r="320" spans="1:38" x14ac:dyDescent="0.25">
      <c r="A320" s="6">
        <f>ReturnData!A331</f>
        <v>200106</v>
      </c>
      <c r="S320">
        <f t="shared" si="8"/>
        <v>200106</v>
      </c>
      <c r="AK320">
        <f t="shared" si="9"/>
        <v>200106</v>
      </c>
      <c r="AL320" s="9"/>
    </row>
    <row r="321" spans="1:38" x14ac:dyDescent="0.25">
      <c r="A321" s="6">
        <f>ReturnData!A332</f>
        <v>200107</v>
      </c>
      <c r="S321">
        <f t="shared" si="8"/>
        <v>200107</v>
      </c>
      <c r="AK321">
        <f t="shared" si="9"/>
        <v>200107</v>
      </c>
      <c r="AL321" s="9"/>
    </row>
    <row r="322" spans="1:38" x14ac:dyDescent="0.25">
      <c r="A322" s="6">
        <f>ReturnData!A333</f>
        <v>200108</v>
      </c>
      <c r="S322">
        <f t="shared" si="8"/>
        <v>200108</v>
      </c>
      <c r="AK322">
        <f t="shared" si="9"/>
        <v>200108</v>
      </c>
      <c r="AL322" s="9"/>
    </row>
    <row r="323" spans="1:38" x14ac:dyDescent="0.25">
      <c r="A323" s="6">
        <f>ReturnData!A334</f>
        <v>200109</v>
      </c>
      <c r="S323">
        <f t="shared" ref="S323:S386" si="10">A323</f>
        <v>200109</v>
      </c>
      <c r="AK323">
        <f t="shared" ref="AK323:AK386" si="11">S323</f>
        <v>200109</v>
      </c>
      <c r="AL323" s="9"/>
    </row>
    <row r="324" spans="1:38" x14ac:dyDescent="0.25">
      <c r="A324" s="6">
        <f>ReturnData!A335</f>
        <v>200110</v>
      </c>
      <c r="S324">
        <f t="shared" si="10"/>
        <v>200110</v>
      </c>
      <c r="AK324">
        <f t="shared" si="11"/>
        <v>200110</v>
      </c>
      <c r="AL324" s="9"/>
    </row>
    <row r="325" spans="1:38" x14ac:dyDescent="0.25">
      <c r="A325" s="6">
        <f>ReturnData!A336</f>
        <v>200111</v>
      </c>
      <c r="S325">
        <f t="shared" si="10"/>
        <v>200111</v>
      </c>
      <c r="AK325">
        <f t="shared" si="11"/>
        <v>200111</v>
      </c>
      <c r="AL325" s="9"/>
    </row>
    <row r="326" spans="1:38" x14ac:dyDescent="0.25">
      <c r="A326" s="6">
        <f>ReturnData!A337</f>
        <v>200112</v>
      </c>
      <c r="S326">
        <f t="shared" si="10"/>
        <v>200112</v>
      </c>
      <c r="AK326">
        <f t="shared" si="11"/>
        <v>200112</v>
      </c>
      <c r="AL326" s="9"/>
    </row>
    <row r="327" spans="1:38" x14ac:dyDescent="0.25">
      <c r="A327" s="6">
        <f>ReturnData!A338</f>
        <v>200201</v>
      </c>
      <c r="S327">
        <f t="shared" si="10"/>
        <v>200201</v>
      </c>
      <c r="AK327">
        <f t="shared" si="11"/>
        <v>200201</v>
      </c>
      <c r="AL327" s="9"/>
    </row>
    <row r="328" spans="1:38" x14ac:dyDescent="0.25">
      <c r="A328" s="6">
        <f>ReturnData!A339</f>
        <v>200202</v>
      </c>
      <c r="S328">
        <f t="shared" si="10"/>
        <v>200202</v>
      </c>
      <c r="AK328">
        <f t="shared" si="11"/>
        <v>200202</v>
      </c>
      <c r="AL328" s="9"/>
    </row>
    <row r="329" spans="1:38" x14ac:dyDescent="0.25">
      <c r="A329" s="6">
        <f>ReturnData!A340</f>
        <v>200203</v>
      </c>
      <c r="S329">
        <f t="shared" si="10"/>
        <v>200203</v>
      </c>
      <c r="AK329">
        <f t="shared" si="11"/>
        <v>200203</v>
      </c>
      <c r="AL329" s="9"/>
    </row>
    <row r="330" spans="1:38" x14ac:dyDescent="0.25">
      <c r="A330" s="6">
        <f>ReturnData!A341</f>
        <v>200204</v>
      </c>
      <c r="S330">
        <f t="shared" si="10"/>
        <v>200204</v>
      </c>
      <c r="AK330">
        <f t="shared" si="11"/>
        <v>200204</v>
      </c>
      <c r="AL330" s="9"/>
    </row>
    <row r="331" spans="1:38" x14ac:dyDescent="0.25">
      <c r="A331" s="6">
        <f>ReturnData!A342</f>
        <v>200205</v>
      </c>
      <c r="S331">
        <f t="shared" si="10"/>
        <v>200205</v>
      </c>
      <c r="AK331">
        <f t="shared" si="11"/>
        <v>200205</v>
      </c>
      <c r="AL331" s="9"/>
    </row>
    <row r="332" spans="1:38" x14ac:dyDescent="0.25">
      <c r="A332" s="6">
        <f>ReturnData!A343</f>
        <v>200206</v>
      </c>
      <c r="S332">
        <f t="shared" si="10"/>
        <v>200206</v>
      </c>
      <c r="AK332">
        <f t="shared" si="11"/>
        <v>200206</v>
      </c>
      <c r="AL332" s="9"/>
    </row>
    <row r="333" spans="1:38" x14ac:dyDescent="0.25">
      <c r="A333" s="6">
        <f>ReturnData!A344</f>
        <v>200207</v>
      </c>
      <c r="S333">
        <f t="shared" si="10"/>
        <v>200207</v>
      </c>
      <c r="AK333">
        <f t="shared" si="11"/>
        <v>200207</v>
      </c>
      <c r="AL333" s="9"/>
    </row>
    <row r="334" spans="1:38" x14ac:dyDescent="0.25">
      <c r="A334" s="6">
        <f>ReturnData!A345</f>
        <v>200208</v>
      </c>
      <c r="S334">
        <f t="shared" si="10"/>
        <v>200208</v>
      </c>
      <c r="AK334">
        <f t="shared" si="11"/>
        <v>200208</v>
      </c>
      <c r="AL334" s="9"/>
    </row>
    <row r="335" spans="1:38" x14ac:dyDescent="0.25">
      <c r="A335" s="6">
        <f>ReturnData!A346</f>
        <v>200209</v>
      </c>
      <c r="S335">
        <f t="shared" si="10"/>
        <v>200209</v>
      </c>
      <c r="AK335">
        <f t="shared" si="11"/>
        <v>200209</v>
      </c>
      <c r="AL335" s="9"/>
    </row>
    <row r="336" spans="1:38" x14ac:dyDescent="0.25">
      <c r="A336" s="6">
        <f>ReturnData!A347</f>
        <v>200210</v>
      </c>
      <c r="S336">
        <f t="shared" si="10"/>
        <v>200210</v>
      </c>
      <c r="AK336">
        <f t="shared" si="11"/>
        <v>200210</v>
      </c>
      <c r="AL336" s="9"/>
    </row>
    <row r="337" spans="1:38" x14ac:dyDescent="0.25">
      <c r="A337" s="6">
        <f>ReturnData!A348</f>
        <v>200211</v>
      </c>
      <c r="S337">
        <f t="shared" si="10"/>
        <v>200211</v>
      </c>
      <c r="AK337">
        <f t="shared" si="11"/>
        <v>200211</v>
      </c>
      <c r="AL337" s="9"/>
    </row>
    <row r="338" spans="1:38" x14ac:dyDescent="0.25">
      <c r="A338" s="6">
        <f>ReturnData!A349</f>
        <v>200212</v>
      </c>
      <c r="S338">
        <f t="shared" si="10"/>
        <v>200212</v>
      </c>
      <c r="AK338">
        <f t="shared" si="11"/>
        <v>200212</v>
      </c>
      <c r="AL338" s="9"/>
    </row>
    <row r="339" spans="1:38" x14ac:dyDescent="0.25">
      <c r="A339" s="6">
        <f>ReturnData!A350</f>
        <v>200301</v>
      </c>
      <c r="S339">
        <f t="shared" si="10"/>
        <v>200301</v>
      </c>
      <c r="AK339">
        <f t="shared" si="11"/>
        <v>200301</v>
      </c>
      <c r="AL339" s="9"/>
    </row>
    <row r="340" spans="1:38" x14ac:dyDescent="0.25">
      <c r="A340" s="6">
        <f>ReturnData!A351</f>
        <v>200302</v>
      </c>
      <c r="S340">
        <f t="shared" si="10"/>
        <v>200302</v>
      </c>
      <c r="AK340">
        <f t="shared" si="11"/>
        <v>200302</v>
      </c>
      <c r="AL340" s="9"/>
    </row>
    <row r="341" spans="1:38" x14ac:dyDescent="0.25">
      <c r="A341" s="6">
        <f>ReturnData!A352</f>
        <v>200303</v>
      </c>
      <c r="S341">
        <f t="shared" si="10"/>
        <v>200303</v>
      </c>
      <c r="AK341">
        <f t="shared" si="11"/>
        <v>200303</v>
      </c>
      <c r="AL341" s="9"/>
    </row>
    <row r="342" spans="1:38" x14ac:dyDescent="0.25">
      <c r="A342" s="6">
        <f>ReturnData!A353</f>
        <v>200304</v>
      </c>
      <c r="S342">
        <f t="shared" si="10"/>
        <v>200304</v>
      </c>
      <c r="AK342">
        <f t="shared" si="11"/>
        <v>200304</v>
      </c>
      <c r="AL342" s="9"/>
    </row>
    <row r="343" spans="1:38" x14ac:dyDescent="0.25">
      <c r="A343" s="6">
        <f>ReturnData!A354</f>
        <v>200305</v>
      </c>
      <c r="S343">
        <f t="shared" si="10"/>
        <v>200305</v>
      </c>
      <c r="AK343">
        <f t="shared" si="11"/>
        <v>200305</v>
      </c>
      <c r="AL343" s="9"/>
    </row>
    <row r="344" spans="1:38" x14ac:dyDescent="0.25">
      <c r="A344" s="6">
        <f>ReturnData!A355</f>
        <v>200306</v>
      </c>
      <c r="S344">
        <f t="shared" si="10"/>
        <v>200306</v>
      </c>
      <c r="AK344">
        <f t="shared" si="11"/>
        <v>200306</v>
      </c>
      <c r="AL344" s="9"/>
    </row>
    <row r="345" spans="1:38" x14ac:dyDescent="0.25">
      <c r="A345" s="6">
        <f>ReturnData!A356</f>
        <v>200307</v>
      </c>
      <c r="S345">
        <f t="shared" si="10"/>
        <v>200307</v>
      </c>
      <c r="AK345">
        <f t="shared" si="11"/>
        <v>200307</v>
      </c>
      <c r="AL345" s="9"/>
    </row>
    <row r="346" spans="1:38" x14ac:dyDescent="0.25">
      <c r="A346" s="6">
        <f>ReturnData!A357</f>
        <v>200308</v>
      </c>
      <c r="S346">
        <f t="shared" si="10"/>
        <v>200308</v>
      </c>
      <c r="AK346">
        <f t="shared" si="11"/>
        <v>200308</v>
      </c>
      <c r="AL346" s="9"/>
    </row>
    <row r="347" spans="1:38" x14ac:dyDescent="0.25">
      <c r="A347" s="6">
        <f>ReturnData!A358</f>
        <v>200309</v>
      </c>
      <c r="S347">
        <f t="shared" si="10"/>
        <v>200309</v>
      </c>
      <c r="AK347">
        <f t="shared" si="11"/>
        <v>200309</v>
      </c>
      <c r="AL347" s="9"/>
    </row>
    <row r="348" spans="1:38" x14ac:dyDescent="0.25">
      <c r="A348" s="6">
        <f>ReturnData!A359</f>
        <v>200310</v>
      </c>
      <c r="S348">
        <f t="shared" si="10"/>
        <v>200310</v>
      </c>
      <c r="AK348">
        <f t="shared" si="11"/>
        <v>200310</v>
      </c>
      <c r="AL348" s="9"/>
    </row>
    <row r="349" spans="1:38" x14ac:dyDescent="0.25">
      <c r="A349" s="6">
        <f>ReturnData!A360</f>
        <v>200311</v>
      </c>
      <c r="S349">
        <f t="shared" si="10"/>
        <v>200311</v>
      </c>
      <c r="AK349">
        <f t="shared" si="11"/>
        <v>200311</v>
      </c>
      <c r="AL349" s="9"/>
    </row>
    <row r="350" spans="1:38" x14ac:dyDescent="0.25">
      <c r="A350" s="6">
        <f>ReturnData!A361</f>
        <v>200312</v>
      </c>
      <c r="S350">
        <f t="shared" si="10"/>
        <v>200312</v>
      </c>
      <c r="AK350">
        <f t="shared" si="11"/>
        <v>200312</v>
      </c>
      <c r="AL350" s="9"/>
    </row>
    <row r="351" spans="1:38" x14ac:dyDescent="0.25">
      <c r="A351" s="6">
        <f>ReturnData!A362</f>
        <v>200401</v>
      </c>
      <c r="S351">
        <f t="shared" si="10"/>
        <v>200401</v>
      </c>
      <c r="AK351">
        <f t="shared" si="11"/>
        <v>200401</v>
      </c>
      <c r="AL351" s="9"/>
    </row>
    <row r="352" spans="1:38" x14ac:dyDescent="0.25">
      <c r="A352" s="6">
        <f>ReturnData!A363</f>
        <v>200402</v>
      </c>
      <c r="S352">
        <f t="shared" si="10"/>
        <v>200402</v>
      </c>
      <c r="AK352">
        <f t="shared" si="11"/>
        <v>200402</v>
      </c>
      <c r="AL352" s="9"/>
    </row>
    <row r="353" spans="1:38" x14ac:dyDescent="0.25">
      <c r="A353" s="6">
        <f>ReturnData!A364</f>
        <v>200403</v>
      </c>
      <c r="S353">
        <f t="shared" si="10"/>
        <v>200403</v>
      </c>
      <c r="AK353">
        <f t="shared" si="11"/>
        <v>200403</v>
      </c>
      <c r="AL353" s="9"/>
    </row>
    <row r="354" spans="1:38" x14ac:dyDescent="0.25">
      <c r="A354" s="6">
        <f>ReturnData!A365</f>
        <v>200404</v>
      </c>
      <c r="S354">
        <f t="shared" si="10"/>
        <v>200404</v>
      </c>
      <c r="AK354">
        <f t="shared" si="11"/>
        <v>200404</v>
      </c>
      <c r="AL354" s="9"/>
    </row>
    <row r="355" spans="1:38" x14ac:dyDescent="0.25">
      <c r="A355" s="6">
        <f>ReturnData!A366</f>
        <v>200405</v>
      </c>
      <c r="S355">
        <f t="shared" si="10"/>
        <v>200405</v>
      </c>
      <c r="AK355">
        <f t="shared" si="11"/>
        <v>200405</v>
      </c>
      <c r="AL355" s="9"/>
    </row>
    <row r="356" spans="1:38" x14ac:dyDescent="0.25">
      <c r="A356" s="6">
        <f>ReturnData!A367</f>
        <v>200406</v>
      </c>
      <c r="S356">
        <f t="shared" si="10"/>
        <v>200406</v>
      </c>
      <c r="AK356">
        <f t="shared" si="11"/>
        <v>200406</v>
      </c>
      <c r="AL356" s="9"/>
    </row>
    <row r="357" spans="1:38" x14ac:dyDescent="0.25">
      <c r="A357" s="6">
        <f>ReturnData!A368</f>
        <v>200407</v>
      </c>
      <c r="S357">
        <f t="shared" si="10"/>
        <v>200407</v>
      </c>
      <c r="AK357">
        <f t="shared" si="11"/>
        <v>200407</v>
      </c>
      <c r="AL357" s="9"/>
    </row>
    <row r="358" spans="1:38" x14ac:dyDescent="0.25">
      <c r="A358" s="6">
        <f>ReturnData!A369</f>
        <v>200408</v>
      </c>
      <c r="S358">
        <f t="shared" si="10"/>
        <v>200408</v>
      </c>
      <c r="AK358">
        <f t="shared" si="11"/>
        <v>200408</v>
      </c>
      <c r="AL358" s="9"/>
    </row>
    <row r="359" spans="1:38" x14ac:dyDescent="0.25">
      <c r="A359" s="6">
        <f>ReturnData!A370</f>
        <v>200409</v>
      </c>
      <c r="S359">
        <f t="shared" si="10"/>
        <v>200409</v>
      </c>
      <c r="AK359">
        <f t="shared" si="11"/>
        <v>200409</v>
      </c>
      <c r="AL359" s="9"/>
    </row>
    <row r="360" spans="1:38" x14ac:dyDescent="0.25">
      <c r="A360" s="6">
        <f>ReturnData!A371</f>
        <v>200410</v>
      </c>
      <c r="S360">
        <f t="shared" si="10"/>
        <v>200410</v>
      </c>
      <c r="AK360">
        <f t="shared" si="11"/>
        <v>200410</v>
      </c>
      <c r="AL360" s="9"/>
    </row>
    <row r="361" spans="1:38" x14ac:dyDescent="0.25">
      <c r="A361" s="6">
        <f>ReturnData!A372</f>
        <v>200411</v>
      </c>
      <c r="S361">
        <f t="shared" si="10"/>
        <v>200411</v>
      </c>
      <c r="AK361">
        <f t="shared" si="11"/>
        <v>200411</v>
      </c>
      <c r="AL361" s="9"/>
    </row>
    <row r="362" spans="1:38" x14ac:dyDescent="0.25">
      <c r="A362" s="6">
        <f>ReturnData!A373</f>
        <v>200412</v>
      </c>
      <c r="S362">
        <f t="shared" si="10"/>
        <v>200412</v>
      </c>
      <c r="AK362">
        <f t="shared" si="11"/>
        <v>200412</v>
      </c>
      <c r="AL362" s="9"/>
    </row>
    <row r="363" spans="1:38" x14ac:dyDescent="0.25">
      <c r="A363" s="6">
        <f>ReturnData!A374</f>
        <v>200501</v>
      </c>
      <c r="S363">
        <f t="shared" si="10"/>
        <v>200501</v>
      </c>
      <c r="AK363">
        <f t="shared" si="11"/>
        <v>200501</v>
      </c>
      <c r="AL363" s="9"/>
    </row>
    <row r="364" spans="1:38" x14ac:dyDescent="0.25">
      <c r="A364" s="6">
        <f>ReturnData!A375</f>
        <v>200502</v>
      </c>
      <c r="S364">
        <f t="shared" si="10"/>
        <v>200502</v>
      </c>
      <c r="AK364">
        <f t="shared" si="11"/>
        <v>200502</v>
      </c>
      <c r="AL364" s="9"/>
    </row>
    <row r="365" spans="1:38" x14ac:dyDescent="0.25">
      <c r="A365" s="6">
        <f>ReturnData!A376</f>
        <v>200503</v>
      </c>
      <c r="S365">
        <f t="shared" si="10"/>
        <v>200503</v>
      </c>
      <c r="AK365">
        <f t="shared" si="11"/>
        <v>200503</v>
      </c>
      <c r="AL365" s="9"/>
    </row>
    <row r="366" spans="1:38" x14ac:dyDescent="0.25">
      <c r="A366" s="6">
        <f>ReturnData!A377</f>
        <v>200504</v>
      </c>
      <c r="S366">
        <f t="shared" si="10"/>
        <v>200504</v>
      </c>
      <c r="AK366">
        <f t="shared" si="11"/>
        <v>200504</v>
      </c>
      <c r="AL366" s="9"/>
    </row>
    <row r="367" spans="1:38" x14ac:dyDescent="0.25">
      <c r="A367" s="6">
        <f>ReturnData!A378</f>
        <v>200505</v>
      </c>
      <c r="S367">
        <f t="shared" si="10"/>
        <v>200505</v>
      </c>
      <c r="AK367">
        <f t="shared" si="11"/>
        <v>200505</v>
      </c>
      <c r="AL367" s="9"/>
    </row>
    <row r="368" spans="1:38" x14ac:dyDescent="0.25">
      <c r="A368" s="6">
        <f>ReturnData!A379</f>
        <v>200506</v>
      </c>
      <c r="S368">
        <f t="shared" si="10"/>
        <v>200506</v>
      </c>
      <c r="AK368">
        <f t="shared" si="11"/>
        <v>200506</v>
      </c>
      <c r="AL368" s="9"/>
    </row>
    <row r="369" spans="1:38" x14ac:dyDescent="0.25">
      <c r="A369" s="6">
        <f>ReturnData!A380</f>
        <v>200507</v>
      </c>
      <c r="S369">
        <f t="shared" si="10"/>
        <v>200507</v>
      </c>
      <c r="AK369">
        <f t="shared" si="11"/>
        <v>200507</v>
      </c>
      <c r="AL369" s="9"/>
    </row>
    <row r="370" spans="1:38" x14ac:dyDescent="0.25">
      <c r="A370" s="6">
        <f>ReturnData!A381</f>
        <v>200508</v>
      </c>
      <c r="S370">
        <f t="shared" si="10"/>
        <v>200508</v>
      </c>
      <c r="AK370">
        <f t="shared" si="11"/>
        <v>200508</v>
      </c>
      <c r="AL370" s="9"/>
    </row>
    <row r="371" spans="1:38" x14ac:dyDescent="0.25">
      <c r="A371" s="6">
        <f>ReturnData!A382</f>
        <v>200509</v>
      </c>
      <c r="S371">
        <f t="shared" si="10"/>
        <v>200509</v>
      </c>
      <c r="AK371">
        <f t="shared" si="11"/>
        <v>200509</v>
      </c>
      <c r="AL371" s="9"/>
    </row>
    <row r="372" spans="1:38" x14ac:dyDescent="0.25">
      <c r="A372" s="6">
        <f>ReturnData!A383</f>
        <v>200510</v>
      </c>
      <c r="S372">
        <f t="shared" si="10"/>
        <v>200510</v>
      </c>
      <c r="AK372">
        <f t="shared" si="11"/>
        <v>200510</v>
      </c>
      <c r="AL372" s="9"/>
    </row>
    <row r="373" spans="1:38" x14ac:dyDescent="0.25">
      <c r="A373" s="6">
        <f>ReturnData!A384</f>
        <v>200511</v>
      </c>
      <c r="S373">
        <f t="shared" si="10"/>
        <v>200511</v>
      </c>
      <c r="AK373">
        <f t="shared" si="11"/>
        <v>200511</v>
      </c>
      <c r="AL373" s="9"/>
    </row>
    <row r="374" spans="1:38" x14ac:dyDescent="0.25">
      <c r="A374" s="6">
        <f>ReturnData!A385</f>
        <v>200512</v>
      </c>
      <c r="S374">
        <f t="shared" si="10"/>
        <v>200512</v>
      </c>
      <c r="AK374">
        <f t="shared" si="11"/>
        <v>200512</v>
      </c>
      <c r="AL374" s="9"/>
    </row>
    <row r="375" spans="1:38" x14ac:dyDescent="0.25">
      <c r="A375" s="6">
        <f>ReturnData!A386</f>
        <v>200601</v>
      </c>
      <c r="S375">
        <f t="shared" si="10"/>
        <v>200601</v>
      </c>
      <c r="AK375">
        <f t="shared" si="11"/>
        <v>200601</v>
      </c>
      <c r="AL375" s="9"/>
    </row>
    <row r="376" spans="1:38" x14ac:dyDescent="0.25">
      <c r="A376" s="6">
        <f>ReturnData!A387</f>
        <v>200602</v>
      </c>
      <c r="S376">
        <f t="shared" si="10"/>
        <v>200602</v>
      </c>
      <c r="AK376">
        <f t="shared" si="11"/>
        <v>200602</v>
      </c>
      <c r="AL376" s="9"/>
    </row>
    <row r="377" spans="1:38" x14ac:dyDescent="0.25">
      <c r="A377" s="6">
        <f>ReturnData!A388</f>
        <v>200603</v>
      </c>
      <c r="S377">
        <f t="shared" si="10"/>
        <v>200603</v>
      </c>
      <c r="AK377">
        <f t="shared" si="11"/>
        <v>200603</v>
      </c>
      <c r="AL377" s="9"/>
    </row>
    <row r="378" spans="1:38" x14ac:dyDescent="0.25">
      <c r="A378" s="6">
        <f>ReturnData!A389</f>
        <v>200604</v>
      </c>
      <c r="S378">
        <f t="shared" si="10"/>
        <v>200604</v>
      </c>
      <c r="AK378">
        <f t="shared" si="11"/>
        <v>200604</v>
      </c>
      <c r="AL378" s="9"/>
    </row>
    <row r="379" spans="1:38" x14ac:dyDescent="0.25">
      <c r="A379" s="6">
        <f>ReturnData!A390</f>
        <v>200605</v>
      </c>
      <c r="S379">
        <f t="shared" si="10"/>
        <v>200605</v>
      </c>
      <c r="AK379">
        <f t="shared" si="11"/>
        <v>200605</v>
      </c>
      <c r="AL379" s="9"/>
    </row>
    <row r="380" spans="1:38" x14ac:dyDescent="0.25">
      <c r="A380" s="6">
        <f>ReturnData!A391</f>
        <v>200606</v>
      </c>
      <c r="S380">
        <f t="shared" si="10"/>
        <v>200606</v>
      </c>
      <c r="AK380">
        <f t="shared" si="11"/>
        <v>200606</v>
      </c>
      <c r="AL380" s="9"/>
    </row>
    <row r="381" spans="1:38" x14ac:dyDescent="0.25">
      <c r="A381" s="6">
        <f>ReturnData!A392</f>
        <v>200607</v>
      </c>
      <c r="S381">
        <f t="shared" si="10"/>
        <v>200607</v>
      </c>
      <c r="AK381">
        <f t="shared" si="11"/>
        <v>200607</v>
      </c>
      <c r="AL381" s="9"/>
    </row>
    <row r="382" spans="1:38" x14ac:dyDescent="0.25">
      <c r="A382" s="6">
        <f>ReturnData!A393</f>
        <v>200608</v>
      </c>
      <c r="S382">
        <f t="shared" si="10"/>
        <v>200608</v>
      </c>
      <c r="AK382">
        <f t="shared" si="11"/>
        <v>200608</v>
      </c>
      <c r="AL382" s="9"/>
    </row>
    <row r="383" spans="1:38" x14ac:dyDescent="0.25">
      <c r="A383" s="6">
        <f>ReturnData!A394</f>
        <v>200609</v>
      </c>
      <c r="S383">
        <f t="shared" si="10"/>
        <v>200609</v>
      </c>
      <c r="AK383">
        <f t="shared" si="11"/>
        <v>200609</v>
      </c>
      <c r="AL383" s="9"/>
    </row>
    <row r="384" spans="1:38" x14ac:dyDescent="0.25">
      <c r="A384" s="6">
        <f>ReturnData!A395</f>
        <v>200610</v>
      </c>
      <c r="S384">
        <f t="shared" si="10"/>
        <v>200610</v>
      </c>
      <c r="AK384">
        <f t="shared" si="11"/>
        <v>200610</v>
      </c>
      <c r="AL384" s="9"/>
    </row>
    <row r="385" spans="1:38" x14ac:dyDescent="0.25">
      <c r="A385" s="6">
        <f>ReturnData!A396</f>
        <v>200611</v>
      </c>
      <c r="S385">
        <f t="shared" si="10"/>
        <v>200611</v>
      </c>
      <c r="AK385">
        <f t="shared" si="11"/>
        <v>200611</v>
      </c>
      <c r="AL385" s="9"/>
    </row>
    <row r="386" spans="1:38" x14ac:dyDescent="0.25">
      <c r="A386" s="6">
        <f>ReturnData!A397</f>
        <v>200612</v>
      </c>
      <c r="S386">
        <f t="shared" si="10"/>
        <v>200612</v>
      </c>
      <c r="AK386">
        <f t="shared" si="11"/>
        <v>200612</v>
      </c>
      <c r="AL386" s="9"/>
    </row>
    <row r="387" spans="1:38" x14ac:dyDescent="0.25">
      <c r="A387" s="6">
        <f>ReturnData!A398</f>
        <v>200701</v>
      </c>
      <c r="S387">
        <f t="shared" ref="S387:S450" si="12">A387</f>
        <v>200701</v>
      </c>
      <c r="AK387">
        <f t="shared" ref="AK387:AK450" si="13">S387</f>
        <v>200701</v>
      </c>
      <c r="AL387" s="9"/>
    </row>
    <row r="388" spans="1:38" x14ac:dyDescent="0.25">
      <c r="A388" s="6">
        <f>ReturnData!A399</f>
        <v>200702</v>
      </c>
      <c r="S388">
        <f t="shared" si="12"/>
        <v>200702</v>
      </c>
      <c r="AK388">
        <f t="shared" si="13"/>
        <v>200702</v>
      </c>
      <c r="AL388" s="9"/>
    </row>
    <row r="389" spans="1:38" x14ac:dyDescent="0.25">
      <c r="A389" s="6">
        <f>ReturnData!A400</f>
        <v>200703</v>
      </c>
      <c r="S389">
        <f t="shared" si="12"/>
        <v>200703</v>
      </c>
      <c r="AK389">
        <f t="shared" si="13"/>
        <v>200703</v>
      </c>
      <c r="AL389" s="9"/>
    </row>
    <row r="390" spans="1:38" x14ac:dyDescent="0.25">
      <c r="A390" s="6">
        <f>ReturnData!A401</f>
        <v>200704</v>
      </c>
      <c r="S390">
        <f t="shared" si="12"/>
        <v>200704</v>
      </c>
      <c r="AK390">
        <f t="shared" si="13"/>
        <v>200704</v>
      </c>
      <c r="AL390" s="9"/>
    </row>
    <row r="391" spans="1:38" x14ac:dyDescent="0.25">
      <c r="A391" s="6">
        <f>ReturnData!A402</f>
        <v>200705</v>
      </c>
      <c r="S391">
        <f t="shared" si="12"/>
        <v>200705</v>
      </c>
      <c r="AK391">
        <f t="shared" si="13"/>
        <v>200705</v>
      </c>
      <c r="AL391" s="9"/>
    </row>
    <row r="392" spans="1:38" x14ac:dyDescent="0.25">
      <c r="A392" s="6">
        <f>ReturnData!A403</f>
        <v>200706</v>
      </c>
      <c r="S392">
        <f t="shared" si="12"/>
        <v>200706</v>
      </c>
      <c r="AK392">
        <f t="shared" si="13"/>
        <v>200706</v>
      </c>
      <c r="AL392" s="9"/>
    </row>
    <row r="393" spans="1:38" x14ac:dyDescent="0.25">
      <c r="A393" s="6">
        <f>ReturnData!A404</f>
        <v>200707</v>
      </c>
      <c r="S393">
        <f t="shared" si="12"/>
        <v>200707</v>
      </c>
      <c r="AK393">
        <f t="shared" si="13"/>
        <v>200707</v>
      </c>
      <c r="AL393" s="9"/>
    </row>
    <row r="394" spans="1:38" x14ac:dyDescent="0.25">
      <c r="A394" s="6">
        <f>ReturnData!A405</f>
        <v>200708</v>
      </c>
      <c r="S394">
        <f t="shared" si="12"/>
        <v>200708</v>
      </c>
      <c r="AK394">
        <f t="shared" si="13"/>
        <v>200708</v>
      </c>
      <c r="AL394" s="9"/>
    </row>
    <row r="395" spans="1:38" x14ac:dyDescent="0.25">
      <c r="A395" s="6">
        <f>ReturnData!A406</f>
        <v>200709</v>
      </c>
      <c r="S395">
        <f t="shared" si="12"/>
        <v>200709</v>
      </c>
      <c r="AK395">
        <f t="shared" si="13"/>
        <v>200709</v>
      </c>
      <c r="AL395" s="9"/>
    </row>
    <row r="396" spans="1:38" x14ac:dyDescent="0.25">
      <c r="A396" s="6">
        <f>ReturnData!A407</f>
        <v>200710</v>
      </c>
      <c r="S396">
        <f t="shared" si="12"/>
        <v>200710</v>
      </c>
      <c r="AK396">
        <f t="shared" si="13"/>
        <v>200710</v>
      </c>
      <c r="AL396" s="9"/>
    </row>
    <row r="397" spans="1:38" x14ac:dyDescent="0.25">
      <c r="A397" s="6">
        <f>ReturnData!A408</f>
        <v>200711</v>
      </c>
      <c r="S397">
        <f t="shared" si="12"/>
        <v>200711</v>
      </c>
      <c r="AK397">
        <f t="shared" si="13"/>
        <v>200711</v>
      </c>
      <c r="AL397" s="9"/>
    </row>
    <row r="398" spans="1:38" x14ac:dyDescent="0.25">
      <c r="A398" s="6">
        <f>ReturnData!A409</f>
        <v>200712</v>
      </c>
      <c r="S398">
        <f t="shared" si="12"/>
        <v>200712</v>
      </c>
      <c r="AK398">
        <f t="shared" si="13"/>
        <v>200712</v>
      </c>
      <c r="AL398" s="9"/>
    </row>
    <row r="399" spans="1:38" x14ac:dyDescent="0.25">
      <c r="A399" s="6">
        <f>ReturnData!A410</f>
        <v>200801</v>
      </c>
      <c r="S399">
        <f t="shared" si="12"/>
        <v>200801</v>
      </c>
      <c r="AK399">
        <f t="shared" si="13"/>
        <v>200801</v>
      </c>
      <c r="AL399" s="9"/>
    </row>
    <row r="400" spans="1:38" x14ac:dyDescent="0.25">
      <c r="A400" s="6">
        <f>ReturnData!A411</f>
        <v>200802</v>
      </c>
      <c r="S400">
        <f t="shared" si="12"/>
        <v>200802</v>
      </c>
      <c r="AK400">
        <f t="shared" si="13"/>
        <v>200802</v>
      </c>
      <c r="AL400" s="9"/>
    </row>
    <row r="401" spans="1:38" x14ac:dyDescent="0.25">
      <c r="A401" s="6">
        <f>ReturnData!A412</f>
        <v>200803</v>
      </c>
      <c r="S401">
        <f t="shared" si="12"/>
        <v>200803</v>
      </c>
      <c r="AK401">
        <f t="shared" si="13"/>
        <v>200803</v>
      </c>
      <c r="AL401" s="9"/>
    </row>
    <row r="402" spans="1:38" x14ac:dyDescent="0.25">
      <c r="A402" s="6">
        <f>ReturnData!A413</f>
        <v>200804</v>
      </c>
      <c r="S402">
        <f t="shared" si="12"/>
        <v>200804</v>
      </c>
      <c r="AK402">
        <f t="shared" si="13"/>
        <v>200804</v>
      </c>
      <c r="AL402" s="9"/>
    </row>
    <row r="403" spans="1:38" x14ac:dyDescent="0.25">
      <c r="A403" s="6">
        <f>ReturnData!A414</f>
        <v>200805</v>
      </c>
      <c r="S403">
        <f t="shared" si="12"/>
        <v>200805</v>
      </c>
      <c r="AK403">
        <f t="shared" si="13"/>
        <v>200805</v>
      </c>
      <c r="AL403" s="9"/>
    </row>
    <row r="404" spans="1:38" x14ac:dyDescent="0.25">
      <c r="A404" s="6">
        <f>ReturnData!A415</f>
        <v>200806</v>
      </c>
      <c r="S404">
        <f t="shared" si="12"/>
        <v>200806</v>
      </c>
      <c r="AK404">
        <f t="shared" si="13"/>
        <v>200806</v>
      </c>
      <c r="AL404" s="9"/>
    </row>
    <row r="405" spans="1:38" x14ac:dyDescent="0.25">
      <c r="A405" s="6">
        <f>ReturnData!A416</f>
        <v>200807</v>
      </c>
      <c r="S405">
        <f t="shared" si="12"/>
        <v>200807</v>
      </c>
      <c r="AK405">
        <f t="shared" si="13"/>
        <v>200807</v>
      </c>
      <c r="AL405" s="9"/>
    </row>
    <row r="406" spans="1:38" x14ac:dyDescent="0.25">
      <c r="A406" s="6">
        <f>ReturnData!A417</f>
        <v>200808</v>
      </c>
      <c r="S406">
        <f t="shared" si="12"/>
        <v>200808</v>
      </c>
      <c r="AK406">
        <f t="shared" si="13"/>
        <v>200808</v>
      </c>
      <c r="AL406" s="9"/>
    </row>
    <row r="407" spans="1:38" x14ac:dyDescent="0.25">
      <c r="A407" s="6">
        <f>ReturnData!A418</f>
        <v>200809</v>
      </c>
      <c r="S407">
        <f t="shared" si="12"/>
        <v>200809</v>
      </c>
      <c r="AK407">
        <f t="shared" si="13"/>
        <v>200809</v>
      </c>
      <c r="AL407" s="9"/>
    </row>
    <row r="408" spans="1:38" x14ac:dyDescent="0.25">
      <c r="A408" s="6">
        <f>ReturnData!A419</f>
        <v>200810</v>
      </c>
      <c r="S408">
        <f t="shared" si="12"/>
        <v>200810</v>
      </c>
      <c r="AK408">
        <f t="shared" si="13"/>
        <v>200810</v>
      </c>
      <c r="AL408" s="9"/>
    </row>
    <row r="409" spans="1:38" x14ac:dyDescent="0.25">
      <c r="A409" s="6">
        <f>ReturnData!A420</f>
        <v>200811</v>
      </c>
      <c r="S409">
        <f t="shared" si="12"/>
        <v>200811</v>
      </c>
      <c r="AK409">
        <f t="shared" si="13"/>
        <v>200811</v>
      </c>
      <c r="AL409" s="9"/>
    </row>
    <row r="410" spans="1:38" x14ac:dyDescent="0.25">
      <c r="A410" s="6">
        <f>ReturnData!A421</f>
        <v>200812</v>
      </c>
      <c r="S410">
        <f t="shared" si="12"/>
        <v>200812</v>
      </c>
      <c r="AK410">
        <f t="shared" si="13"/>
        <v>200812</v>
      </c>
      <c r="AL410" s="9"/>
    </row>
    <row r="411" spans="1:38" x14ac:dyDescent="0.25">
      <c r="A411" s="6">
        <f>ReturnData!A422</f>
        <v>200901</v>
      </c>
      <c r="S411">
        <f t="shared" si="12"/>
        <v>200901</v>
      </c>
      <c r="AK411">
        <f t="shared" si="13"/>
        <v>200901</v>
      </c>
      <c r="AL411" s="9"/>
    </row>
    <row r="412" spans="1:38" x14ac:dyDescent="0.25">
      <c r="A412" s="6">
        <f>ReturnData!A423</f>
        <v>200902</v>
      </c>
      <c r="S412">
        <f t="shared" si="12"/>
        <v>200902</v>
      </c>
      <c r="AK412">
        <f t="shared" si="13"/>
        <v>200902</v>
      </c>
      <c r="AL412" s="9"/>
    </row>
    <row r="413" spans="1:38" x14ac:dyDescent="0.25">
      <c r="A413" s="6">
        <f>ReturnData!A424</f>
        <v>200903</v>
      </c>
      <c r="S413">
        <f t="shared" si="12"/>
        <v>200903</v>
      </c>
      <c r="AK413">
        <f t="shared" si="13"/>
        <v>200903</v>
      </c>
      <c r="AL413" s="9"/>
    </row>
    <row r="414" spans="1:38" x14ac:dyDescent="0.25">
      <c r="A414" s="6">
        <f>ReturnData!A425</f>
        <v>200904</v>
      </c>
      <c r="S414">
        <f t="shared" si="12"/>
        <v>200904</v>
      </c>
      <c r="AK414">
        <f t="shared" si="13"/>
        <v>200904</v>
      </c>
      <c r="AL414" s="9"/>
    </row>
    <row r="415" spans="1:38" x14ac:dyDescent="0.25">
      <c r="A415" s="6">
        <f>ReturnData!A426</f>
        <v>200905</v>
      </c>
      <c r="S415">
        <f t="shared" si="12"/>
        <v>200905</v>
      </c>
      <c r="AK415">
        <f t="shared" si="13"/>
        <v>200905</v>
      </c>
      <c r="AL415" s="9"/>
    </row>
    <row r="416" spans="1:38" x14ac:dyDescent="0.25">
      <c r="A416" s="6">
        <f>ReturnData!A427</f>
        <v>200906</v>
      </c>
      <c r="S416">
        <f t="shared" si="12"/>
        <v>200906</v>
      </c>
      <c r="AK416">
        <f t="shared" si="13"/>
        <v>200906</v>
      </c>
      <c r="AL416" s="9"/>
    </row>
    <row r="417" spans="1:38" x14ac:dyDescent="0.25">
      <c r="A417" s="6">
        <f>ReturnData!A428</f>
        <v>200907</v>
      </c>
      <c r="S417">
        <f t="shared" si="12"/>
        <v>200907</v>
      </c>
      <c r="AK417">
        <f t="shared" si="13"/>
        <v>200907</v>
      </c>
      <c r="AL417" s="9"/>
    </row>
    <row r="418" spans="1:38" x14ac:dyDescent="0.25">
      <c r="A418" s="6">
        <f>ReturnData!A429</f>
        <v>200908</v>
      </c>
      <c r="S418">
        <f t="shared" si="12"/>
        <v>200908</v>
      </c>
      <c r="AK418">
        <f t="shared" si="13"/>
        <v>200908</v>
      </c>
      <c r="AL418" s="9"/>
    </row>
    <row r="419" spans="1:38" x14ac:dyDescent="0.25">
      <c r="A419" s="6">
        <f>ReturnData!A430</f>
        <v>200909</v>
      </c>
      <c r="S419">
        <f t="shared" si="12"/>
        <v>200909</v>
      </c>
      <c r="AK419">
        <f t="shared" si="13"/>
        <v>200909</v>
      </c>
      <c r="AL419" s="9"/>
    </row>
    <row r="420" spans="1:38" x14ac:dyDescent="0.25">
      <c r="A420" s="6">
        <f>ReturnData!A431</f>
        <v>200910</v>
      </c>
      <c r="S420">
        <f t="shared" si="12"/>
        <v>200910</v>
      </c>
      <c r="AK420">
        <f t="shared" si="13"/>
        <v>200910</v>
      </c>
      <c r="AL420" s="9"/>
    </row>
    <row r="421" spans="1:38" x14ac:dyDescent="0.25">
      <c r="A421" s="6">
        <f>ReturnData!A432</f>
        <v>200911</v>
      </c>
      <c r="S421">
        <f t="shared" si="12"/>
        <v>200911</v>
      </c>
      <c r="AK421">
        <f t="shared" si="13"/>
        <v>200911</v>
      </c>
      <c r="AL421" s="9"/>
    </row>
    <row r="422" spans="1:38" x14ac:dyDescent="0.25">
      <c r="A422" s="6">
        <f>ReturnData!A433</f>
        <v>200912</v>
      </c>
      <c r="S422">
        <f t="shared" si="12"/>
        <v>200912</v>
      </c>
      <c r="AK422">
        <f t="shared" si="13"/>
        <v>200912</v>
      </c>
      <c r="AL422" s="9"/>
    </row>
    <row r="423" spans="1:38" x14ac:dyDescent="0.25">
      <c r="A423" s="6">
        <f>ReturnData!A434</f>
        <v>201001</v>
      </c>
      <c r="S423">
        <f t="shared" si="12"/>
        <v>201001</v>
      </c>
      <c r="AK423">
        <f t="shared" si="13"/>
        <v>201001</v>
      </c>
      <c r="AL423" s="9"/>
    </row>
    <row r="424" spans="1:38" x14ac:dyDescent="0.25">
      <c r="A424" s="6">
        <f>ReturnData!A435</f>
        <v>201002</v>
      </c>
      <c r="S424">
        <f t="shared" si="12"/>
        <v>201002</v>
      </c>
      <c r="AK424">
        <f t="shared" si="13"/>
        <v>201002</v>
      </c>
      <c r="AL424" s="9"/>
    </row>
    <row r="425" spans="1:38" x14ac:dyDescent="0.25">
      <c r="A425" s="6">
        <f>ReturnData!A436</f>
        <v>201003</v>
      </c>
      <c r="S425">
        <f t="shared" si="12"/>
        <v>201003</v>
      </c>
      <c r="AK425">
        <f t="shared" si="13"/>
        <v>201003</v>
      </c>
      <c r="AL425" s="9"/>
    </row>
    <row r="426" spans="1:38" x14ac:dyDescent="0.25">
      <c r="A426" s="6">
        <f>ReturnData!A437</f>
        <v>201004</v>
      </c>
      <c r="S426">
        <f t="shared" si="12"/>
        <v>201004</v>
      </c>
      <c r="AK426">
        <f t="shared" si="13"/>
        <v>201004</v>
      </c>
      <c r="AL426" s="9"/>
    </row>
    <row r="427" spans="1:38" x14ac:dyDescent="0.25">
      <c r="A427" s="6">
        <f>ReturnData!A438</f>
        <v>201005</v>
      </c>
      <c r="S427">
        <f t="shared" si="12"/>
        <v>201005</v>
      </c>
      <c r="AK427">
        <f t="shared" si="13"/>
        <v>201005</v>
      </c>
      <c r="AL427" s="9"/>
    </row>
    <row r="428" spans="1:38" x14ac:dyDescent="0.25">
      <c r="A428" s="6">
        <f>ReturnData!A439</f>
        <v>201006</v>
      </c>
      <c r="S428">
        <f t="shared" si="12"/>
        <v>201006</v>
      </c>
      <c r="AK428">
        <f t="shared" si="13"/>
        <v>201006</v>
      </c>
      <c r="AL428" s="9"/>
    </row>
    <row r="429" spans="1:38" x14ac:dyDescent="0.25">
      <c r="A429" s="6">
        <f>ReturnData!A440</f>
        <v>201007</v>
      </c>
      <c r="S429">
        <f t="shared" si="12"/>
        <v>201007</v>
      </c>
      <c r="AK429">
        <f t="shared" si="13"/>
        <v>201007</v>
      </c>
      <c r="AL429" s="9"/>
    </row>
    <row r="430" spans="1:38" x14ac:dyDescent="0.25">
      <c r="A430" s="6">
        <f>ReturnData!A441</f>
        <v>201008</v>
      </c>
      <c r="S430">
        <f t="shared" si="12"/>
        <v>201008</v>
      </c>
      <c r="AK430">
        <f t="shared" si="13"/>
        <v>201008</v>
      </c>
      <c r="AL430" s="9"/>
    </row>
    <row r="431" spans="1:38" x14ac:dyDescent="0.25">
      <c r="A431" s="6">
        <f>ReturnData!A442</f>
        <v>201009</v>
      </c>
      <c r="S431">
        <f t="shared" si="12"/>
        <v>201009</v>
      </c>
      <c r="AK431">
        <f t="shared" si="13"/>
        <v>201009</v>
      </c>
      <c r="AL431" s="9"/>
    </row>
    <row r="432" spans="1:38" x14ac:dyDescent="0.25">
      <c r="A432" s="6">
        <f>ReturnData!A443</f>
        <v>201010</v>
      </c>
      <c r="S432">
        <f t="shared" si="12"/>
        <v>201010</v>
      </c>
      <c r="AK432">
        <f t="shared" si="13"/>
        <v>201010</v>
      </c>
      <c r="AL432" s="9"/>
    </row>
    <row r="433" spans="1:38" x14ac:dyDescent="0.25">
      <c r="A433" s="6">
        <f>ReturnData!A444</f>
        <v>201011</v>
      </c>
      <c r="S433">
        <f t="shared" si="12"/>
        <v>201011</v>
      </c>
      <c r="AK433">
        <f t="shared" si="13"/>
        <v>201011</v>
      </c>
      <c r="AL433" s="9"/>
    </row>
    <row r="434" spans="1:38" x14ac:dyDescent="0.25">
      <c r="A434" s="6">
        <f>ReturnData!A445</f>
        <v>201012</v>
      </c>
      <c r="S434">
        <f t="shared" si="12"/>
        <v>201012</v>
      </c>
      <c r="AK434">
        <f t="shared" si="13"/>
        <v>201012</v>
      </c>
      <c r="AL434" s="9"/>
    </row>
    <row r="435" spans="1:38" x14ac:dyDescent="0.25">
      <c r="A435" s="6">
        <f>ReturnData!A446</f>
        <v>201101</v>
      </c>
      <c r="S435">
        <f t="shared" si="12"/>
        <v>201101</v>
      </c>
      <c r="AK435">
        <f t="shared" si="13"/>
        <v>201101</v>
      </c>
      <c r="AL435" s="9"/>
    </row>
    <row r="436" spans="1:38" x14ac:dyDescent="0.25">
      <c r="A436" s="6">
        <f>ReturnData!A447</f>
        <v>201102</v>
      </c>
      <c r="S436">
        <f t="shared" si="12"/>
        <v>201102</v>
      </c>
      <c r="AK436">
        <f t="shared" si="13"/>
        <v>201102</v>
      </c>
      <c r="AL436" s="9"/>
    </row>
    <row r="437" spans="1:38" x14ac:dyDescent="0.25">
      <c r="A437" s="6">
        <f>ReturnData!A448</f>
        <v>201103</v>
      </c>
      <c r="S437">
        <f t="shared" si="12"/>
        <v>201103</v>
      </c>
      <c r="AK437">
        <f t="shared" si="13"/>
        <v>201103</v>
      </c>
      <c r="AL437" s="9"/>
    </row>
    <row r="438" spans="1:38" x14ac:dyDescent="0.25">
      <c r="A438" s="6">
        <f>ReturnData!A449</f>
        <v>201104</v>
      </c>
      <c r="S438">
        <f t="shared" si="12"/>
        <v>201104</v>
      </c>
      <c r="AK438">
        <f t="shared" si="13"/>
        <v>201104</v>
      </c>
      <c r="AL438" s="9"/>
    </row>
    <row r="439" spans="1:38" x14ac:dyDescent="0.25">
      <c r="A439" s="6">
        <f>ReturnData!A450</f>
        <v>201105</v>
      </c>
      <c r="S439">
        <f t="shared" si="12"/>
        <v>201105</v>
      </c>
      <c r="AK439">
        <f t="shared" si="13"/>
        <v>201105</v>
      </c>
      <c r="AL439" s="9"/>
    </row>
    <row r="440" spans="1:38" x14ac:dyDescent="0.25">
      <c r="A440" s="6">
        <f>ReturnData!A451</f>
        <v>201106</v>
      </c>
      <c r="S440">
        <f t="shared" si="12"/>
        <v>201106</v>
      </c>
      <c r="AK440">
        <f t="shared" si="13"/>
        <v>201106</v>
      </c>
      <c r="AL440" s="9"/>
    </row>
    <row r="441" spans="1:38" x14ac:dyDescent="0.25">
      <c r="A441" s="6">
        <f>ReturnData!A452</f>
        <v>201107</v>
      </c>
      <c r="S441">
        <f t="shared" si="12"/>
        <v>201107</v>
      </c>
      <c r="AK441">
        <f t="shared" si="13"/>
        <v>201107</v>
      </c>
      <c r="AL441" s="9"/>
    </row>
    <row r="442" spans="1:38" x14ac:dyDescent="0.25">
      <c r="A442" s="6">
        <f>ReturnData!A453</f>
        <v>201108</v>
      </c>
      <c r="S442">
        <f t="shared" si="12"/>
        <v>201108</v>
      </c>
      <c r="AK442">
        <f t="shared" si="13"/>
        <v>201108</v>
      </c>
      <c r="AL442" s="9"/>
    </row>
    <row r="443" spans="1:38" x14ac:dyDescent="0.25">
      <c r="A443" s="6">
        <f>ReturnData!A454</f>
        <v>201109</v>
      </c>
      <c r="S443">
        <f t="shared" si="12"/>
        <v>201109</v>
      </c>
      <c r="AK443">
        <f t="shared" si="13"/>
        <v>201109</v>
      </c>
      <c r="AL443" s="9"/>
    </row>
    <row r="444" spans="1:38" x14ac:dyDescent="0.25">
      <c r="A444" s="6">
        <f>ReturnData!A455</f>
        <v>201110</v>
      </c>
      <c r="S444">
        <f t="shared" si="12"/>
        <v>201110</v>
      </c>
      <c r="AK444">
        <f t="shared" si="13"/>
        <v>201110</v>
      </c>
      <c r="AL444" s="9"/>
    </row>
    <row r="445" spans="1:38" x14ac:dyDescent="0.25">
      <c r="A445" s="6">
        <f>ReturnData!A456</f>
        <v>201111</v>
      </c>
      <c r="S445">
        <f t="shared" si="12"/>
        <v>201111</v>
      </c>
      <c r="AK445">
        <f t="shared" si="13"/>
        <v>201111</v>
      </c>
      <c r="AL445" s="9"/>
    </row>
    <row r="446" spans="1:38" x14ac:dyDescent="0.25">
      <c r="A446" s="6">
        <f>ReturnData!A457</f>
        <v>201112</v>
      </c>
      <c r="S446">
        <f t="shared" si="12"/>
        <v>201112</v>
      </c>
      <c r="AK446">
        <f t="shared" si="13"/>
        <v>201112</v>
      </c>
      <c r="AL446" s="9"/>
    </row>
    <row r="447" spans="1:38" x14ac:dyDescent="0.25">
      <c r="A447" s="6">
        <f>ReturnData!A458</f>
        <v>201201</v>
      </c>
      <c r="S447">
        <f t="shared" si="12"/>
        <v>201201</v>
      </c>
      <c r="AK447">
        <f t="shared" si="13"/>
        <v>201201</v>
      </c>
      <c r="AL447" s="9"/>
    </row>
    <row r="448" spans="1:38" x14ac:dyDescent="0.25">
      <c r="A448" s="6">
        <f>ReturnData!A459</f>
        <v>201202</v>
      </c>
      <c r="S448">
        <f t="shared" si="12"/>
        <v>201202</v>
      </c>
      <c r="AK448">
        <f t="shared" si="13"/>
        <v>201202</v>
      </c>
      <c r="AL448" s="9"/>
    </row>
    <row r="449" spans="1:38" x14ac:dyDescent="0.25">
      <c r="A449" s="6">
        <f>ReturnData!A460</f>
        <v>201203</v>
      </c>
      <c r="S449">
        <f t="shared" si="12"/>
        <v>201203</v>
      </c>
      <c r="AK449">
        <f t="shared" si="13"/>
        <v>201203</v>
      </c>
      <c r="AL449" s="9"/>
    </row>
    <row r="450" spans="1:38" x14ac:dyDescent="0.25">
      <c r="A450" s="6">
        <f>ReturnData!A461</f>
        <v>201204</v>
      </c>
      <c r="S450">
        <f t="shared" si="12"/>
        <v>201204</v>
      </c>
      <c r="AK450">
        <f t="shared" si="13"/>
        <v>201204</v>
      </c>
      <c r="AL450" s="9"/>
    </row>
    <row r="451" spans="1:38" x14ac:dyDescent="0.25">
      <c r="A451" s="6">
        <f>ReturnData!A462</f>
        <v>201205</v>
      </c>
      <c r="S451">
        <f t="shared" ref="S451:S514" si="14">A451</f>
        <v>201205</v>
      </c>
      <c r="AK451">
        <f t="shared" ref="AK451:AK482" si="15">S451</f>
        <v>201205</v>
      </c>
      <c r="AL451" s="9"/>
    </row>
    <row r="452" spans="1:38" x14ac:dyDescent="0.25">
      <c r="A452" s="6">
        <f>ReturnData!A463</f>
        <v>201206</v>
      </c>
      <c r="S452">
        <f t="shared" si="14"/>
        <v>201206</v>
      </c>
      <c r="AK452">
        <f t="shared" si="15"/>
        <v>201206</v>
      </c>
      <c r="AL452" s="9"/>
    </row>
    <row r="453" spans="1:38" x14ac:dyDescent="0.25">
      <c r="A453" s="6">
        <f>ReturnData!A464</f>
        <v>201207</v>
      </c>
      <c r="S453">
        <f t="shared" si="14"/>
        <v>201207</v>
      </c>
      <c r="AK453">
        <f t="shared" si="15"/>
        <v>201207</v>
      </c>
      <c r="AL453" s="9"/>
    </row>
    <row r="454" spans="1:38" x14ac:dyDescent="0.25">
      <c r="A454" s="6">
        <f>ReturnData!A465</f>
        <v>201208</v>
      </c>
      <c r="S454">
        <f t="shared" si="14"/>
        <v>201208</v>
      </c>
      <c r="AK454">
        <f t="shared" si="15"/>
        <v>201208</v>
      </c>
      <c r="AL454" s="9"/>
    </row>
    <row r="455" spans="1:38" x14ac:dyDescent="0.25">
      <c r="A455" s="6">
        <f>ReturnData!A466</f>
        <v>201209</v>
      </c>
      <c r="S455">
        <f t="shared" si="14"/>
        <v>201209</v>
      </c>
      <c r="AK455">
        <f t="shared" si="15"/>
        <v>201209</v>
      </c>
      <c r="AL455" s="9"/>
    </row>
    <row r="456" spans="1:38" x14ac:dyDescent="0.25">
      <c r="A456" s="6">
        <f>ReturnData!A467</f>
        <v>201210</v>
      </c>
      <c r="S456">
        <f t="shared" si="14"/>
        <v>201210</v>
      </c>
      <c r="AK456">
        <f t="shared" si="15"/>
        <v>201210</v>
      </c>
      <c r="AL456" s="9"/>
    </row>
    <row r="457" spans="1:38" x14ac:dyDescent="0.25">
      <c r="A457" s="6">
        <f>ReturnData!A468</f>
        <v>201211</v>
      </c>
      <c r="S457">
        <f t="shared" si="14"/>
        <v>201211</v>
      </c>
      <c r="AK457">
        <f t="shared" si="15"/>
        <v>201211</v>
      </c>
      <c r="AL457" s="9"/>
    </row>
    <row r="458" spans="1:38" x14ac:dyDescent="0.25">
      <c r="A458" s="6">
        <f>ReturnData!A469</f>
        <v>201212</v>
      </c>
      <c r="S458">
        <f t="shared" si="14"/>
        <v>201212</v>
      </c>
      <c r="AK458">
        <f t="shared" si="15"/>
        <v>201212</v>
      </c>
      <c r="AL458" s="9"/>
    </row>
    <row r="459" spans="1:38" x14ac:dyDescent="0.25">
      <c r="A459" s="6">
        <f>ReturnData!A470</f>
        <v>201301</v>
      </c>
      <c r="S459">
        <f t="shared" si="14"/>
        <v>201301</v>
      </c>
      <c r="AK459">
        <f t="shared" si="15"/>
        <v>201301</v>
      </c>
      <c r="AL459" s="9"/>
    </row>
    <row r="460" spans="1:38" x14ac:dyDescent="0.25">
      <c r="A460" s="6">
        <f>ReturnData!A471</f>
        <v>201302</v>
      </c>
      <c r="S460">
        <f t="shared" si="14"/>
        <v>201302</v>
      </c>
      <c r="AK460">
        <f t="shared" si="15"/>
        <v>201302</v>
      </c>
      <c r="AL460" s="9"/>
    </row>
    <row r="461" spans="1:38" x14ac:dyDescent="0.25">
      <c r="A461" s="6">
        <f>ReturnData!A472</f>
        <v>201303</v>
      </c>
      <c r="S461">
        <f t="shared" si="14"/>
        <v>201303</v>
      </c>
      <c r="AK461">
        <f t="shared" si="15"/>
        <v>201303</v>
      </c>
      <c r="AL461" s="9"/>
    </row>
    <row r="462" spans="1:38" x14ac:dyDescent="0.25">
      <c r="A462" s="6">
        <f>ReturnData!A473</f>
        <v>201304</v>
      </c>
      <c r="S462">
        <f t="shared" si="14"/>
        <v>201304</v>
      </c>
      <c r="AK462">
        <f t="shared" si="15"/>
        <v>201304</v>
      </c>
      <c r="AL462" s="9"/>
    </row>
    <row r="463" spans="1:38" x14ac:dyDescent="0.25">
      <c r="A463" s="6">
        <f>ReturnData!A474</f>
        <v>201305</v>
      </c>
      <c r="S463">
        <f t="shared" si="14"/>
        <v>201305</v>
      </c>
      <c r="AK463">
        <f t="shared" si="15"/>
        <v>201305</v>
      </c>
      <c r="AL463" s="9"/>
    </row>
    <row r="464" spans="1:38" x14ac:dyDescent="0.25">
      <c r="A464" s="6">
        <f>ReturnData!A475</f>
        <v>201306</v>
      </c>
      <c r="S464">
        <f t="shared" si="14"/>
        <v>201306</v>
      </c>
      <c r="AK464">
        <f t="shared" si="15"/>
        <v>201306</v>
      </c>
      <c r="AL464" s="9"/>
    </row>
    <row r="465" spans="1:38" x14ac:dyDescent="0.25">
      <c r="A465" s="6">
        <f>ReturnData!A476</f>
        <v>201307</v>
      </c>
      <c r="S465">
        <f t="shared" si="14"/>
        <v>201307</v>
      </c>
      <c r="AK465">
        <f t="shared" si="15"/>
        <v>201307</v>
      </c>
      <c r="AL465" s="9"/>
    </row>
    <row r="466" spans="1:38" x14ac:dyDescent="0.25">
      <c r="A466" s="6">
        <f>ReturnData!A477</f>
        <v>201308</v>
      </c>
      <c r="S466">
        <f t="shared" si="14"/>
        <v>201308</v>
      </c>
      <c r="AK466">
        <f t="shared" si="15"/>
        <v>201308</v>
      </c>
      <c r="AL466" s="9"/>
    </row>
    <row r="467" spans="1:38" x14ac:dyDescent="0.25">
      <c r="A467" s="6">
        <f>ReturnData!A478</f>
        <v>201309</v>
      </c>
      <c r="S467">
        <f t="shared" si="14"/>
        <v>201309</v>
      </c>
      <c r="AK467">
        <f t="shared" si="15"/>
        <v>201309</v>
      </c>
      <c r="AL467" s="9"/>
    </row>
    <row r="468" spans="1:38" x14ac:dyDescent="0.25">
      <c r="A468" s="6">
        <f>ReturnData!A479</f>
        <v>201310</v>
      </c>
      <c r="S468">
        <f t="shared" si="14"/>
        <v>201310</v>
      </c>
      <c r="AK468">
        <f t="shared" si="15"/>
        <v>201310</v>
      </c>
      <c r="AL468" s="9"/>
    </row>
    <row r="469" spans="1:38" x14ac:dyDescent="0.25">
      <c r="A469" s="6">
        <f>ReturnData!A480</f>
        <v>201311</v>
      </c>
      <c r="S469">
        <f t="shared" si="14"/>
        <v>201311</v>
      </c>
      <c r="AK469">
        <f t="shared" si="15"/>
        <v>201311</v>
      </c>
      <c r="AL469" s="9"/>
    </row>
    <row r="470" spans="1:38" x14ac:dyDescent="0.25">
      <c r="A470" s="6">
        <f>ReturnData!A481</f>
        <v>201312</v>
      </c>
      <c r="S470">
        <f t="shared" si="14"/>
        <v>201312</v>
      </c>
      <c r="AK470">
        <f t="shared" si="15"/>
        <v>201312</v>
      </c>
      <c r="AL470" s="9"/>
    </row>
    <row r="471" spans="1:38" x14ac:dyDescent="0.25">
      <c r="A471" s="6">
        <f>ReturnData!A482</f>
        <v>201401</v>
      </c>
      <c r="S471">
        <f t="shared" si="14"/>
        <v>201401</v>
      </c>
      <c r="AK471">
        <f t="shared" si="15"/>
        <v>201401</v>
      </c>
      <c r="AL471" s="9"/>
    </row>
    <row r="472" spans="1:38" x14ac:dyDescent="0.25">
      <c r="A472" s="6">
        <f>ReturnData!A483</f>
        <v>201402</v>
      </c>
      <c r="S472">
        <f t="shared" si="14"/>
        <v>201402</v>
      </c>
      <c r="AK472">
        <f t="shared" si="15"/>
        <v>201402</v>
      </c>
      <c r="AL472" s="9"/>
    </row>
    <row r="473" spans="1:38" x14ac:dyDescent="0.25">
      <c r="A473" s="6">
        <f>ReturnData!A484</f>
        <v>201403</v>
      </c>
      <c r="S473">
        <f t="shared" si="14"/>
        <v>201403</v>
      </c>
      <c r="AK473">
        <f t="shared" si="15"/>
        <v>201403</v>
      </c>
      <c r="AL473" s="9"/>
    </row>
    <row r="474" spans="1:38" x14ac:dyDescent="0.25">
      <c r="A474" s="6">
        <f>ReturnData!A485</f>
        <v>201404</v>
      </c>
      <c r="S474">
        <f t="shared" si="14"/>
        <v>201404</v>
      </c>
      <c r="AK474">
        <f t="shared" si="15"/>
        <v>201404</v>
      </c>
      <c r="AL474" s="9"/>
    </row>
    <row r="475" spans="1:38" x14ac:dyDescent="0.25">
      <c r="A475" s="6">
        <f>ReturnData!A486</f>
        <v>201405</v>
      </c>
      <c r="S475">
        <f t="shared" si="14"/>
        <v>201405</v>
      </c>
      <c r="AK475">
        <f t="shared" si="15"/>
        <v>201405</v>
      </c>
      <c r="AL475" s="9"/>
    </row>
    <row r="476" spans="1:38" x14ac:dyDescent="0.25">
      <c r="A476" s="6">
        <f>ReturnData!A487</f>
        <v>201406</v>
      </c>
      <c r="S476">
        <f t="shared" si="14"/>
        <v>201406</v>
      </c>
      <c r="AK476">
        <f t="shared" si="15"/>
        <v>201406</v>
      </c>
      <c r="AL476" s="9"/>
    </row>
    <row r="477" spans="1:38" x14ac:dyDescent="0.25">
      <c r="A477" s="6">
        <f>ReturnData!A488</f>
        <v>201407</v>
      </c>
      <c r="S477">
        <f t="shared" si="14"/>
        <v>201407</v>
      </c>
      <c r="AK477">
        <f t="shared" si="15"/>
        <v>201407</v>
      </c>
      <c r="AL477" s="9"/>
    </row>
    <row r="478" spans="1:38" x14ac:dyDescent="0.25">
      <c r="A478" s="6">
        <f>ReturnData!A489</f>
        <v>201408</v>
      </c>
      <c r="S478">
        <f t="shared" si="14"/>
        <v>201408</v>
      </c>
      <c r="AK478">
        <f t="shared" si="15"/>
        <v>201408</v>
      </c>
      <c r="AL478" s="9"/>
    </row>
    <row r="479" spans="1:38" x14ac:dyDescent="0.25">
      <c r="A479" s="6">
        <f>ReturnData!A490</f>
        <v>201409</v>
      </c>
      <c r="S479">
        <f t="shared" si="14"/>
        <v>201409</v>
      </c>
      <c r="AK479">
        <f t="shared" si="15"/>
        <v>201409</v>
      </c>
      <c r="AL479" s="9"/>
    </row>
    <row r="480" spans="1:38" x14ac:dyDescent="0.25">
      <c r="A480" s="6">
        <f>ReturnData!A491</f>
        <v>201410</v>
      </c>
      <c r="S480">
        <f t="shared" si="14"/>
        <v>201410</v>
      </c>
      <c r="AK480">
        <f t="shared" si="15"/>
        <v>201410</v>
      </c>
      <c r="AL480" s="9"/>
    </row>
    <row r="481" spans="1:38" x14ac:dyDescent="0.25">
      <c r="A481" s="6">
        <f>ReturnData!A492</f>
        <v>201411</v>
      </c>
      <c r="S481">
        <f t="shared" si="14"/>
        <v>201411</v>
      </c>
      <c r="AK481">
        <f t="shared" si="15"/>
        <v>201411</v>
      </c>
      <c r="AL481" s="9"/>
    </row>
    <row r="482" spans="1:38" x14ac:dyDescent="0.25">
      <c r="A482" s="6">
        <f>ReturnData!A493</f>
        <v>201412</v>
      </c>
      <c r="S482">
        <f t="shared" si="14"/>
        <v>201412</v>
      </c>
      <c r="AK482">
        <f t="shared" si="15"/>
        <v>201412</v>
      </c>
      <c r="AL482" s="9"/>
    </row>
    <row r="483" spans="1:38" x14ac:dyDescent="0.25">
      <c r="A483" s="6">
        <f>ReturnData!A494</f>
        <v>201501</v>
      </c>
      <c r="S483">
        <f t="shared" si="14"/>
        <v>201501</v>
      </c>
      <c r="AK483">
        <f t="shared" ref="AK483:AK546" si="16">S483</f>
        <v>201501</v>
      </c>
      <c r="AL483" s="9"/>
    </row>
    <row r="484" spans="1:38" x14ac:dyDescent="0.25">
      <c r="A484" s="6">
        <f>ReturnData!A495</f>
        <v>201502</v>
      </c>
      <c r="S484">
        <f t="shared" si="14"/>
        <v>201502</v>
      </c>
      <c r="AK484">
        <f t="shared" si="16"/>
        <v>201502</v>
      </c>
      <c r="AL484" s="9"/>
    </row>
    <row r="485" spans="1:38" x14ac:dyDescent="0.25">
      <c r="A485" s="6">
        <f>ReturnData!A496</f>
        <v>201503</v>
      </c>
      <c r="S485">
        <f t="shared" si="14"/>
        <v>201503</v>
      </c>
      <c r="AK485">
        <f t="shared" si="16"/>
        <v>201503</v>
      </c>
      <c r="AL485" s="9"/>
    </row>
    <row r="486" spans="1:38" x14ac:dyDescent="0.25">
      <c r="A486" s="6">
        <f>ReturnData!A497</f>
        <v>201504</v>
      </c>
      <c r="S486">
        <f t="shared" si="14"/>
        <v>201504</v>
      </c>
      <c r="AK486">
        <f t="shared" si="16"/>
        <v>201504</v>
      </c>
      <c r="AL486" s="9"/>
    </row>
    <row r="487" spans="1:38" x14ac:dyDescent="0.25">
      <c r="A487" s="6">
        <f>ReturnData!A498</f>
        <v>201505</v>
      </c>
      <c r="S487">
        <f t="shared" si="14"/>
        <v>201505</v>
      </c>
      <c r="AK487">
        <f t="shared" si="16"/>
        <v>201505</v>
      </c>
      <c r="AL487" s="9"/>
    </row>
    <row r="488" spans="1:38" x14ac:dyDescent="0.25">
      <c r="A488" s="6">
        <f>ReturnData!A499</f>
        <v>201506</v>
      </c>
      <c r="S488">
        <f t="shared" si="14"/>
        <v>201506</v>
      </c>
      <c r="AK488">
        <f t="shared" si="16"/>
        <v>201506</v>
      </c>
      <c r="AL488" s="9"/>
    </row>
    <row r="489" spans="1:38" x14ac:dyDescent="0.25">
      <c r="A489" s="6">
        <f>ReturnData!A500</f>
        <v>201507</v>
      </c>
      <c r="S489">
        <f t="shared" si="14"/>
        <v>201507</v>
      </c>
      <c r="AK489">
        <f t="shared" si="16"/>
        <v>201507</v>
      </c>
      <c r="AL489" s="9"/>
    </row>
    <row r="490" spans="1:38" x14ac:dyDescent="0.25">
      <c r="A490" s="6">
        <f>ReturnData!A501</f>
        <v>201508</v>
      </c>
      <c r="S490">
        <f t="shared" si="14"/>
        <v>201508</v>
      </c>
      <c r="AK490">
        <f t="shared" si="16"/>
        <v>201508</v>
      </c>
      <c r="AL490" s="9"/>
    </row>
    <row r="491" spans="1:38" x14ac:dyDescent="0.25">
      <c r="A491" s="6">
        <f>ReturnData!A502</f>
        <v>201509</v>
      </c>
      <c r="S491">
        <f t="shared" si="14"/>
        <v>201509</v>
      </c>
      <c r="AK491">
        <f t="shared" si="16"/>
        <v>201509</v>
      </c>
      <c r="AL491" s="9"/>
    </row>
    <row r="492" spans="1:38" x14ac:dyDescent="0.25">
      <c r="A492" s="6">
        <f>ReturnData!A503</f>
        <v>201510</v>
      </c>
      <c r="S492">
        <f t="shared" si="14"/>
        <v>201510</v>
      </c>
      <c r="AK492">
        <f t="shared" si="16"/>
        <v>201510</v>
      </c>
      <c r="AL492" s="9"/>
    </row>
    <row r="493" spans="1:38" x14ac:dyDescent="0.25">
      <c r="A493" s="6">
        <f>ReturnData!A504</f>
        <v>201511</v>
      </c>
      <c r="S493">
        <f t="shared" si="14"/>
        <v>201511</v>
      </c>
      <c r="AK493">
        <f t="shared" si="16"/>
        <v>201511</v>
      </c>
      <c r="AL493" s="9"/>
    </row>
    <row r="494" spans="1:38" x14ac:dyDescent="0.25">
      <c r="A494" s="6">
        <f>ReturnData!A505</f>
        <v>201512</v>
      </c>
      <c r="S494">
        <f t="shared" si="14"/>
        <v>201512</v>
      </c>
      <c r="AK494">
        <f t="shared" si="16"/>
        <v>201512</v>
      </c>
      <c r="AL494" s="9"/>
    </row>
    <row r="495" spans="1:38" x14ac:dyDescent="0.25">
      <c r="A495" s="6">
        <f>ReturnData!A506</f>
        <v>201601</v>
      </c>
      <c r="S495">
        <f t="shared" si="14"/>
        <v>201601</v>
      </c>
      <c r="AK495">
        <f t="shared" si="16"/>
        <v>201601</v>
      </c>
      <c r="AL495" s="9"/>
    </row>
    <row r="496" spans="1:38" x14ac:dyDescent="0.25">
      <c r="A496" s="6">
        <f>ReturnData!A507</f>
        <v>201602</v>
      </c>
      <c r="S496">
        <f t="shared" si="14"/>
        <v>201602</v>
      </c>
      <c r="AK496">
        <f t="shared" si="16"/>
        <v>201602</v>
      </c>
      <c r="AL496" s="9"/>
    </row>
    <row r="497" spans="1:38" x14ac:dyDescent="0.25">
      <c r="A497" s="6">
        <f>ReturnData!A508</f>
        <v>201603</v>
      </c>
      <c r="S497">
        <f t="shared" si="14"/>
        <v>201603</v>
      </c>
      <c r="AK497">
        <f t="shared" si="16"/>
        <v>201603</v>
      </c>
      <c r="AL497" s="9"/>
    </row>
    <row r="498" spans="1:38" x14ac:dyDescent="0.25">
      <c r="A498" s="6">
        <f>ReturnData!A509</f>
        <v>201604</v>
      </c>
      <c r="S498">
        <f t="shared" si="14"/>
        <v>201604</v>
      </c>
      <c r="AK498">
        <f t="shared" si="16"/>
        <v>201604</v>
      </c>
      <c r="AL498" s="9"/>
    </row>
    <row r="499" spans="1:38" x14ac:dyDescent="0.25">
      <c r="A499" s="6">
        <f>ReturnData!A510</f>
        <v>201605</v>
      </c>
      <c r="S499">
        <f t="shared" si="14"/>
        <v>201605</v>
      </c>
      <c r="AK499">
        <f t="shared" si="16"/>
        <v>201605</v>
      </c>
      <c r="AL499" s="9"/>
    </row>
    <row r="500" spans="1:38" x14ac:dyDescent="0.25">
      <c r="A500" s="6">
        <f>ReturnData!A511</f>
        <v>201606</v>
      </c>
      <c r="S500">
        <f t="shared" si="14"/>
        <v>201606</v>
      </c>
      <c r="AK500">
        <f t="shared" si="16"/>
        <v>201606</v>
      </c>
      <c r="AL500" s="9"/>
    </row>
    <row r="501" spans="1:38" x14ac:dyDescent="0.25">
      <c r="A501" s="6">
        <f>ReturnData!A512</f>
        <v>201607</v>
      </c>
      <c r="S501">
        <f t="shared" si="14"/>
        <v>201607</v>
      </c>
      <c r="AK501">
        <f t="shared" si="16"/>
        <v>201607</v>
      </c>
      <c r="AL501" s="9"/>
    </row>
    <row r="502" spans="1:38" x14ac:dyDescent="0.25">
      <c r="A502" s="6">
        <f>ReturnData!A513</f>
        <v>201608</v>
      </c>
      <c r="S502">
        <f t="shared" si="14"/>
        <v>201608</v>
      </c>
      <c r="AK502">
        <f t="shared" si="16"/>
        <v>201608</v>
      </c>
      <c r="AL502" s="9"/>
    </row>
    <row r="503" spans="1:38" x14ac:dyDescent="0.25">
      <c r="A503" s="6">
        <f>ReturnData!A514</f>
        <v>201609</v>
      </c>
      <c r="S503">
        <f t="shared" si="14"/>
        <v>201609</v>
      </c>
      <c r="AK503">
        <f t="shared" si="16"/>
        <v>201609</v>
      </c>
      <c r="AL503" s="9"/>
    </row>
    <row r="504" spans="1:38" x14ac:dyDescent="0.25">
      <c r="A504" s="6">
        <f>ReturnData!A515</f>
        <v>201610</v>
      </c>
      <c r="S504">
        <f t="shared" si="14"/>
        <v>201610</v>
      </c>
      <c r="AK504">
        <f t="shared" si="16"/>
        <v>201610</v>
      </c>
      <c r="AL504" s="9"/>
    </row>
    <row r="505" spans="1:38" x14ac:dyDescent="0.25">
      <c r="A505" s="6">
        <f>ReturnData!A516</f>
        <v>201611</v>
      </c>
      <c r="S505">
        <f t="shared" si="14"/>
        <v>201611</v>
      </c>
      <c r="AK505">
        <f t="shared" si="16"/>
        <v>201611</v>
      </c>
      <c r="AL505" s="9"/>
    </row>
    <row r="506" spans="1:38" x14ac:dyDescent="0.25">
      <c r="A506" s="6">
        <f>ReturnData!A517</f>
        <v>201612</v>
      </c>
      <c r="S506">
        <f t="shared" si="14"/>
        <v>201612</v>
      </c>
      <c r="AK506">
        <f t="shared" si="16"/>
        <v>201612</v>
      </c>
      <c r="AL506" s="9"/>
    </row>
    <row r="507" spans="1:38" x14ac:dyDescent="0.25">
      <c r="A507" s="6">
        <f>ReturnData!A518</f>
        <v>201701</v>
      </c>
      <c r="S507">
        <f t="shared" si="14"/>
        <v>201701</v>
      </c>
      <c r="AK507">
        <f t="shared" si="16"/>
        <v>201701</v>
      </c>
      <c r="AL507" s="9"/>
    </row>
    <row r="508" spans="1:38" x14ac:dyDescent="0.25">
      <c r="A508" s="6">
        <f>ReturnData!A519</f>
        <v>201702</v>
      </c>
      <c r="S508">
        <f t="shared" si="14"/>
        <v>201702</v>
      </c>
      <c r="AK508">
        <f t="shared" si="16"/>
        <v>201702</v>
      </c>
      <c r="AL508" s="9"/>
    </row>
    <row r="509" spans="1:38" x14ac:dyDescent="0.25">
      <c r="A509" s="6">
        <f>ReturnData!A520</f>
        <v>201703</v>
      </c>
      <c r="S509">
        <f t="shared" si="14"/>
        <v>201703</v>
      </c>
      <c r="AK509">
        <f t="shared" si="16"/>
        <v>201703</v>
      </c>
      <c r="AL509" s="9"/>
    </row>
    <row r="510" spans="1:38" x14ac:dyDescent="0.25">
      <c r="A510" s="6">
        <f>ReturnData!A521</f>
        <v>201704</v>
      </c>
      <c r="S510">
        <f t="shared" si="14"/>
        <v>201704</v>
      </c>
      <c r="AK510">
        <f t="shared" si="16"/>
        <v>201704</v>
      </c>
      <c r="AL510" s="9"/>
    </row>
    <row r="511" spans="1:38" x14ac:dyDescent="0.25">
      <c r="A511" s="6">
        <f>ReturnData!A522</f>
        <v>201705</v>
      </c>
      <c r="S511">
        <f t="shared" si="14"/>
        <v>201705</v>
      </c>
      <c r="AK511">
        <f t="shared" si="16"/>
        <v>201705</v>
      </c>
      <c r="AL511" s="9"/>
    </row>
    <row r="512" spans="1:38" x14ac:dyDescent="0.25">
      <c r="A512" s="6">
        <f>ReturnData!A523</f>
        <v>201706</v>
      </c>
      <c r="S512">
        <f t="shared" si="14"/>
        <v>201706</v>
      </c>
      <c r="AK512">
        <f t="shared" si="16"/>
        <v>201706</v>
      </c>
      <c r="AL512" s="9"/>
    </row>
    <row r="513" spans="1:38" x14ac:dyDescent="0.25">
      <c r="A513" s="6">
        <f>ReturnData!A524</f>
        <v>201707</v>
      </c>
      <c r="S513">
        <f t="shared" si="14"/>
        <v>201707</v>
      </c>
      <c r="AK513">
        <f t="shared" si="16"/>
        <v>201707</v>
      </c>
      <c r="AL513" s="9"/>
    </row>
    <row r="514" spans="1:38" x14ac:dyDescent="0.25">
      <c r="A514" s="6">
        <f>ReturnData!A525</f>
        <v>201708</v>
      </c>
      <c r="S514">
        <f t="shared" si="14"/>
        <v>201708</v>
      </c>
      <c r="AK514">
        <f t="shared" si="16"/>
        <v>201708</v>
      </c>
      <c r="AL514" s="9"/>
    </row>
    <row r="515" spans="1:38" x14ac:dyDescent="0.25">
      <c r="A515" s="6">
        <f>ReturnData!A526</f>
        <v>201709</v>
      </c>
      <c r="S515">
        <f t="shared" ref="S515:S578" si="17">A515</f>
        <v>201709</v>
      </c>
      <c r="AK515">
        <f t="shared" si="16"/>
        <v>201709</v>
      </c>
      <c r="AL515" s="9"/>
    </row>
    <row r="516" spans="1:38" x14ac:dyDescent="0.25">
      <c r="A516" s="6">
        <f>ReturnData!A527</f>
        <v>201710</v>
      </c>
      <c r="S516">
        <f t="shared" si="17"/>
        <v>201710</v>
      </c>
      <c r="AK516">
        <f t="shared" si="16"/>
        <v>201710</v>
      </c>
      <c r="AL516" s="9"/>
    </row>
    <row r="517" spans="1:38" x14ac:dyDescent="0.25">
      <c r="A517" s="6">
        <f>ReturnData!A528</f>
        <v>201711</v>
      </c>
      <c r="S517">
        <f t="shared" si="17"/>
        <v>201711</v>
      </c>
      <c r="AK517">
        <f t="shared" si="16"/>
        <v>201711</v>
      </c>
      <c r="AL517" s="9"/>
    </row>
    <row r="518" spans="1:38" x14ac:dyDescent="0.25">
      <c r="A518" s="6">
        <f>ReturnData!A529</f>
        <v>201712</v>
      </c>
      <c r="S518">
        <f t="shared" si="17"/>
        <v>201712</v>
      </c>
      <c r="AK518">
        <f t="shared" si="16"/>
        <v>201712</v>
      </c>
      <c r="AL518" s="9"/>
    </row>
    <row r="519" spans="1:38" x14ac:dyDescent="0.25">
      <c r="A519" s="6">
        <f>ReturnData!A530</f>
        <v>201801</v>
      </c>
      <c r="S519">
        <f t="shared" si="17"/>
        <v>201801</v>
      </c>
      <c r="AK519">
        <f t="shared" si="16"/>
        <v>201801</v>
      </c>
      <c r="AL519" s="9"/>
    </row>
    <row r="520" spans="1:38" x14ac:dyDescent="0.25">
      <c r="A520" s="6">
        <f>ReturnData!A531</f>
        <v>201802</v>
      </c>
      <c r="S520">
        <f t="shared" si="17"/>
        <v>201802</v>
      </c>
      <c r="AK520">
        <f t="shared" si="16"/>
        <v>201802</v>
      </c>
      <c r="AL520" s="9"/>
    </row>
    <row r="521" spans="1:38" x14ac:dyDescent="0.25">
      <c r="A521" s="6">
        <f>ReturnData!A532</f>
        <v>201803</v>
      </c>
      <c r="S521">
        <f t="shared" si="17"/>
        <v>201803</v>
      </c>
      <c r="AK521">
        <f t="shared" si="16"/>
        <v>201803</v>
      </c>
      <c r="AL521" s="9"/>
    </row>
    <row r="522" spans="1:38" x14ac:dyDescent="0.25">
      <c r="A522" s="6">
        <f>ReturnData!A533</f>
        <v>201804</v>
      </c>
      <c r="S522">
        <f t="shared" si="17"/>
        <v>201804</v>
      </c>
      <c r="AK522">
        <f t="shared" si="16"/>
        <v>201804</v>
      </c>
      <c r="AL522" s="9"/>
    </row>
    <row r="523" spans="1:38" x14ac:dyDescent="0.25">
      <c r="A523" s="6">
        <f>ReturnData!A534</f>
        <v>201805</v>
      </c>
      <c r="S523">
        <f t="shared" si="17"/>
        <v>201805</v>
      </c>
      <c r="AK523">
        <f t="shared" si="16"/>
        <v>201805</v>
      </c>
      <c r="AL523" s="9"/>
    </row>
    <row r="524" spans="1:38" x14ac:dyDescent="0.25">
      <c r="A524" s="6">
        <f>ReturnData!A535</f>
        <v>201806</v>
      </c>
      <c r="S524">
        <f t="shared" si="17"/>
        <v>201806</v>
      </c>
      <c r="AK524">
        <f t="shared" si="16"/>
        <v>201806</v>
      </c>
      <c r="AL524" s="9"/>
    </row>
    <row r="525" spans="1:38" x14ac:dyDescent="0.25">
      <c r="A525" s="6">
        <f>ReturnData!A536</f>
        <v>201807</v>
      </c>
      <c r="S525">
        <f t="shared" si="17"/>
        <v>201807</v>
      </c>
      <c r="AK525">
        <f t="shared" si="16"/>
        <v>201807</v>
      </c>
      <c r="AL525" s="9"/>
    </row>
    <row r="526" spans="1:38" x14ac:dyDescent="0.25">
      <c r="A526" s="6">
        <f>ReturnData!A537</f>
        <v>201808</v>
      </c>
      <c r="S526">
        <f t="shared" si="17"/>
        <v>201808</v>
      </c>
      <c r="AK526">
        <f t="shared" si="16"/>
        <v>201808</v>
      </c>
      <c r="AL526" s="9"/>
    </row>
    <row r="527" spans="1:38" x14ac:dyDescent="0.25">
      <c r="A527" s="6">
        <f>ReturnData!A538</f>
        <v>201809</v>
      </c>
      <c r="S527">
        <f t="shared" si="17"/>
        <v>201809</v>
      </c>
      <c r="AK527">
        <f t="shared" si="16"/>
        <v>201809</v>
      </c>
      <c r="AL527" s="9"/>
    </row>
    <row r="528" spans="1:38" x14ac:dyDescent="0.25">
      <c r="A528" s="6">
        <f>ReturnData!A539</f>
        <v>201810</v>
      </c>
      <c r="S528">
        <f t="shared" si="17"/>
        <v>201810</v>
      </c>
      <c r="AK528">
        <f t="shared" si="16"/>
        <v>201810</v>
      </c>
      <c r="AL528" s="9"/>
    </row>
    <row r="529" spans="1:38" x14ac:dyDescent="0.25">
      <c r="A529" s="6">
        <f>ReturnData!A540</f>
        <v>201811</v>
      </c>
      <c r="S529">
        <f t="shared" si="17"/>
        <v>201811</v>
      </c>
      <c r="AK529">
        <f t="shared" si="16"/>
        <v>201811</v>
      </c>
      <c r="AL529" s="9"/>
    </row>
    <row r="530" spans="1:38" x14ac:dyDescent="0.25">
      <c r="A530" s="6">
        <f>ReturnData!A541</f>
        <v>201812</v>
      </c>
      <c r="S530">
        <f t="shared" si="17"/>
        <v>201812</v>
      </c>
      <c r="AK530">
        <f t="shared" si="16"/>
        <v>201812</v>
      </c>
      <c r="AL530" s="9"/>
    </row>
    <row r="531" spans="1:38" x14ac:dyDescent="0.25">
      <c r="A531" s="6">
        <f>ReturnData!A542</f>
        <v>201901</v>
      </c>
      <c r="S531">
        <f t="shared" si="17"/>
        <v>201901</v>
      </c>
      <c r="AK531">
        <f t="shared" si="16"/>
        <v>201901</v>
      </c>
      <c r="AL531" s="9"/>
    </row>
    <row r="532" spans="1:38" x14ac:dyDescent="0.25">
      <c r="A532" s="6">
        <f>ReturnData!A543</f>
        <v>201902</v>
      </c>
      <c r="S532">
        <f t="shared" si="17"/>
        <v>201902</v>
      </c>
      <c r="AK532">
        <f t="shared" si="16"/>
        <v>201902</v>
      </c>
      <c r="AL532" s="9"/>
    </row>
    <row r="533" spans="1:38" x14ac:dyDescent="0.25">
      <c r="A533" s="6">
        <f>ReturnData!A544</f>
        <v>201903</v>
      </c>
      <c r="S533">
        <f t="shared" si="17"/>
        <v>201903</v>
      </c>
      <c r="AK533">
        <f t="shared" si="16"/>
        <v>201903</v>
      </c>
      <c r="AL533" s="9"/>
    </row>
    <row r="534" spans="1:38" x14ac:dyDescent="0.25">
      <c r="A534" s="6">
        <f>ReturnData!A545</f>
        <v>201904</v>
      </c>
      <c r="S534">
        <f t="shared" si="17"/>
        <v>201904</v>
      </c>
      <c r="AK534">
        <f t="shared" si="16"/>
        <v>201904</v>
      </c>
      <c r="AL534" s="9"/>
    </row>
    <row r="535" spans="1:38" x14ac:dyDescent="0.25">
      <c r="A535" s="6">
        <f>ReturnData!A546</f>
        <v>201905</v>
      </c>
      <c r="S535">
        <f t="shared" si="17"/>
        <v>201905</v>
      </c>
      <c r="AK535">
        <f t="shared" si="16"/>
        <v>201905</v>
      </c>
      <c r="AL535" s="9"/>
    </row>
    <row r="536" spans="1:38" x14ac:dyDescent="0.25">
      <c r="A536" s="6">
        <f>ReturnData!A547</f>
        <v>201906</v>
      </c>
      <c r="S536">
        <f t="shared" si="17"/>
        <v>201906</v>
      </c>
      <c r="AK536">
        <f t="shared" si="16"/>
        <v>201906</v>
      </c>
      <c r="AL536" s="9"/>
    </row>
    <row r="537" spans="1:38" x14ac:dyDescent="0.25">
      <c r="A537" s="6">
        <f>ReturnData!A548</f>
        <v>201907</v>
      </c>
      <c r="S537">
        <f t="shared" si="17"/>
        <v>201907</v>
      </c>
      <c r="AK537">
        <f t="shared" si="16"/>
        <v>201907</v>
      </c>
      <c r="AL537" s="9"/>
    </row>
    <row r="538" spans="1:38" x14ac:dyDescent="0.25">
      <c r="A538" s="6">
        <f>ReturnData!A549</f>
        <v>201908</v>
      </c>
      <c r="S538">
        <f t="shared" si="17"/>
        <v>201908</v>
      </c>
      <c r="AK538">
        <f t="shared" si="16"/>
        <v>201908</v>
      </c>
      <c r="AL538" s="9"/>
    </row>
    <row r="539" spans="1:38" x14ac:dyDescent="0.25">
      <c r="A539" s="6">
        <f>ReturnData!A550</f>
        <v>201909</v>
      </c>
      <c r="S539">
        <f t="shared" si="17"/>
        <v>201909</v>
      </c>
      <c r="AK539">
        <f t="shared" si="16"/>
        <v>201909</v>
      </c>
      <c r="AL539" s="9"/>
    </row>
    <row r="540" spans="1:38" x14ac:dyDescent="0.25">
      <c r="A540" s="6">
        <f>ReturnData!A551</f>
        <v>201910</v>
      </c>
      <c r="S540">
        <f t="shared" si="17"/>
        <v>201910</v>
      </c>
      <c r="AK540">
        <f t="shared" si="16"/>
        <v>201910</v>
      </c>
      <c r="AL540" s="9"/>
    </row>
    <row r="541" spans="1:38" x14ac:dyDescent="0.25">
      <c r="A541" s="6">
        <f>ReturnData!A552</f>
        <v>201911</v>
      </c>
      <c r="S541">
        <f t="shared" si="17"/>
        <v>201911</v>
      </c>
      <c r="AK541">
        <f t="shared" si="16"/>
        <v>201911</v>
      </c>
      <c r="AL541" s="9"/>
    </row>
    <row r="542" spans="1:38" x14ac:dyDescent="0.25">
      <c r="A542" s="6">
        <f>ReturnData!A553</f>
        <v>201912</v>
      </c>
      <c r="S542">
        <f t="shared" si="17"/>
        <v>201912</v>
      </c>
      <c r="AK542">
        <f t="shared" si="16"/>
        <v>201912</v>
      </c>
      <c r="AL542" s="9"/>
    </row>
    <row r="543" spans="1:38" x14ac:dyDescent="0.25">
      <c r="A543" s="6">
        <f>ReturnData!A554</f>
        <v>202001</v>
      </c>
      <c r="S543">
        <f t="shared" si="17"/>
        <v>202001</v>
      </c>
      <c r="AK543">
        <f t="shared" si="16"/>
        <v>202001</v>
      </c>
      <c r="AL543" s="9"/>
    </row>
    <row r="544" spans="1:38" x14ac:dyDescent="0.25">
      <c r="A544" s="6">
        <f>ReturnData!A555</f>
        <v>202002</v>
      </c>
      <c r="S544">
        <f t="shared" si="17"/>
        <v>202002</v>
      </c>
      <c r="AK544">
        <f t="shared" si="16"/>
        <v>202002</v>
      </c>
      <c r="AL544" s="9"/>
    </row>
    <row r="545" spans="1:38" x14ac:dyDescent="0.25">
      <c r="A545" s="6">
        <f>ReturnData!A556</f>
        <v>202003</v>
      </c>
      <c r="S545">
        <f t="shared" si="17"/>
        <v>202003</v>
      </c>
      <c r="AK545">
        <f t="shared" si="16"/>
        <v>202003</v>
      </c>
      <c r="AL545" s="9"/>
    </row>
    <row r="546" spans="1:38" x14ac:dyDescent="0.25">
      <c r="A546" s="6">
        <f>ReturnData!A557</f>
        <v>202004</v>
      </c>
      <c r="S546">
        <f t="shared" si="17"/>
        <v>202004</v>
      </c>
      <c r="AK546">
        <f t="shared" si="16"/>
        <v>202004</v>
      </c>
      <c r="AL546" s="9"/>
    </row>
    <row r="547" spans="1:38" x14ac:dyDescent="0.25">
      <c r="A547" s="6">
        <f>ReturnData!A558</f>
        <v>202005</v>
      </c>
      <c r="S547">
        <f t="shared" si="17"/>
        <v>202005</v>
      </c>
      <c r="AK547">
        <f t="shared" ref="AK547:AK610" si="18">S547</f>
        <v>202005</v>
      </c>
      <c r="AL547" s="9"/>
    </row>
    <row r="548" spans="1:38" x14ac:dyDescent="0.25">
      <c r="A548" s="6">
        <f>ReturnData!A559</f>
        <v>202006</v>
      </c>
      <c r="S548">
        <f t="shared" si="17"/>
        <v>202006</v>
      </c>
      <c r="AK548">
        <f t="shared" si="18"/>
        <v>202006</v>
      </c>
      <c r="AL548" s="9"/>
    </row>
    <row r="549" spans="1:38" x14ac:dyDescent="0.25">
      <c r="A549" s="6">
        <f>ReturnData!A560</f>
        <v>202007</v>
      </c>
      <c r="S549">
        <f t="shared" si="17"/>
        <v>202007</v>
      </c>
      <c r="AK549">
        <f t="shared" si="18"/>
        <v>202007</v>
      </c>
      <c r="AL549" s="9"/>
    </row>
    <row r="550" spans="1:38" x14ac:dyDescent="0.25">
      <c r="A550" s="6">
        <f>ReturnData!A561</f>
        <v>202008</v>
      </c>
      <c r="S550">
        <f t="shared" si="17"/>
        <v>202008</v>
      </c>
      <c r="AK550">
        <f t="shared" si="18"/>
        <v>202008</v>
      </c>
      <c r="AL550" s="9"/>
    </row>
    <row r="551" spans="1:38" x14ac:dyDescent="0.25">
      <c r="A551" s="6">
        <f>ReturnData!A562</f>
        <v>202009</v>
      </c>
      <c r="S551">
        <f t="shared" si="17"/>
        <v>202009</v>
      </c>
      <c r="AK551">
        <f t="shared" si="18"/>
        <v>202009</v>
      </c>
      <c r="AL551" s="9"/>
    </row>
    <row r="552" spans="1:38" x14ac:dyDescent="0.25">
      <c r="A552" s="6">
        <f>ReturnData!A563</f>
        <v>202010</v>
      </c>
      <c r="S552">
        <f t="shared" si="17"/>
        <v>202010</v>
      </c>
      <c r="AK552">
        <f t="shared" si="18"/>
        <v>202010</v>
      </c>
      <c r="AL552" s="9"/>
    </row>
    <row r="553" spans="1:38" x14ac:dyDescent="0.25">
      <c r="A553" s="6">
        <f>ReturnData!A564</f>
        <v>202011</v>
      </c>
      <c r="S553">
        <f t="shared" si="17"/>
        <v>202011</v>
      </c>
      <c r="AK553">
        <f t="shared" si="18"/>
        <v>202011</v>
      </c>
      <c r="AL553" s="9"/>
    </row>
    <row r="554" spans="1:38" x14ac:dyDescent="0.25">
      <c r="A554" s="6">
        <f>ReturnData!A565</f>
        <v>202012</v>
      </c>
      <c r="S554">
        <f t="shared" si="17"/>
        <v>202012</v>
      </c>
      <c r="AK554">
        <f t="shared" si="18"/>
        <v>202012</v>
      </c>
      <c r="AL554" s="9"/>
    </row>
    <row r="555" spans="1:38" x14ac:dyDescent="0.25">
      <c r="A555" s="6">
        <f>ReturnData!A566</f>
        <v>202101</v>
      </c>
      <c r="S555">
        <f t="shared" si="17"/>
        <v>202101</v>
      </c>
      <c r="AK555">
        <f t="shared" si="18"/>
        <v>202101</v>
      </c>
      <c r="AL555" s="9"/>
    </row>
    <row r="556" spans="1:38" x14ac:dyDescent="0.25">
      <c r="A556" s="6">
        <f>ReturnData!A567</f>
        <v>202102</v>
      </c>
      <c r="S556">
        <f t="shared" si="17"/>
        <v>202102</v>
      </c>
      <c r="AK556">
        <f t="shared" si="18"/>
        <v>202102</v>
      </c>
      <c r="AL556" s="9"/>
    </row>
    <row r="557" spans="1:38" x14ac:dyDescent="0.25">
      <c r="A557" s="6">
        <f>ReturnData!A568</f>
        <v>202103</v>
      </c>
      <c r="S557">
        <f t="shared" si="17"/>
        <v>202103</v>
      </c>
      <c r="AK557">
        <f t="shared" si="18"/>
        <v>202103</v>
      </c>
      <c r="AL557" s="9"/>
    </row>
    <row r="558" spans="1:38" x14ac:dyDescent="0.25">
      <c r="A558" s="6">
        <f>ReturnData!A569</f>
        <v>202104</v>
      </c>
      <c r="S558">
        <f t="shared" si="17"/>
        <v>202104</v>
      </c>
      <c r="AK558">
        <f t="shared" si="18"/>
        <v>202104</v>
      </c>
      <c r="AL558" s="9"/>
    </row>
    <row r="559" spans="1:38" x14ac:dyDescent="0.25">
      <c r="A559" s="6">
        <f>ReturnData!A570</f>
        <v>202105</v>
      </c>
      <c r="S559">
        <f t="shared" si="17"/>
        <v>202105</v>
      </c>
      <c r="AK559">
        <f t="shared" si="18"/>
        <v>202105</v>
      </c>
      <c r="AL559" s="9"/>
    </row>
    <row r="560" spans="1:38" x14ac:dyDescent="0.25">
      <c r="A560" s="6">
        <f>ReturnData!A571</f>
        <v>202106</v>
      </c>
      <c r="S560">
        <f t="shared" si="17"/>
        <v>202106</v>
      </c>
      <c r="AK560">
        <f t="shared" si="18"/>
        <v>202106</v>
      </c>
      <c r="AL560" s="9"/>
    </row>
    <row r="561" spans="1:38" x14ac:dyDescent="0.25">
      <c r="A561" s="6">
        <f>ReturnData!A572</f>
        <v>202107</v>
      </c>
      <c r="S561">
        <f t="shared" si="17"/>
        <v>202107</v>
      </c>
      <c r="AK561">
        <f t="shared" si="18"/>
        <v>202107</v>
      </c>
      <c r="AL561" s="9"/>
    </row>
    <row r="562" spans="1:38" x14ac:dyDescent="0.25">
      <c r="A562" s="6">
        <f>ReturnData!A573</f>
        <v>202108</v>
      </c>
      <c r="S562">
        <f t="shared" si="17"/>
        <v>202108</v>
      </c>
      <c r="AK562">
        <f t="shared" si="18"/>
        <v>202108</v>
      </c>
      <c r="AL562" s="9"/>
    </row>
    <row r="563" spans="1:38" x14ac:dyDescent="0.25">
      <c r="A563" s="6">
        <f>ReturnData!A574</f>
        <v>202109</v>
      </c>
      <c r="S563">
        <f t="shared" si="17"/>
        <v>202109</v>
      </c>
      <c r="AK563">
        <f t="shared" si="18"/>
        <v>202109</v>
      </c>
      <c r="AL563" s="9"/>
    </row>
    <row r="564" spans="1:38" x14ac:dyDescent="0.25">
      <c r="A564" s="6">
        <f>ReturnData!A575</f>
        <v>202110</v>
      </c>
      <c r="S564">
        <f t="shared" si="17"/>
        <v>202110</v>
      </c>
      <c r="AK564">
        <f t="shared" si="18"/>
        <v>202110</v>
      </c>
      <c r="AL564" s="9"/>
    </row>
    <row r="565" spans="1:38" x14ac:dyDescent="0.25">
      <c r="A565" s="6">
        <f>ReturnData!A576</f>
        <v>202111</v>
      </c>
      <c r="S565">
        <f t="shared" si="17"/>
        <v>202111</v>
      </c>
      <c r="AK565">
        <f t="shared" si="18"/>
        <v>202111</v>
      </c>
      <c r="AL565" s="9"/>
    </row>
    <row r="566" spans="1:38" x14ac:dyDescent="0.25">
      <c r="A566" s="6">
        <f>ReturnData!A577</f>
        <v>202112</v>
      </c>
      <c r="S566">
        <f t="shared" si="17"/>
        <v>202112</v>
      </c>
      <c r="AK566">
        <f t="shared" si="18"/>
        <v>202112</v>
      </c>
      <c r="AL566" s="9"/>
    </row>
    <row r="567" spans="1:38" x14ac:dyDescent="0.25">
      <c r="A567" s="6">
        <f>ReturnData!A578</f>
        <v>202201</v>
      </c>
      <c r="S567">
        <f t="shared" si="17"/>
        <v>202201</v>
      </c>
      <c r="AK567">
        <f t="shared" si="18"/>
        <v>202201</v>
      </c>
      <c r="AL567" s="9"/>
    </row>
    <row r="568" spans="1:38" x14ac:dyDescent="0.25">
      <c r="A568" s="6">
        <f>ReturnData!A579</f>
        <v>202202</v>
      </c>
      <c r="S568">
        <f t="shared" si="17"/>
        <v>202202</v>
      </c>
      <c r="AK568">
        <f t="shared" si="18"/>
        <v>202202</v>
      </c>
      <c r="AL568" s="9"/>
    </row>
    <row r="569" spans="1:38" x14ac:dyDescent="0.25">
      <c r="A569" s="6">
        <f>ReturnData!A580</f>
        <v>202203</v>
      </c>
      <c r="S569">
        <f t="shared" si="17"/>
        <v>202203</v>
      </c>
      <c r="AK569">
        <f t="shared" si="18"/>
        <v>202203</v>
      </c>
      <c r="AL569" s="9"/>
    </row>
    <row r="570" spans="1:38" x14ac:dyDescent="0.25">
      <c r="A570" s="6">
        <f>ReturnData!A581</f>
        <v>202204</v>
      </c>
      <c r="S570">
        <f t="shared" si="17"/>
        <v>202204</v>
      </c>
      <c r="AK570">
        <f t="shared" si="18"/>
        <v>202204</v>
      </c>
      <c r="AL570" s="9"/>
    </row>
    <row r="571" spans="1:38" x14ac:dyDescent="0.25">
      <c r="A571" s="6">
        <f>ReturnData!A582</f>
        <v>202205</v>
      </c>
      <c r="S571">
        <f t="shared" si="17"/>
        <v>202205</v>
      </c>
      <c r="AK571">
        <f t="shared" si="18"/>
        <v>202205</v>
      </c>
      <c r="AL571" s="9"/>
    </row>
    <row r="572" spans="1:38" x14ac:dyDescent="0.25">
      <c r="A572" s="6">
        <f>ReturnData!A583</f>
        <v>202206</v>
      </c>
      <c r="S572">
        <f t="shared" si="17"/>
        <v>202206</v>
      </c>
      <c r="AK572">
        <f t="shared" si="18"/>
        <v>202206</v>
      </c>
      <c r="AL572" s="9"/>
    </row>
    <row r="573" spans="1:38" x14ac:dyDescent="0.25">
      <c r="A573" s="6">
        <f>ReturnData!A584</f>
        <v>202207</v>
      </c>
      <c r="S573">
        <f t="shared" si="17"/>
        <v>202207</v>
      </c>
      <c r="AK573">
        <f t="shared" si="18"/>
        <v>202207</v>
      </c>
      <c r="AL573" s="9"/>
    </row>
    <row r="574" spans="1:38" x14ac:dyDescent="0.25">
      <c r="A574" s="6">
        <f>ReturnData!A585</f>
        <v>202208</v>
      </c>
      <c r="S574">
        <f t="shared" si="17"/>
        <v>202208</v>
      </c>
      <c r="AK574">
        <f t="shared" si="18"/>
        <v>202208</v>
      </c>
      <c r="AL574" s="9"/>
    </row>
    <row r="575" spans="1:38" x14ac:dyDescent="0.25">
      <c r="A575" s="6">
        <f>ReturnData!A586</f>
        <v>202209</v>
      </c>
      <c r="S575">
        <f t="shared" si="17"/>
        <v>202209</v>
      </c>
      <c r="AK575">
        <f t="shared" si="18"/>
        <v>202209</v>
      </c>
      <c r="AL575" s="9"/>
    </row>
    <row r="576" spans="1:38" x14ac:dyDescent="0.25">
      <c r="A576" s="6">
        <f>ReturnData!A587</f>
        <v>202210</v>
      </c>
      <c r="S576">
        <f t="shared" si="17"/>
        <v>202210</v>
      </c>
      <c r="AK576">
        <f t="shared" si="18"/>
        <v>202210</v>
      </c>
      <c r="AL576" s="9"/>
    </row>
    <row r="577" spans="1:38" x14ac:dyDescent="0.25">
      <c r="A577" s="6">
        <f>ReturnData!A588</f>
        <v>202211</v>
      </c>
      <c r="S577">
        <f t="shared" si="17"/>
        <v>202211</v>
      </c>
      <c r="AK577">
        <f t="shared" si="18"/>
        <v>202211</v>
      </c>
      <c r="AL577" s="9"/>
    </row>
    <row r="578" spans="1:38" x14ac:dyDescent="0.25">
      <c r="A578" s="6">
        <f>ReturnData!A589</f>
        <v>202212</v>
      </c>
      <c r="S578">
        <f t="shared" si="17"/>
        <v>202212</v>
      </c>
      <c r="AK578">
        <f t="shared" si="18"/>
        <v>202212</v>
      </c>
      <c r="AL578" s="9"/>
    </row>
    <row r="579" spans="1:38" x14ac:dyDescent="0.25">
      <c r="A579" s="6">
        <f>ReturnData!A590</f>
        <v>202301</v>
      </c>
      <c r="S579">
        <f t="shared" ref="S579:S642" si="19">A579</f>
        <v>202301</v>
      </c>
      <c r="AK579">
        <f t="shared" si="18"/>
        <v>202301</v>
      </c>
      <c r="AL579" s="9"/>
    </row>
    <row r="580" spans="1:38" x14ac:dyDescent="0.25">
      <c r="A580" s="6">
        <f>ReturnData!A591</f>
        <v>202302</v>
      </c>
      <c r="S580">
        <f t="shared" si="19"/>
        <v>202302</v>
      </c>
      <c r="AK580">
        <f t="shared" si="18"/>
        <v>202302</v>
      </c>
      <c r="AL580" s="9"/>
    </row>
    <row r="581" spans="1:38" x14ac:dyDescent="0.25">
      <c r="A581" s="6">
        <f>ReturnData!A592</f>
        <v>202303</v>
      </c>
      <c r="S581">
        <f t="shared" si="19"/>
        <v>202303</v>
      </c>
      <c r="AK581">
        <f t="shared" si="18"/>
        <v>202303</v>
      </c>
      <c r="AL581" s="9"/>
    </row>
    <row r="582" spans="1:38" x14ac:dyDescent="0.25">
      <c r="A582" s="6">
        <f>ReturnData!A593</f>
        <v>202304</v>
      </c>
      <c r="S582">
        <f t="shared" si="19"/>
        <v>202304</v>
      </c>
      <c r="AK582">
        <f t="shared" si="18"/>
        <v>202304</v>
      </c>
      <c r="AL582" s="9"/>
    </row>
    <row r="583" spans="1:38" x14ac:dyDescent="0.25">
      <c r="A583" s="6">
        <f>ReturnData!A594</f>
        <v>202305</v>
      </c>
      <c r="S583">
        <f t="shared" si="19"/>
        <v>202305</v>
      </c>
      <c r="AK583">
        <f t="shared" si="18"/>
        <v>202305</v>
      </c>
      <c r="AL583" s="9"/>
    </row>
    <row r="584" spans="1:38" x14ac:dyDescent="0.25">
      <c r="A584" s="6">
        <f>ReturnData!A595</f>
        <v>202306</v>
      </c>
      <c r="S584">
        <f t="shared" si="19"/>
        <v>202306</v>
      </c>
      <c r="AK584">
        <f t="shared" si="18"/>
        <v>202306</v>
      </c>
      <c r="AL584" s="9"/>
    </row>
    <row r="585" spans="1:38" x14ac:dyDescent="0.25">
      <c r="A585" s="6">
        <f>ReturnData!A596</f>
        <v>202307</v>
      </c>
      <c r="S585">
        <f t="shared" si="19"/>
        <v>202307</v>
      </c>
      <c r="AK585">
        <f t="shared" si="18"/>
        <v>202307</v>
      </c>
      <c r="AL585" s="9"/>
    </row>
    <row r="586" spans="1:38" x14ac:dyDescent="0.25">
      <c r="A586" s="6">
        <f>ReturnData!A597</f>
        <v>202308</v>
      </c>
      <c r="S586">
        <f t="shared" si="19"/>
        <v>202308</v>
      </c>
      <c r="AK586">
        <f t="shared" si="18"/>
        <v>202308</v>
      </c>
      <c r="AL586" s="9"/>
    </row>
    <row r="587" spans="1:38" x14ac:dyDescent="0.25">
      <c r="A587" s="6">
        <f>ReturnData!A598</f>
        <v>202309</v>
      </c>
      <c r="S587">
        <f t="shared" si="19"/>
        <v>202309</v>
      </c>
      <c r="AK587">
        <f t="shared" si="18"/>
        <v>202309</v>
      </c>
      <c r="AL587" s="9"/>
    </row>
    <row r="588" spans="1:38" x14ac:dyDescent="0.25">
      <c r="A588" s="6">
        <f>ReturnData!A599</f>
        <v>202310</v>
      </c>
      <c r="S588">
        <f t="shared" si="19"/>
        <v>202310</v>
      </c>
      <c r="AK588">
        <f t="shared" si="18"/>
        <v>202310</v>
      </c>
      <c r="AL588" s="9"/>
    </row>
    <row r="589" spans="1:38" x14ac:dyDescent="0.25">
      <c r="A589" s="6">
        <f>ReturnData!A600</f>
        <v>202311</v>
      </c>
      <c r="S589">
        <f t="shared" si="19"/>
        <v>202311</v>
      </c>
      <c r="AK589">
        <f t="shared" si="18"/>
        <v>202311</v>
      </c>
      <c r="AL589" s="9"/>
    </row>
    <row r="590" spans="1:38" x14ac:dyDescent="0.25">
      <c r="A590" s="6">
        <f>ReturnData!A601</f>
        <v>202312</v>
      </c>
      <c r="S590">
        <f t="shared" si="19"/>
        <v>202312</v>
      </c>
      <c r="AK590">
        <f t="shared" si="18"/>
        <v>202312</v>
      </c>
      <c r="AL590" s="9"/>
    </row>
    <row r="591" spans="1:38" x14ac:dyDescent="0.25">
      <c r="A591" s="6">
        <f>ReturnData!A602</f>
        <v>202401</v>
      </c>
      <c r="S591">
        <f t="shared" si="19"/>
        <v>202401</v>
      </c>
      <c r="AK591">
        <f t="shared" si="18"/>
        <v>202401</v>
      </c>
      <c r="AL591" s="9"/>
    </row>
    <row r="592" spans="1:38" x14ac:dyDescent="0.25">
      <c r="A592" s="6">
        <f>ReturnData!A603</f>
        <v>202402</v>
      </c>
      <c r="S592">
        <f t="shared" si="19"/>
        <v>202402</v>
      </c>
      <c r="AK592">
        <f t="shared" si="18"/>
        <v>202402</v>
      </c>
      <c r="AL592" s="9"/>
    </row>
    <row r="593" spans="1:38" x14ac:dyDescent="0.25">
      <c r="A593" s="6">
        <f>ReturnData!A604</f>
        <v>202403</v>
      </c>
      <c r="S593">
        <f t="shared" si="19"/>
        <v>202403</v>
      </c>
      <c r="AK593">
        <f t="shared" si="18"/>
        <v>202403</v>
      </c>
      <c r="AL593" s="9"/>
    </row>
    <row r="594" spans="1:38" x14ac:dyDescent="0.25">
      <c r="A594" s="6">
        <f>ReturnData!A605</f>
        <v>202404</v>
      </c>
      <c r="S594">
        <f t="shared" si="19"/>
        <v>202404</v>
      </c>
      <c r="AK594">
        <f t="shared" si="18"/>
        <v>202404</v>
      </c>
      <c r="AL594" s="9"/>
    </row>
    <row r="595" spans="1:38" x14ac:dyDescent="0.25">
      <c r="A595" s="6">
        <f>ReturnData!A606</f>
        <v>202405</v>
      </c>
      <c r="S595">
        <f t="shared" si="19"/>
        <v>202405</v>
      </c>
      <c r="AK595">
        <f t="shared" si="18"/>
        <v>202405</v>
      </c>
      <c r="AL595" s="9"/>
    </row>
    <row r="596" spans="1:38" x14ac:dyDescent="0.25">
      <c r="A596" s="6">
        <f>ReturnData!A607</f>
        <v>202406</v>
      </c>
      <c r="S596">
        <f t="shared" si="19"/>
        <v>202406</v>
      </c>
      <c r="AK596">
        <f t="shared" si="18"/>
        <v>202406</v>
      </c>
      <c r="AL596" s="9"/>
    </row>
    <row r="597" spans="1:38" x14ac:dyDescent="0.25">
      <c r="A597" s="6">
        <f>ReturnData!A608</f>
        <v>202407</v>
      </c>
      <c r="S597">
        <f t="shared" si="19"/>
        <v>202407</v>
      </c>
      <c r="AK597">
        <f t="shared" si="18"/>
        <v>202407</v>
      </c>
      <c r="AL597" s="9"/>
    </row>
    <row r="598" spans="1:38" x14ac:dyDescent="0.25">
      <c r="A598" s="6">
        <f>ReturnData!A609</f>
        <v>202408</v>
      </c>
      <c r="S598">
        <f t="shared" si="19"/>
        <v>202408</v>
      </c>
      <c r="AK598">
        <f t="shared" si="18"/>
        <v>202408</v>
      </c>
      <c r="AL598" s="9"/>
    </row>
    <row r="599" spans="1:38" x14ac:dyDescent="0.25">
      <c r="A599" s="6">
        <f>ReturnData!A610</f>
        <v>202409</v>
      </c>
      <c r="S599">
        <f t="shared" si="19"/>
        <v>202409</v>
      </c>
      <c r="AK599">
        <f t="shared" si="18"/>
        <v>202409</v>
      </c>
      <c r="AL599" s="9"/>
    </row>
    <row r="600" spans="1:38" x14ac:dyDescent="0.25">
      <c r="A600" s="6">
        <f>ReturnData!A611</f>
        <v>202410</v>
      </c>
      <c r="S600">
        <f t="shared" si="19"/>
        <v>202410</v>
      </c>
      <c r="AK600">
        <f t="shared" si="18"/>
        <v>202410</v>
      </c>
      <c r="AL600" s="9"/>
    </row>
    <row r="601" spans="1:38" x14ac:dyDescent="0.25">
      <c r="A601" s="6">
        <f>ReturnData!A612</f>
        <v>202411</v>
      </c>
      <c r="S601">
        <f t="shared" si="19"/>
        <v>202411</v>
      </c>
      <c r="AK601">
        <f t="shared" si="18"/>
        <v>202411</v>
      </c>
      <c r="AL601" s="9"/>
    </row>
    <row r="602" spans="1:38" x14ac:dyDescent="0.25">
      <c r="A602" s="6">
        <f>ReturnData!A613</f>
        <v>202412</v>
      </c>
      <c r="S602">
        <f t="shared" si="19"/>
        <v>202412</v>
      </c>
      <c r="AK602">
        <f t="shared" si="18"/>
        <v>202412</v>
      </c>
      <c r="AL602" s="9"/>
    </row>
    <row r="603" spans="1:38" x14ac:dyDescent="0.25">
      <c r="A603" s="6"/>
      <c r="S603">
        <f t="shared" si="19"/>
        <v>0</v>
      </c>
      <c r="AK603">
        <f t="shared" si="18"/>
        <v>0</v>
      </c>
      <c r="AL603" s="9"/>
    </row>
    <row r="604" spans="1:38" x14ac:dyDescent="0.25">
      <c r="A604" s="6"/>
      <c r="S604">
        <f t="shared" si="19"/>
        <v>0</v>
      </c>
      <c r="AK604">
        <f t="shared" si="18"/>
        <v>0</v>
      </c>
      <c r="AL604" s="9"/>
    </row>
    <row r="605" spans="1:38" x14ac:dyDescent="0.25">
      <c r="A605" s="6"/>
      <c r="S605">
        <f t="shared" si="19"/>
        <v>0</v>
      </c>
      <c r="AK605">
        <f t="shared" si="18"/>
        <v>0</v>
      </c>
      <c r="AL605" s="9"/>
    </row>
    <row r="606" spans="1:38" x14ac:dyDescent="0.25">
      <c r="A606" s="6"/>
      <c r="S606">
        <f t="shared" si="19"/>
        <v>0</v>
      </c>
      <c r="AK606">
        <f t="shared" si="18"/>
        <v>0</v>
      </c>
      <c r="AL606" s="9"/>
    </row>
    <row r="607" spans="1:38" x14ac:dyDescent="0.25">
      <c r="A607" s="6"/>
      <c r="S607">
        <f t="shared" si="19"/>
        <v>0</v>
      </c>
      <c r="AK607">
        <f t="shared" si="18"/>
        <v>0</v>
      </c>
      <c r="AL607" s="9"/>
    </row>
    <row r="608" spans="1:38" x14ac:dyDescent="0.25">
      <c r="A608" s="6"/>
      <c r="S608">
        <f t="shared" si="19"/>
        <v>0</v>
      </c>
      <c r="AK608">
        <f t="shared" si="18"/>
        <v>0</v>
      </c>
      <c r="AL608" s="9"/>
    </row>
    <row r="609" spans="1:38" x14ac:dyDescent="0.25">
      <c r="A609" s="6"/>
      <c r="S609">
        <f t="shared" si="19"/>
        <v>0</v>
      </c>
      <c r="AK609">
        <f t="shared" si="18"/>
        <v>0</v>
      </c>
      <c r="AL609" s="9"/>
    </row>
    <row r="610" spans="1:38" x14ac:dyDescent="0.25">
      <c r="A610" s="6"/>
      <c r="S610">
        <f t="shared" si="19"/>
        <v>0</v>
      </c>
      <c r="AK610">
        <f t="shared" si="18"/>
        <v>0</v>
      </c>
      <c r="AL610" s="9"/>
    </row>
    <row r="611" spans="1:38" x14ac:dyDescent="0.25">
      <c r="A611" s="6"/>
      <c r="S611">
        <f t="shared" si="19"/>
        <v>0</v>
      </c>
      <c r="AK611">
        <f t="shared" ref="AK611:AK674" si="20">S611</f>
        <v>0</v>
      </c>
      <c r="AL611" s="9"/>
    </row>
    <row r="612" spans="1:38" x14ac:dyDescent="0.25">
      <c r="A612" s="6"/>
      <c r="S612">
        <f t="shared" si="19"/>
        <v>0</v>
      </c>
      <c r="AK612">
        <f t="shared" si="20"/>
        <v>0</v>
      </c>
      <c r="AL612" s="9"/>
    </row>
    <row r="613" spans="1:38" x14ac:dyDescent="0.25">
      <c r="A613" s="6"/>
      <c r="S613">
        <f t="shared" si="19"/>
        <v>0</v>
      </c>
      <c r="AK613">
        <f t="shared" si="20"/>
        <v>0</v>
      </c>
      <c r="AL613" s="9"/>
    </row>
    <row r="614" spans="1:38" x14ac:dyDescent="0.25">
      <c r="A614" s="6"/>
      <c r="S614">
        <f t="shared" si="19"/>
        <v>0</v>
      </c>
      <c r="AK614">
        <f t="shared" si="20"/>
        <v>0</v>
      </c>
      <c r="AL614" s="9"/>
    </row>
    <row r="615" spans="1:38" x14ac:dyDescent="0.25">
      <c r="A615" s="6"/>
      <c r="S615">
        <f t="shared" si="19"/>
        <v>0</v>
      </c>
      <c r="AK615">
        <f t="shared" si="20"/>
        <v>0</v>
      </c>
      <c r="AL615" s="9"/>
    </row>
    <row r="616" spans="1:38" x14ac:dyDescent="0.25">
      <c r="A616" s="6"/>
      <c r="S616">
        <f t="shared" si="19"/>
        <v>0</v>
      </c>
      <c r="AK616">
        <f t="shared" si="20"/>
        <v>0</v>
      </c>
      <c r="AL616" s="9"/>
    </row>
    <row r="617" spans="1:38" x14ac:dyDescent="0.25">
      <c r="A617" s="6"/>
      <c r="S617">
        <f t="shared" si="19"/>
        <v>0</v>
      </c>
      <c r="AK617">
        <f t="shared" si="20"/>
        <v>0</v>
      </c>
      <c r="AL617" s="9"/>
    </row>
    <row r="618" spans="1:38" x14ac:dyDescent="0.25">
      <c r="A618" s="6"/>
      <c r="S618">
        <f t="shared" si="19"/>
        <v>0</v>
      </c>
      <c r="AK618">
        <f t="shared" si="20"/>
        <v>0</v>
      </c>
      <c r="AL618" s="9"/>
    </row>
    <row r="619" spans="1:38" x14ac:dyDescent="0.25">
      <c r="A619" s="6"/>
      <c r="S619">
        <f t="shared" si="19"/>
        <v>0</v>
      </c>
      <c r="AK619">
        <f t="shared" si="20"/>
        <v>0</v>
      </c>
      <c r="AL619" s="9"/>
    </row>
    <row r="620" spans="1:38" x14ac:dyDescent="0.25">
      <c r="A620" s="6"/>
      <c r="S620">
        <f t="shared" si="19"/>
        <v>0</v>
      </c>
      <c r="AK620">
        <f t="shared" si="20"/>
        <v>0</v>
      </c>
      <c r="AL620" s="9"/>
    </row>
    <row r="621" spans="1:38" x14ac:dyDescent="0.25">
      <c r="A621" s="6"/>
      <c r="S621">
        <f t="shared" si="19"/>
        <v>0</v>
      </c>
      <c r="AK621">
        <f t="shared" si="20"/>
        <v>0</v>
      </c>
      <c r="AL621" s="9"/>
    </row>
    <row r="622" spans="1:38" x14ac:dyDescent="0.25">
      <c r="A622" s="6"/>
      <c r="S622">
        <f t="shared" si="19"/>
        <v>0</v>
      </c>
      <c r="AK622">
        <f t="shared" si="20"/>
        <v>0</v>
      </c>
      <c r="AL622" s="9"/>
    </row>
    <row r="623" spans="1:38" x14ac:dyDescent="0.25">
      <c r="A623" s="6"/>
      <c r="S623">
        <f t="shared" si="19"/>
        <v>0</v>
      </c>
      <c r="AK623">
        <f t="shared" si="20"/>
        <v>0</v>
      </c>
      <c r="AL623" s="9"/>
    </row>
    <row r="624" spans="1:38" x14ac:dyDescent="0.25">
      <c r="A624" s="6"/>
      <c r="S624">
        <f t="shared" si="19"/>
        <v>0</v>
      </c>
      <c r="AK624">
        <f t="shared" si="20"/>
        <v>0</v>
      </c>
      <c r="AL624" s="9"/>
    </row>
    <row r="625" spans="1:38" x14ac:dyDescent="0.25">
      <c r="A625" s="6"/>
      <c r="S625">
        <f t="shared" si="19"/>
        <v>0</v>
      </c>
      <c r="AK625">
        <f t="shared" si="20"/>
        <v>0</v>
      </c>
      <c r="AL625" s="9"/>
    </row>
    <row r="626" spans="1:38" x14ac:dyDescent="0.25">
      <c r="A626" s="6"/>
      <c r="S626">
        <f t="shared" si="19"/>
        <v>0</v>
      </c>
      <c r="AK626">
        <f t="shared" si="20"/>
        <v>0</v>
      </c>
      <c r="AL626" s="9"/>
    </row>
    <row r="627" spans="1:38" x14ac:dyDescent="0.25">
      <c r="A627" s="6"/>
      <c r="S627">
        <f t="shared" si="19"/>
        <v>0</v>
      </c>
      <c r="AK627">
        <f t="shared" si="20"/>
        <v>0</v>
      </c>
      <c r="AL627" s="9"/>
    </row>
    <row r="628" spans="1:38" x14ac:dyDescent="0.25">
      <c r="A628" s="6"/>
      <c r="S628">
        <f t="shared" si="19"/>
        <v>0</v>
      </c>
      <c r="AK628">
        <f t="shared" si="20"/>
        <v>0</v>
      </c>
      <c r="AL628" s="9"/>
    </row>
    <row r="629" spans="1:38" x14ac:dyDescent="0.25">
      <c r="A629" s="6"/>
      <c r="S629">
        <f t="shared" si="19"/>
        <v>0</v>
      </c>
      <c r="AK629">
        <f t="shared" si="20"/>
        <v>0</v>
      </c>
      <c r="AL629" s="9"/>
    </row>
    <row r="630" spans="1:38" x14ac:dyDescent="0.25">
      <c r="A630" s="6"/>
      <c r="S630">
        <f t="shared" si="19"/>
        <v>0</v>
      </c>
      <c r="AK630">
        <f t="shared" si="20"/>
        <v>0</v>
      </c>
      <c r="AL630" s="9"/>
    </row>
    <row r="631" spans="1:38" x14ac:dyDescent="0.25">
      <c r="A631" s="6"/>
      <c r="S631">
        <f t="shared" si="19"/>
        <v>0</v>
      </c>
      <c r="AK631">
        <f t="shared" si="20"/>
        <v>0</v>
      </c>
      <c r="AL631" s="9"/>
    </row>
    <row r="632" spans="1:38" x14ac:dyDescent="0.25">
      <c r="A632" s="6"/>
      <c r="S632">
        <f t="shared" si="19"/>
        <v>0</v>
      </c>
      <c r="AK632">
        <f t="shared" si="20"/>
        <v>0</v>
      </c>
      <c r="AL632" s="9"/>
    </row>
    <row r="633" spans="1:38" x14ac:dyDescent="0.25">
      <c r="A633" s="6"/>
      <c r="S633">
        <f t="shared" si="19"/>
        <v>0</v>
      </c>
      <c r="AK633">
        <f t="shared" si="20"/>
        <v>0</v>
      </c>
      <c r="AL633" s="9"/>
    </row>
    <row r="634" spans="1:38" x14ac:dyDescent="0.25">
      <c r="A634" s="6"/>
      <c r="S634">
        <f t="shared" si="19"/>
        <v>0</v>
      </c>
      <c r="AK634">
        <f t="shared" si="20"/>
        <v>0</v>
      </c>
      <c r="AL634" s="9"/>
    </row>
    <row r="635" spans="1:38" x14ac:dyDescent="0.25">
      <c r="A635" s="6"/>
      <c r="S635">
        <f t="shared" si="19"/>
        <v>0</v>
      </c>
      <c r="AK635">
        <f t="shared" si="20"/>
        <v>0</v>
      </c>
      <c r="AL635" s="9"/>
    </row>
    <row r="636" spans="1:38" x14ac:dyDescent="0.25">
      <c r="A636" s="6"/>
      <c r="S636">
        <f t="shared" si="19"/>
        <v>0</v>
      </c>
      <c r="AK636">
        <f t="shared" si="20"/>
        <v>0</v>
      </c>
      <c r="AL636" s="9"/>
    </row>
    <row r="637" spans="1:38" x14ac:dyDescent="0.25">
      <c r="A637" s="6"/>
      <c r="S637">
        <f t="shared" si="19"/>
        <v>0</v>
      </c>
      <c r="AK637">
        <f t="shared" si="20"/>
        <v>0</v>
      </c>
      <c r="AL637" s="9"/>
    </row>
    <row r="638" spans="1:38" x14ac:dyDescent="0.25">
      <c r="A638" s="6"/>
      <c r="S638">
        <f t="shared" si="19"/>
        <v>0</v>
      </c>
      <c r="AK638">
        <f t="shared" si="20"/>
        <v>0</v>
      </c>
      <c r="AL638" s="9"/>
    </row>
    <row r="639" spans="1:38" x14ac:dyDescent="0.25">
      <c r="A639" s="6"/>
      <c r="S639">
        <f t="shared" si="19"/>
        <v>0</v>
      </c>
      <c r="AK639">
        <f t="shared" si="20"/>
        <v>0</v>
      </c>
      <c r="AL639" s="9"/>
    </row>
    <row r="640" spans="1:38" x14ac:dyDescent="0.25">
      <c r="A640" s="6"/>
      <c r="S640">
        <f t="shared" si="19"/>
        <v>0</v>
      </c>
      <c r="AK640">
        <f t="shared" si="20"/>
        <v>0</v>
      </c>
      <c r="AL640" s="9"/>
    </row>
    <row r="641" spans="1:38" x14ac:dyDescent="0.25">
      <c r="A641" s="6"/>
      <c r="S641">
        <f t="shared" si="19"/>
        <v>0</v>
      </c>
      <c r="AK641">
        <f t="shared" si="20"/>
        <v>0</v>
      </c>
      <c r="AL641" s="9"/>
    </row>
    <row r="642" spans="1:38" x14ac:dyDescent="0.25">
      <c r="A642" s="6"/>
      <c r="S642">
        <f t="shared" si="19"/>
        <v>0</v>
      </c>
      <c r="AK642">
        <f t="shared" si="20"/>
        <v>0</v>
      </c>
      <c r="AL642" s="9"/>
    </row>
    <row r="643" spans="1:38" x14ac:dyDescent="0.25">
      <c r="A643" s="6"/>
      <c r="S643">
        <f t="shared" ref="S643:S710" si="21">A643</f>
        <v>0</v>
      </c>
      <c r="AK643">
        <f t="shared" si="20"/>
        <v>0</v>
      </c>
      <c r="AL643" s="9"/>
    </row>
    <row r="644" spans="1:38" x14ac:dyDescent="0.25">
      <c r="A644" s="6"/>
      <c r="S644">
        <f t="shared" si="21"/>
        <v>0</v>
      </c>
      <c r="AK644">
        <f t="shared" si="20"/>
        <v>0</v>
      </c>
      <c r="AL644" s="9"/>
    </row>
    <row r="645" spans="1:38" x14ac:dyDescent="0.25">
      <c r="A645" s="6"/>
      <c r="S645">
        <f t="shared" si="21"/>
        <v>0</v>
      </c>
      <c r="AK645">
        <f t="shared" si="20"/>
        <v>0</v>
      </c>
      <c r="AL645" s="9"/>
    </row>
    <row r="646" spans="1:38" x14ac:dyDescent="0.25">
      <c r="A646" s="6"/>
      <c r="S646">
        <f t="shared" si="21"/>
        <v>0</v>
      </c>
      <c r="AK646">
        <f t="shared" si="20"/>
        <v>0</v>
      </c>
      <c r="AL646" s="9"/>
    </row>
    <row r="647" spans="1:38" x14ac:dyDescent="0.25">
      <c r="A647" s="6"/>
      <c r="S647">
        <f t="shared" si="21"/>
        <v>0</v>
      </c>
      <c r="AK647">
        <f t="shared" si="20"/>
        <v>0</v>
      </c>
      <c r="AL647" s="9"/>
    </row>
    <row r="648" spans="1:38" x14ac:dyDescent="0.25">
      <c r="A648" s="6"/>
      <c r="S648">
        <f t="shared" si="21"/>
        <v>0</v>
      </c>
      <c r="AK648">
        <f t="shared" si="20"/>
        <v>0</v>
      </c>
      <c r="AL648" s="9"/>
    </row>
    <row r="649" spans="1:38" x14ac:dyDescent="0.25">
      <c r="A649" s="6"/>
      <c r="S649">
        <f t="shared" si="21"/>
        <v>0</v>
      </c>
      <c r="AK649">
        <f t="shared" si="20"/>
        <v>0</v>
      </c>
      <c r="AL649" s="9"/>
    </row>
    <row r="650" spans="1:38" x14ac:dyDescent="0.25">
      <c r="A650" s="6"/>
      <c r="S650">
        <f t="shared" si="21"/>
        <v>0</v>
      </c>
      <c r="AK650">
        <f t="shared" si="20"/>
        <v>0</v>
      </c>
      <c r="AL650" s="9"/>
    </row>
    <row r="651" spans="1:38" x14ac:dyDescent="0.25">
      <c r="A651" s="6"/>
      <c r="S651">
        <f t="shared" si="21"/>
        <v>0</v>
      </c>
      <c r="AK651">
        <f t="shared" si="20"/>
        <v>0</v>
      </c>
      <c r="AL651" s="9"/>
    </row>
    <row r="652" spans="1:38" x14ac:dyDescent="0.25">
      <c r="A652" s="6"/>
      <c r="S652">
        <f t="shared" si="21"/>
        <v>0</v>
      </c>
      <c r="AK652">
        <f t="shared" si="20"/>
        <v>0</v>
      </c>
      <c r="AL652" s="9"/>
    </row>
    <row r="653" spans="1:38" x14ac:dyDescent="0.25">
      <c r="A653" s="6"/>
      <c r="S653">
        <f t="shared" si="21"/>
        <v>0</v>
      </c>
      <c r="AK653">
        <f t="shared" si="20"/>
        <v>0</v>
      </c>
      <c r="AL653" s="9"/>
    </row>
    <row r="654" spans="1:38" x14ac:dyDescent="0.25">
      <c r="A654" s="6"/>
      <c r="S654">
        <f t="shared" si="21"/>
        <v>0</v>
      </c>
      <c r="AK654">
        <f t="shared" si="20"/>
        <v>0</v>
      </c>
      <c r="AL654" s="9"/>
    </row>
    <row r="655" spans="1:38" x14ac:dyDescent="0.25">
      <c r="A655" s="6"/>
      <c r="S655">
        <f t="shared" si="21"/>
        <v>0</v>
      </c>
      <c r="AK655">
        <f t="shared" si="20"/>
        <v>0</v>
      </c>
      <c r="AL655" s="9"/>
    </row>
    <row r="656" spans="1:38" x14ac:dyDescent="0.25">
      <c r="A656" s="6"/>
      <c r="S656">
        <f t="shared" si="21"/>
        <v>0</v>
      </c>
      <c r="AK656">
        <f t="shared" si="20"/>
        <v>0</v>
      </c>
      <c r="AL656" s="9"/>
    </row>
    <row r="657" spans="1:38" x14ac:dyDescent="0.25">
      <c r="A657" s="6"/>
      <c r="S657">
        <f t="shared" si="21"/>
        <v>0</v>
      </c>
      <c r="AK657">
        <f t="shared" si="20"/>
        <v>0</v>
      </c>
      <c r="AL657" s="9"/>
    </row>
    <row r="658" spans="1:38" x14ac:dyDescent="0.25">
      <c r="A658" s="6"/>
      <c r="S658">
        <f t="shared" si="21"/>
        <v>0</v>
      </c>
      <c r="AK658">
        <f t="shared" si="20"/>
        <v>0</v>
      </c>
      <c r="AL658" s="9"/>
    </row>
    <row r="659" spans="1:38" x14ac:dyDescent="0.25">
      <c r="A659" s="6"/>
      <c r="S659">
        <f t="shared" si="21"/>
        <v>0</v>
      </c>
      <c r="AK659">
        <f t="shared" si="20"/>
        <v>0</v>
      </c>
      <c r="AL659" s="9"/>
    </row>
    <row r="660" spans="1:38" x14ac:dyDescent="0.25">
      <c r="A660" s="6"/>
      <c r="S660">
        <f t="shared" si="21"/>
        <v>0</v>
      </c>
      <c r="AK660">
        <f t="shared" si="20"/>
        <v>0</v>
      </c>
      <c r="AL660" s="9"/>
    </row>
    <row r="661" spans="1:38" x14ac:dyDescent="0.25">
      <c r="A661" s="6"/>
      <c r="S661">
        <f t="shared" si="21"/>
        <v>0</v>
      </c>
      <c r="AK661">
        <f t="shared" si="20"/>
        <v>0</v>
      </c>
      <c r="AL661" s="9"/>
    </row>
    <row r="662" spans="1:38" x14ac:dyDescent="0.25">
      <c r="A662" s="6"/>
      <c r="S662">
        <f t="shared" si="21"/>
        <v>0</v>
      </c>
      <c r="AK662">
        <f t="shared" si="20"/>
        <v>0</v>
      </c>
      <c r="AL662" s="9"/>
    </row>
    <row r="663" spans="1:38" x14ac:dyDescent="0.25">
      <c r="A663" s="6"/>
      <c r="S663">
        <f t="shared" si="21"/>
        <v>0</v>
      </c>
      <c r="AK663">
        <f t="shared" si="20"/>
        <v>0</v>
      </c>
      <c r="AL663" s="9"/>
    </row>
    <row r="664" spans="1:38" x14ac:dyDescent="0.25">
      <c r="A664" s="6"/>
      <c r="S664">
        <f t="shared" si="21"/>
        <v>0</v>
      </c>
      <c r="AK664">
        <f t="shared" si="20"/>
        <v>0</v>
      </c>
      <c r="AL664" s="9"/>
    </row>
    <row r="665" spans="1:38" x14ac:dyDescent="0.25">
      <c r="A665" s="6"/>
      <c r="S665">
        <f t="shared" si="21"/>
        <v>0</v>
      </c>
      <c r="AK665">
        <f t="shared" si="20"/>
        <v>0</v>
      </c>
      <c r="AL665" s="9"/>
    </row>
    <row r="666" spans="1:38" x14ac:dyDescent="0.25">
      <c r="A666" s="6"/>
      <c r="S666">
        <f t="shared" si="21"/>
        <v>0</v>
      </c>
      <c r="AK666">
        <f t="shared" si="20"/>
        <v>0</v>
      </c>
      <c r="AL666" s="9"/>
    </row>
    <row r="667" spans="1:38" x14ac:dyDescent="0.25">
      <c r="A667" s="6"/>
      <c r="S667">
        <f t="shared" si="21"/>
        <v>0</v>
      </c>
      <c r="AK667">
        <f t="shared" si="20"/>
        <v>0</v>
      </c>
      <c r="AL667" s="9"/>
    </row>
    <row r="668" spans="1:38" x14ac:dyDescent="0.25">
      <c r="A668" s="6"/>
      <c r="S668">
        <f t="shared" si="21"/>
        <v>0</v>
      </c>
      <c r="AK668">
        <f t="shared" si="20"/>
        <v>0</v>
      </c>
      <c r="AL668" s="9"/>
    </row>
    <row r="669" spans="1:38" x14ac:dyDescent="0.25">
      <c r="A669" s="6"/>
      <c r="S669">
        <f t="shared" si="21"/>
        <v>0</v>
      </c>
      <c r="AK669">
        <f t="shared" si="20"/>
        <v>0</v>
      </c>
      <c r="AL669" s="9"/>
    </row>
    <row r="670" spans="1:38" x14ac:dyDescent="0.25">
      <c r="A670" s="6"/>
      <c r="S670">
        <f t="shared" si="21"/>
        <v>0</v>
      </c>
      <c r="AK670">
        <f t="shared" si="20"/>
        <v>0</v>
      </c>
      <c r="AL670" s="9"/>
    </row>
    <row r="671" spans="1:38" x14ac:dyDescent="0.25">
      <c r="A671" s="6"/>
      <c r="S671">
        <f t="shared" si="21"/>
        <v>0</v>
      </c>
      <c r="AK671">
        <f t="shared" si="20"/>
        <v>0</v>
      </c>
      <c r="AL671" s="9"/>
    </row>
    <row r="672" spans="1:38" x14ac:dyDescent="0.25">
      <c r="A672" s="6"/>
      <c r="S672">
        <f t="shared" si="21"/>
        <v>0</v>
      </c>
      <c r="AK672">
        <f t="shared" si="20"/>
        <v>0</v>
      </c>
      <c r="AL672" s="9"/>
    </row>
    <row r="673" spans="1:38" x14ac:dyDescent="0.25">
      <c r="A673" s="6"/>
      <c r="S673">
        <f t="shared" si="21"/>
        <v>0</v>
      </c>
      <c r="AK673">
        <f t="shared" si="20"/>
        <v>0</v>
      </c>
      <c r="AL673" s="9"/>
    </row>
    <row r="674" spans="1:38" x14ac:dyDescent="0.25">
      <c r="A674" s="6"/>
      <c r="S674">
        <f t="shared" si="21"/>
        <v>0</v>
      </c>
      <c r="AK674">
        <f t="shared" si="20"/>
        <v>0</v>
      </c>
      <c r="AL674" s="9"/>
    </row>
    <row r="675" spans="1:38" x14ac:dyDescent="0.25">
      <c r="A675" s="6"/>
      <c r="S675">
        <f t="shared" si="21"/>
        <v>0</v>
      </c>
      <c r="AK675">
        <f t="shared" ref="AK675:AK710" si="22">S675</f>
        <v>0</v>
      </c>
      <c r="AL675" s="9"/>
    </row>
    <row r="676" spans="1:38" x14ac:dyDescent="0.25">
      <c r="A676" s="6"/>
      <c r="S676">
        <f t="shared" si="21"/>
        <v>0</v>
      </c>
      <c r="AK676">
        <f t="shared" si="22"/>
        <v>0</v>
      </c>
      <c r="AL676" s="9"/>
    </row>
    <row r="677" spans="1:38" x14ac:dyDescent="0.25">
      <c r="A677" s="6"/>
      <c r="S677">
        <f t="shared" si="21"/>
        <v>0</v>
      </c>
      <c r="AK677">
        <f t="shared" si="22"/>
        <v>0</v>
      </c>
      <c r="AL677" s="9"/>
    </row>
    <row r="678" spans="1:38" x14ac:dyDescent="0.25">
      <c r="A678" s="6"/>
      <c r="S678">
        <f t="shared" si="21"/>
        <v>0</v>
      </c>
      <c r="AK678">
        <f t="shared" si="22"/>
        <v>0</v>
      </c>
      <c r="AL678" s="9"/>
    </row>
    <row r="679" spans="1:38" x14ac:dyDescent="0.25">
      <c r="A679" s="6"/>
      <c r="S679">
        <f t="shared" si="21"/>
        <v>0</v>
      </c>
      <c r="AK679">
        <f t="shared" si="22"/>
        <v>0</v>
      </c>
      <c r="AL679" s="9"/>
    </row>
    <row r="680" spans="1:38" x14ac:dyDescent="0.25">
      <c r="A680" s="6"/>
      <c r="S680">
        <f t="shared" si="21"/>
        <v>0</v>
      </c>
      <c r="AK680">
        <f t="shared" si="22"/>
        <v>0</v>
      </c>
      <c r="AL680" s="9"/>
    </row>
    <row r="681" spans="1:38" x14ac:dyDescent="0.25">
      <c r="A681" s="6"/>
      <c r="S681">
        <f t="shared" si="21"/>
        <v>0</v>
      </c>
      <c r="AK681">
        <f t="shared" si="22"/>
        <v>0</v>
      </c>
      <c r="AL681" s="9"/>
    </row>
    <row r="682" spans="1:38" x14ac:dyDescent="0.25">
      <c r="A682" s="6"/>
      <c r="S682">
        <f t="shared" si="21"/>
        <v>0</v>
      </c>
      <c r="AK682">
        <f t="shared" si="22"/>
        <v>0</v>
      </c>
      <c r="AL682" s="9"/>
    </row>
    <row r="683" spans="1:38" x14ac:dyDescent="0.25">
      <c r="A683" s="6"/>
      <c r="S683">
        <f t="shared" si="21"/>
        <v>0</v>
      </c>
      <c r="AK683">
        <f t="shared" si="22"/>
        <v>0</v>
      </c>
      <c r="AL683" s="9"/>
    </row>
    <row r="684" spans="1:38" x14ac:dyDescent="0.25">
      <c r="A684" s="6"/>
      <c r="S684">
        <f t="shared" si="21"/>
        <v>0</v>
      </c>
      <c r="AK684">
        <f t="shared" si="22"/>
        <v>0</v>
      </c>
      <c r="AL684" s="9"/>
    </row>
    <row r="685" spans="1:38" x14ac:dyDescent="0.25">
      <c r="A685" s="6"/>
      <c r="S685">
        <f t="shared" si="21"/>
        <v>0</v>
      </c>
      <c r="AK685">
        <f t="shared" si="22"/>
        <v>0</v>
      </c>
      <c r="AL685" s="9"/>
    </row>
    <row r="686" spans="1:38" x14ac:dyDescent="0.25">
      <c r="A686" s="6"/>
      <c r="S686">
        <f t="shared" si="21"/>
        <v>0</v>
      </c>
      <c r="AK686">
        <f t="shared" si="22"/>
        <v>0</v>
      </c>
      <c r="AL686" s="9"/>
    </row>
    <row r="687" spans="1:38" x14ac:dyDescent="0.25">
      <c r="A687" s="6"/>
      <c r="S687">
        <f t="shared" si="21"/>
        <v>0</v>
      </c>
      <c r="AK687">
        <f t="shared" si="22"/>
        <v>0</v>
      </c>
      <c r="AL687" s="9"/>
    </row>
    <row r="688" spans="1:38" x14ac:dyDescent="0.25">
      <c r="A688" s="6"/>
      <c r="S688">
        <f t="shared" si="21"/>
        <v>0</v>
      </c>
      <c r="AK688">
        <f t="shared" si="22"/>
        <v>0</v>
      </c>
      <c r="AL688" s="9"/>
    </row>
    <row r="689" spans="1:38" x14ac:dyDescent="0.25">
      <c r="A689" s="6"/>
      <c r="S689">
        <f t="shared" si="21"/>
        <v>0</v>
      </c>
      <c r="AK689">
        <f t="shared" si="22"/>
        <v>0</v>
      </c>
      <c r="AL689" s="9"/>
    </row>
    <row r="690" spans="1:38" x14ac:dyDescent="0.25">
      <c r="A690" s="6"/>
      <c r="S690">
        <f t="shared" si="21"/>
        <v>0</v>
      </c>
      <c r="AK690">
        <f t="shared" si="22"/>
        <v>0</v>
      </c>
      <c r="AL690" s="9"/>
    </row>
    <row r="691" spans="1:38" x14ac:dyDescent="0.25">
      <c r="A691" s="6"/>
      <c r="S691">
        <f t="shared" si="21"/>
        <v>0</v>
      </c>
      <c r="AK691">
        <f t="shared" si="22"/>
        <v>0</v>
      </c>
      <c r="AL691" s="9"/>
    </row>
    <row r="692" spans="1:38" x14ac:dyDescent="0.25">
      <c r="A692" s="6"/>
      <c r="S692">
        <f t="shared" si="21"/>
        <v>0</v>
      </c>
      <c r="AK692">
        <f t="shared" si="22"/>
        <v>0</v>
      </c>
      <c r="AL692" s="9"/>
    </row>
    <row r="693" spans="1:38" x14ac:dyDescent="0.25">
      <c r="A693" s="6"/>
      <c r="S693">
        <f t="shared" si="21"/>
        <v>0</v>
      </c>
      <c r="AK693">
        <f t="shared" si="22"/>
        <v>0</v>
      </c>
      <c r="AL693" s="9"/>
    </row>
    <row r="694" spans="1:38" x14ac:dyDescent="0.25">
      <c r="A694" s="6"/>
      <c r="S694">
        <f t="shared" si="21"/>
        <v>0</v>
      </c>
      <c r="AK694">
        <f t="shared" si="22"/>
        <v>0</v>
      </c>
      <c r="AL694" s="9"/>
    </row>
    <row r="695" spans="1:38" x14ac:dyDescent="0.25">
      <c r="A695" s="6"/>
      <c r="S695">
        <f t="shared" si="21"/>
        <v>0</v>
      </c>
      <c r="AK695">
        <f t="shared" si="22"/>
        <v>0</v>
      </c>
      <c r="AL695" s="9"/>
    </row>
    <row r="696" spans="1:38" x14ac:dyDescent="0.25">
      <c r="A696" s="6"/>
      <c r="S696">
        <f t="shared" si="21"/>
        <v>0</v>
      </c>
      <c r="AK696">
        <f t="shared" si="22"/>
        <v>0</v>
      </c>
      <c r="AL696" s="9"/>
    </row>
    <row r="697" spans="1:38" x14ac:dyDescent="0.25">
      <c r="A697" s="6"/>
      <c r="S697">
        <f t="shared" si="21"/>
        <v>0</v>
      </c>
      <c r="AK697">
        <f t="shared" si="22"/>
        <v>0</v>
      </c>
      <c r="AL697" s="9"/>
    </row>
    <row r="698" spans="1:38" x14ac:dyDescent="0.25">
      <c r="A698" s="6"/>
      <c r="S698">
        <f t="shared" si="21"/>
        <v>0</v>
      </c>
      <c r="AK698">
        <f t="shared" si="22"/>
        <v>0</v>
      </c>
      <c r="AL698" s="9"/>
    </row>
    <row r="699" spans="1:38" x14ac:dyDescent="0.25">
      <c r="A699" s="6"/>
      <c r="S699">
        <f t="shared" si="21"/>
        <v>0</v>
      </c>
      <c r="AK699">
        <f t="shared" si="22"/>
        <v>0</v>
      </c>
      <c r="AL699" s="9"/>
    </row>
    <row r="700" spans="1:38" x14ac:dyDescent="0.25">
      <c r="A700" s="6"/>
      <c r="S700">
        <f t="shared" si="21"/>
        <v>0</v>
      </c>
      <c r="AK700">
        <f t="shared" si="22"/>
        <v>0</v>
      </c>
      <c r="AL700" s="9"/>
    </row>
    <row r="701" spans="1:38" x14ac:dyDescent="0.25">
      <c r="A701" s="6"/>
      <c r="S701">
        <f t="shared" si="21"/>
        <v>0</v>
      </c>
      <c r="AK701">
        <f t="shared" si="22"/>
        <v>0</v>
      </c>
      <c r="AL701" s="9"/>
    </row>
    <row r="702" spans="1:38" x14ac:dyDescent="0.25">
      <c r="A702" s="6"/>
      <c r="S702">
        <f t="shared" si="21"/>
        <v>0</v>
      </c>
      <c r="AK702">
        <f t="shared" si="22"/>
        <v>0</v>
      </c>
      <c r="AL702" s="9"/>
    </row>
    <row r="703" spans="1:38" x14ac:dyDescent="0.25">
      <c r="A703" s="6"/>
      <c r="S703">
        <f t="shared" si="21"/>
        <v>0</v>
      </c>
      <c r="AK703">
        <f t="shared" si="22"/>
        <v>0</v>
      </c>
      <c r="AL703" s="9"/>
    </row>
    <row r="704" spans="1:38" x14ac:dyDescent="0.25">
      <c r="A704" s="6"/>
      <c r="S704">
        <f t="shared" si="21"/>
        <v>0</v>
      </c>
      <c r="AK704">
        <f t="shared" si="22"/>
        <v>0</v>
      </c>
      <c r="AL704" s="9"/>
    </row>
    <row r="705" spans="1:38" x14ac:dyDescent="0.25">
      <c r="A705" s="6"/>
      <c r="S705">
        <f t="shared" si="21"/>
        <v>0</v>
      </c>
      <c r="AK705">
        <f t="shared" si="22"/>
        <v>0</v>
      </c>
      <c r="AL705" s="9"/>
    </row>
    <row r="706" spans="1:38" x14ac:dyDescent="0.25">
      <c r="A706" s="6"/>
      <c r="S706">
        <f t="shared" si="21"/>
        <v>0</v>
      </c>
      <c r="AK706">
        <f t="shared" si="22"/>
        <v>0</v>
      </c>
      <c r="AL706" s="9"/>
    </row>
    <row r="707" spans="1:38" x14ac:dyDescent="0.25">
      <c r="A707" s="6"/>
      <c r="S707">
        <f t="shared" si="21"/>
        <v>0</v>
      </c>
      <c r="AK707">
        <f t="shared" si="22"/>
        <v>0</v>
      </c>
      <c r="AL707" s="9"/>
    </row>
    <row r="708" spans="1:38" x14ac:dyDescent="0.25">
      <c r="A708" s="6"/>
      <c r="S708">
        <f t="shared" si="21"/>
        <v>0</v>
      </c>
      <c r="AK708">
        <f t="shared" si="22"/>
        <v>0</v>
      </c>
      <c r="AL708" s="9"/>
    </row>
    <row r="709" spans="1:38" x14ac:dyDescent="0.25">
      <c r="A709" s="6"/>
      <c r="S709">
        <f t="shared" si="21"/>
        <v>0</v>
      </c>
      <c r="AK709">
        <f t="shared" si="22"/>
        <v>0</v>
      </c>
      <c r="AL709" s="9"/>
    </row>
    <row r="710" spans="1:38" ht="15.75" thickBot="1" x14ac:dyDescent="0.3">
      <c r="A710" s="6"/>
      <c r="S710">
        <f t="shared" si="21"/>
        <v>0</v>
      </c>
      <c r="AK710">
        <f t="shared" si="22"/>
        <v>0</v>
      </c>
      <c r="AL710" s="10"/>
    </row>
    <row r="711" spans="1:38" ht="15.75" thickTop="1" x14ac:dyDescent="0.25">
      <c r="A711" s="6"/>
    </row>
    <row r="712" spans="1:38" x14ac:dyDescent="0.25">
      <c r="A712" s="6"/>
    </row>
    <row r="713" spans="1:38" x14ac:dyDescent="0.25">
      <c r="A713" s="6"/>
    </row>
    <row r="714" spans="1:38" x14ac:dyDescent="0.25">
      <c r="A714" s="6"/>
    </row>
    <row r="715" spans="1:38" x14ac:dyDescent="0.25">
      <c r="A715" s="6"/>
    </row>
    <row r="716" spans="1:38" x14ac:dyDescent="0.25">
      <c r="A716" s="6"/>
    </row>
    <row r="717" spans="1:38" x14ac:dyDescent="0.25">
      <c r="A717" s="6"/>
    </row>
    <row r="718" spans="1:38" x14ac:dyDescent="0.25">
      <c r="A718" s="6"/>
    </row>
    <row r="719" spans="1:38" x14ac:dyDescent="0.25">
      <c r="A719" s="6"/>
    </row>
    <row r="720" spans="1:38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9BED-46AF-49F1-9881-B3D0E9E34A28}">
  <dimension ref="A1:AL732"/>
  <sheetViews>
    <sheetView workbookViewId="0">
      <selection activeCell="D31" sqref="D31"/>
    </sheetView>
  </sheetViews>
  <sheetFormatPr defaultColWidth="8.85546875" defaultRowHeight="15" x14ac:dyDescent="0.25"/>
  <cols>
    <col min="1" max="1" width="10.7109375" bestFit="1" customWidth="1"/>
    <col min="2" max="2" width="22.42578125" bestFit="1" customWidth="1"/>
    <col min="3" max="3" width="17" bestFit="1" customWidth="1"/>
    <col min="4" max="7" width="12" bestFit="1" customWidth="1"/>
    <col min="8" max="8" width="12.140625" customWidth="1"/>
    <col min="9" max="10" width="12" bestFit="1" customWidth="1"/>
  </cols>
  <sheetData>
    <row r="1" spans="1:38" ht="21.75" thickBot="1" x14ac:dyDescent="0.4">
      <c r="A1" s="2" t="s">
        <v>12</v>
      </c>
      <c r="S1" s="2" t="s">
        <v>4</v>
      </c>
      <c r="AK1" s="2" t="s">
        <v>5</v>
      </c>
    </row>
    <row r="2" spans="1:38" ht="15.75" thickBot="1" x14ac:dyDescent="0.3">
      <c r="A2" s="1" t="s">
        <v>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S2" t="str">
        <f t="shared" ref="S2:S65" si="0">A2</f>
        <v>Date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28</v>
      </c>
      <c r="AK2" s="1" t="str">
        <f t="shared" ref="AK2:AK65" si="1">S2</f>
        <v>Date</v>
      </c>
      <c r="AL2" s="11" t="s">
        <v>3</v>
      </c>
    </row>
    <row r="3" spans="1:38" ht="15.75" thickTop="1" x14ac:dyDescent="0.25">
      <c r="A3" s="3">
        <f>ReturnData!A14</f>
        <v>197501</v>
      </c>
      <c r="B3">
        <v>0.125</v>
      </c>
      <c r="C3">
        <v>0</v>
      </c>
      <c r="D3">
        <v>0.125</v>
      </c>
      <c r="E3">
        <v>0.125</v>
      </c>
      <c r="F3">
        <v>0.125</v>
      </c>
      <c r="G3">
        <v>0</v>
      </c>
      <c r="H3">
        <v>0</v>
      </c>
      <c r="I3">
        <v>0</v>
      </c>
      <c r="J3">
        <v>0</v>
      </c>
      <c r="K3">
        <v>0.125</v>
      </c>
      <c r="L3">
        <v>0.125</v>
      </c>
      <c r="M3">
        <v>0</v>
      </c>
      <c r="N3">
        <v>0</v>
      </c>
      <c r="O3">
        <v>0</v>
      </c>
      <c r="P3">
        <v>0.125</v>
      </c>
      <c r="Q3">
        <v>0.125</v>
      </c>
      <c r="S3">
        <f t="shared" si="0"/>
        <v>197501</v>
      </c>
      <c r="T3" s="16">
        <f>B3*ReturnData!B14</f>
        <v>2.5125000000000001E-2</v>
      </c>
      <c r="U3" s="16">
        <f>C3*ReturnData!C14</f>
        <v>0</v>
      </c>
      <c r="V3" s="16">
        <f>D3*ReturnData!D14</f>
        <v>6.0999999999999995E-3</v>
      </c>
      <c r="W3" s="16">
        <f>E3*ReturnData!E14</f>
        <v>3.2724999999999997E-2</v>
      </c>
      <c r="X3" s="16">
        <f>F3*ReturnData!F14</f>
        <v>2.5325E-2</v>
      </c>
      <c r="Y3" s="16">
        <f>G3*ReturnData!G14</f>
        <v>0</v>
      </c>
      <c r="Z3" s="16">
        <f>H3*ReturnData!H14</f>
        <v>0</v>
      </c>
      <c r="AA3" s="16">
        <f>I3*ReturnData!I14</f>
        <v>0</v>
      </c>
      <c r="AB3" s="16">
        <f>J3*ReturnData!J14</f>
        <v>0</v>
      </c>
      <c r="AC3" s="16">
        <f>K3*ReturnData!K14</f>
        <v>1.9612499999999998E-2</v>
      </c>
      <c r="AD3" s="16">
        <f>L3*ReturnData!L14</f>
        <v>1.6737500000000002E-2</v>
      </c>
      <c r="AE3" s="16">
        <f>M3*ReturnData!M14</f>
        <v>0</v>
      </c>
      <c r="AF3" s="16">
        <f>N3*ReturnData!N14</f>
        <v>0</v>
      </c>
      <c r="AG3" s="16">
        <f>O3*ReturnData!O14</f>
        <v>0</v>
      </c>
      <c r="AH3" s="16">
        <f>P3*ReturnData!P14</f>
        <v>3.3575000000000001E-2</v>
      </c>
      <c r="AI3" s="16">
        <f>Q3*ReturnData!Q14</f>
        <v>2.1587499999999999E-2</v>
      </c>
      <c r="AK3">
        <f t="shared" si="1"/>
        <v>197501</v>
      </c>
      <c r="AL3" s="18">
        <v>0.18078749999999999</v>
      </c>
    </row>
    <row r="4" spans="1:38" x14ac:dyDescent="0.25">
      <c r="A4" s="6">
        <f>ReturnData!A15</f>
        <v>197502</v>
      </c>
      <c r="S4">
        <f t="shared" si="0"/>
        <v>197502</v>
      </c>
      <c r="AK4">
        <f t="shared" si="1"/>
        <v>197502</v>
      </c>
      <c r="AL4" s="12"/>
    </row>
    <row r="5" spans="1:38" x14ac:dyDescent="0.25">
      <c r="A5" s="6">
        <f>ReturnData!A16</f>
        <v>197503</v>
      </c>
      <c r="S5">
        <f t="shared" si="0"/>
        <v>197503</v>
      </c>
      <c r="AK5">
        <f t="shared" si="1"/>
        <v>197503</v>
      </c>
      <c r="AL5" s="12"/>
    </row>
    <row r="6" spans="1:38" x14ac:dyDescent="0.25">
      <c r="A6" s="6">
        <f>ReturnData!A17</f>
        <v>197504</v>
      </c>
      <c r="S6">
        <f t="shared" si="0"/>
        <v>197504</v>
      </c>
      <c r="AK6">
        <f t="shared" si="1"/>
        <v>197504</v>
      </c>
      <c r="AL6" s="12"/>
    </row>
    <row r="7" spans="1:38" x14ac:dyDescent="0.25">
      <c r="A7" s="6">
        <f>ReturnData!A18</f>
        <v>197505</v>
      </c>
      <c r="S7">
        <f t="shared" si="0"/>
        <v>197505</v>
      </c>
      <c r="AK7">
        <f t="shared" si="1"/>
        <v>197505</v>
      </c>
      <c r="AL7" s="12"/>
    </row>
    <row r="8" spans="1:38" x14ac:dyDescent="0.25">
      <c r="A8" s="6">
        <f>ReturnData!A19</f>
        <v>197506</v>
      </c>
      <c r="S8">
        <f t="shared" si="0"/>
        <v>197506</v>
      </c>
      <c r="AK8">
        <f t="shared" si="1"/>
        <v>197506</v>
      </c>
      <c r="AL8" s="12"/>
    </row>
    <row r="9" spans="1:38" x14ac:dyDescent="0.25">
      <c r="A9" s="6">
        <f>ReturnData!A20</f>
        <v>197507</v>
      </c>
      <c r="S9">
        <f t="shared" si="0"/>
        <v>197507</v>
      </c>
      <c r="AK9">
        <f t="shared" si="1"/>
        <v>197507</v>
      </c>
      <c r="AL9" s="12"/>
    </row>
    <row r="10" spans="1:38" x14ac:dyDescent="0.25">
      <c r="A10" s="6">
        <f>ReturnData!A21</f>
        <v>197508</v>
      </c>
      <c r="S10">
        <f t="shared" si="0"/>
        <v>197508</v>
      </c>
      <c r="AK10">
        <f t="shared" si="1"/>
        <v>197508</v>
      </c>
      <c r="AL10" s="12"/>
    </row>
    <row r="11" spans="1:38" x14ac:dyDescent="0.25">
      <c r="A11" s="6">
        <f>ReturnData!A22</f>
        <v>197509</v>
      </c>
      <c r="S11">
        <f t="shared" si="0"/>
        <v>197509</v>
      </c>
      <c r="AK11">
        <f t="shared" si="1"/>
        <v>197509</v>
      </c>
      <c r="AL11" s="12"/>
    </row>
    <row r="12" spans="1:38" x14ac:dyDescent="0.25">
      <c r="A12" s="6">
        <f>ReturnData!A23</f>
        <v>197510</v>
      </c>
      <c r="S12">
        <f t="shared" si="0"/>
        <v>197510</v>
      </c>
      <c r="AK12">
        <f t="shared" si="1"/>
        <v>197510</v>
      </c>
      <c r="AL12" s="12"/>
    </row>
    <row r="13" spans="1:38" x14ac:dyDescent="0.25">
      <c r="A13" s="6">
        <f>ReturnData!A24</f>
        <v>197511</v>
      </c>
      <c r="S13">
        <f t="shared" si="0"/>
        <v>197511</v>
      </c>
      <c r="AK13">
        <f t="shared" si="1"/>
        <v>197511</v>
      </c>
      <c r="AL13" s="12"/>
    </row>
    <row r="14" spans="1:38" x14ac:dyDescent="0.25">
      <c r="A14" s="6">
        <f>ReturnData!A25</f>
        <v>197512</v>
      </c>
      <c r="S14">
        <f t="shared" si="0"/>
        <v>197512</v>
      </c>
      <c r="AK14">
        <f t="shared" si="1"/>
        <v>197512</v>
      </c>
      <c r="AL14" s="12"/>
    </row>
    <row r="15" spans="1:38" x14ac:dyDescent="0.25">
      <c r="A15" s="6">
        <f>ReturnData!A26</f>
        <v>197601</v>
      </c>
      <c r="S15">
        <f t="shared" si="0"/>
        <v>197601</v>
      </c>
      <c r="AK15">
        <f t="shared" si="1"/>
        <v>197601</v>
      </c>
      <c r="AL15" s="12"/>
    </row>
    <row r="16" spans="1:38" x14ac:dyDescent="0.25">
      <c r="A16" s="6">
        <f>ReturnData!A27</f>
        <v>197602</v>
      </c>
      <c r="S16">
        <f t="shared" si="0"/>
        <v>197602</v>
      </c>
      <c r="AK16">
        <f t="shared" si="1"/>
        <v>197602</v>
      </c>
      <c r="AL16" s="12"/>
    </row>
    <row r="17" spans="1:38" x14ac:dyDescent="0.25">
      <c r="A17" s="6">
        <f>ReturnData!A28</f>
        <v>197603</v>
      </c>
      <c r="S17">
        <f t="shared" si="0"/>
        <v>197603</v>
      </c>
      <c r="AK17">
        <f t="shared" si="1"/>
        <v>197603</v>
      </c>
      <c r="AL17" s="12"/>
    </row>
    <row r="18" spans="1:38" x14ac:dyDescent="0.25">
      <c r="A18" s="6">
        <f>ReturnData!A29</f>
        <v>197604</v>
      </c>
      <c r="S18">
        <f t="shared" si="0"/>
        <v>197604</v>
      </c>
      <c r="AK18">
        <f t="shared" si="1"/>
        <v>197604</v>
      </c>
      <c r="AL18" s="12"/>
    </row>
    <row r="19" spans="1:38" x14ac:dyDescent="0.25">
      <c r="A19" s="6">
        <f>ReturnData!A30</f>
        <v>197605</v>
      </c>
      <c r="S19">
        <f t="shared" si="0"/>
        <v>197605</v>
      </c>
      <c r="AK19">
        <f t="shared" si="1"/>
        <v>197605</v>
      </c>
      <c r="AL19" s="12"/>
    </row>
    <row r="20" spans="1:38" x14ac:dyDescent="0.25">
      <c r="A20" s="6">
        <f>ReturnData!A31</f>
        <v>197606</v>
      </c>
      <c r="S20">
        <f t="shared" si="0"/>
        <v>197606</v>
      </c>
      <c r="AK20">
        <f t="shared" si="1"/>
        <v>197606</v>
      </c>
      <c r="AL20" s="12"/>
    </row>
    <row r="21" spans="1:38" x14ac:dyDescent="0.25">
      <c r="A21" s="6">
        <f>ReturnData!A32</f>
        <v>197607</v>
      </c>
      <c r="S21">
        <f t="shared" si="0"/>
        <v>197607</v>
      </c>
      <c r="AK21">
        <f t="shared" si="1"/>
        <v>197607</v>
      </c>
      <c r="AL21" s="12"/>
    </row>
    <row r="22" spans="1:38" x14ac:dyDescent="0.25">
      <c r="A22" s="6">
        <f>ReturnData!A33</f>
        <v>197608</v>
      </c>
      <c r="S22">
        <f t="shared" si="0"/>
        <v>197608</v>
      </c>
      <c r="AK22">
        <f t="shared" si="1"/>
        <v>197608</v>
      </c>
      <c r="AL22" s="12"/>
    </row>
    <row r="23" spans="1:38" x14ac:dyDescent="0.25">
      <c r="A23" s="6">
        <f>ReturnData!A34</f>
        <v>197609</v>
      </c>
      <c r="S23">
        <f t="shared" si="0"/>
        <v>197609</v>
      </c>
      <c r="AK23">
        <f t="shared" si="1"/>
        <v>197609</v>
      </c>
      <c r="AL23" s="12"/>
    </row>
    <row r="24" spans="1:38" x14ac:dyDescent="0.25">
      <c r="A24" s="6">
        <f>ReturnData!A35</f>
        <v>197610</v>
      </c>
      <c r="S24">
        <f t="shared" si="0"/>
        <v>197610</v>
      </c>
      <c r="AK24">
        <f t="shared" si="1"/>
        <v>197610</v>
      </c>
      <c r="AL24" s="12"/>
    </row>
    <row r="25" spans="1:38" x14ac:dyDescent="0.25">
      <c r="A25" s="6">
        <f>ReturnData!A36</f>
        <v>197611</v>
      </c>
      <c r="S25">
        <f t="shared" si="0"/>
        <v>197611</v>
      </c>
      <c r="AK25">
        <f t="shared" si="1"/>
        <v>197611</v>
      </c>
      <c r="AL25" s="12"/>
    </row>
    <row r="26" spans="1:38" x14ac:dyDescent="0.25">
      <c r="A26" s="6">
        <f>ReturnData!A37</f>
        <v>197612</v>
      </c>
      <c r="S26">
        <f t="shared" si="0"/>
        <v>197612</v>
      </c>
      <c r="AK26">
        <f t="shared" si="1"/>
        <v>197612</v>
      </c>
      <c r="AL26" s="12"/>
    </row>
    <row r="27" spans="1:38" x14ac:dyDescent="0.25">
      <c r="A27" s="6">
        <f>ReturnData!A38</f>
        <v>197701</v>
      </c>
      <c r="S27">
        <f t="shared" si="0"/>
        <v>197701</v>
      </c>
      <c r="AK27">
        <f t="shared" si="1"/>
        <v>197701</v>
      </c>
      <c r="AL27" s="12"/>
    </row>
    <row r="28" spans="1:38" x14ac:dyDescent="0.25">
      <c r="A28" s="6">
        <f>ReturnData!A39</f>
        <v>197702</v>
      </c>
      <c r="S28">
        <f t="shared" si="0"/>
        <v>197702</v>
      </c>
      <c r="AK28">
        <f t="shared" si="1"/>
        <v>197702</v>
      </c>
      <c r="AL28" s="12"/>
    </row>
    <row r="29" spans="1:38" x14ac:dyDescent="0.25">
      <c r="A29" s="6">
        <f>ReturnData!A40</f>
        <v>197703</v>
      </c>
      <c r="S29">
        <f t="shared" si="0"/>
        <v>197703</v>
      </c>
      <c r="AK29">
        <f t="shared" si="1"/>
        <v>197703</v>
      </c>
      <c r="AL29" s="12"/>
    </row>
    <row r="30" spans="1:38" x14ac:dyDescent="0.25">
      <c r="A30" s="6">
        <f>ReturnData!A41</f>
        <v>197704</v>
      </c>
      <c r="S30">
        <f t="shared" si="0"/>
        <v>197704</v>
      </c>
      <c r="AK30">
        <f t="shared" si="1"/>
        <v>197704</v>
      </c>
      <c r="AL30" s="12"/>
    </row>
    <row r="31" spans="1:38" x14ac:dyDescent="0.25">
      <c r="A31" s="6">
        <f>ReturnData!A42</f>
        <v>197705</v>
      </c>
      <c r="S31">
        <f t="shared" si="0"/>
        <v>197705</v>
      </c>
      <c r="AK31">
        <f t="shared" si="1"/>
        <v>197705</v>
      </c>
      <c r="AL31" s="12"/>
    </row>
    <row r="32" spans="1:38" x14ac:dyDescent="0.25">
      <c r="A32" s="6">
        <f>ReturnData!A43</f>
        <v>197706</v>
      </c>
      <c r="S32">
        <f t="shared" si="0"/>
        <v>197706</v>
      </c>
      <c r="AK32">
        <f t="shared" si="1"/>
        <v>197706</v>
      </c>
      <c r="AL32" s="12"/>
    </row>
    <row r="33" spans="1:38" x14ac:dyDescent="0.25">
      <c r="A33" s="6">
        <f>ReturnData!A44</f>
        <v>197707</v>
      </c>
      <c r="S33">
        <f t="shared" si="0"/>
        <v>197707</v>
      </c>
      <c r="AK33">
        <f t="shared" si="1"/>
        <v>197707</v>
      </c>
      <c r="AL33" s="12"/>
    </row>
    <row r="34" spans="1:38" x14ac:dyDescent="0.25">
      <c r="A34" s="6">
        <f>ReturnData!A45</f>
        <v>197708</v>
      </c>
      <c r="S34">
        <f t="shared" si="0"/>
        <v>197708</v>
      </c>
      <c r="AK34">
        <f t="shared" si="1"/>
        <v>197708</v>
      </c>
      <c r="AL34" s="12"/>
    </row>
    <row r="35" spans="1:38" x14ac:dyDescent="0.25">
      <c r="A35" s="6">
        <f>ReturnData!A46</f>
        <v>197709</v>
      </c>
      <c r="S35">
        <f t="shared" si="0"/>
        <v>197709</v>
      </c>
      <c r="AK35">
        <f t="shared" si="1"/>
        <v>197709</v>
      </c>
      <c r="AL35" s="12"/>
    </row>
    <row r="36" spans="1:38" x14ac:dyDescent="0.25">
      <c r="A36" s="6">
        <f>ReturnData!A47</f>
        <v>197710</v>
      </c>
      <c r="S36">
        <f t="shared" si="0"/>
        <v>197710</v>
      </c>
      <c r="AK36">
        <f t="shared" si="1"/>
        <v>197710</v>
      </c>
      <c r="AL36" s="12"/>
    </row>
    <row r="37" spans="1:38" x14ac:dyDescent="0.25">
      <c r="A37" s="6">
        <f>ReturnData!A48</f>
        <v>197711</v>
      </c>
      <c r="S37">
        <f t="shared" si="0"/>
        <v>197711</v>
      </c>
      <c r="AK37">
        <f t="shared" si="1"/>
        <v>197711</v>
      </c>
      <c r="AL37" s="12"/>
    </row>
    <row r="38" spans="1:38" x14ac:dyDescent="0.25">
      <c r="A38" s="6">
        <f>ReturnData!A49</f>
        <v>197712</v>
      </c>
      <c r="S38">
        <f t="shared" si="0"/>
        <v>197712</v>
      </c>
      <c r="AK38">
        <f t="shared" si="1"/>
        <v>197712</v>
      </c>
      <c r="AL38" s="12"/>
    </row>
    <row r="39" spans="1:38" x14ac:dyDescent="0.25">
      <c r="A39" s="6">
        <f>ReturnData!A50</f>
        <v>197801</v>
      </c>
      <c r="S39">
        <f t="shared" si="0"/>
        <v>197801</v>
      </c>
      <c r="AK39">
        <f t="shared" si="1"/>
        <v>197801</v>
      </c>
      <c r="AL39" s="12"/>
    </row>
    <row r="40" spans="1:38" x14ac:dyDescent="0.25">
      <c r="A40" s="6">
        <f>ReturnData!A51</f>
        <v>197802</v>
      </c>
      <c r="S40">
        <f t="shared" si="0"/>
        <v>197802</v>
      </c>
      <c r="AK40">
        <f t="shared" si="1"/>
        <v>197802</v>
      </c>
      <c r="AL40" s="12"/>
    </row>
    <row r="41" spans="1:38" x14ac:dyDescent="0.25">
      <c r="A41" s="6">
        <f>ReturnData!A52</f>
        <v>197803</v>
      </c>
      <c r="S41">
        <f t="shared" si="0"/>
        <v>197803</v>
      </c>
      <c r="AK41">
        <f t="shared" si="1"/>
        <v>197803</v>
      </c>
      <c r="AL41" s="12"/>
    </row>
    <row r="42" spans="1:38" x14ac:dyDescent="0.25">
      <c r="A42" s="6">
        <f>ReturnData!A53</f>
        <v>197804</v>
      </c>
      <c r="S42">
        <f t="shared" si="0"/>
        <v>197804</v>
      </c>
      <c r="AK42">
        <f t="shared" si="1"/>
        <v>197804</v>
      </c>
      <c r="AL42" s="12"/>
    </row>
    <row r="43" spans="1:38" x14ac:dyDescent="0.25">
      <c r="A43" s="6">
        <f>ReturnData!A54</f>
        <v>197805</v>
      </c>
      <c r="S43">
        <f t="shared" si="0"/>
        <v>197805</v>
      </c>
      <c r="AK43">
        <f t="shared" si="1"/>
        <v>197805</v>
      </c>
      <c r="AL43" s="12"/>
    </row>
    <row r="44" spans="1:38" x14ac:dyDescent="0.25">
      <c r="A44" s="6">
        <f>ReturnData!A55</f>
        <v>197806</v>
      </c>
      <c r="S44">
        <f t="shared" si="0"/>
        <v>197806</v>
      </c>
      <c r="AK44">
        <f t="shared" si="1"/>
        <v>197806</v>
      </c>
      <c r="AL44" s="12"/>
    </row>
    <row r="45" spans="1:38" x14ac:dyDescent="0.25">
      <c r="A45" s="6">
        <f>ReturnData!A56</f>
        <v>197807</v>
      </c>
      <c r="S45">
        <f t="shared" si="0"/>
        <v>197807</v>
      </c>
      <c r="AK45">
        <f t="shared" si="1"/>
        <v>197807</v>
      </c>
      <c r="AL45" s="12"/>
    </row>
    <row r="46" spans="1:38" x14ac:dyDescent="0.25">
      <c r="A46" s="6">
        <f>ReturnData!A57</f>
        <v>197808</v>
      </c>
      <c r="S46">
        <f t="shared" si="0"/>
        <v>197808</v>
      </c>
      <c r="AK46">
        <f t="shared" si="1"/>
        <v>197808</v>
      </c>
      <c r="AL46" s="12"/>
    </row>
    <row r="47" spans="1:38" x14ac:dyDescent="0.25">
      <c r="A47" s="6">
        <f>ReturnData!A58</f>
        <v>197809</v>
      </c>
      <c r="S47">
        <f t="shared" si="0"/>
        <v>197809</v>
      </c>
      <c r="AK47">
        <f t="shared" si="1"/>
        <v>197809</v>
      </c>
      <c r="AL47" s="12"/>
    </row>
    <row r="48" spans="1:38" x14ac:dyDescent="0.25">
      <c r="A48" s="6">
        <f>ReturnData!A59</f>
        <v>197810</v>
      </c>
      <c r="S48">
        <f t="shared" si="0"/>
        <v>197810</v>
      </c>
      <c r="AK48">
        <f t="shared" si="1"/>
        <v>197810</v>
      </c>
      <c r="AL48" s="12"/>
    </row>
    <row r="49" spans="1:38" x14ac:dyDescent="0.25">
      <c r="A49" s="6">
        <f>ReturnData!A60</f>
        <v>197811</v>
      </c>
      <c r="S49">
        <f t="shared" si="0"/>
        <v>197811</v>
      </c>
      <c r="AK49">
        <f t="shared" si="1"/>
        <v>197811</v>
      </c>
      <c r="AL49" s="12"/>
    </row>
    <row r="50" spans="1:38" x14ac:dyDescent="0.25">
      <c r="A50" s="6">
        <f>ReturnData!A61</f>
        <v>197812</v>
      </c>
      <c r="S50">
        <f t="shared" si="0"/>
        <v>197812</v>
      </c>
      <c r="AK50">
        <f t="shared" si="1"/>
        <v>197812</v>
      </c>
      <c r="AL50" s="12"/>
    </row>
    <row r="51" spans="1:38" x14ac:dyDescent="0.25">
      <c r="A51" s="6">
        <f>ReturnData!A62</f>
        <v>197901</v>
      </c>
      <c r="S51">
        <f t="shared" si="0"/>
        <v>197901</v>
      </c>
      <c r="AK51">
        <f t="shared" si="1"/>
        <v>197901</v>
      </c>
      <c r="AL51" s="12"/>
    </row>
    <row r="52" spans="1:38" x14ac:dyDescent="0.25">
      <c r="A52" s="6">
        <f>ReturnData!A63</f>
        <v>197902</v>
      </c>
      <c r="S52">
        <f t="shared" si="0"/>
        <v>197902</v>
      </c>
      <c r="AK52">
        <f t="shared" si="1"/>
        <v>197902</v>
      </c>
      <c r="AL52" s="12"/>
    </row>
    <row r="53" spans="1:38" x14ac:dyDescent="0.25">
      <c r="A53" s="6">
        <f>ReturnData!A64</f>
        <v>197903</v>
      </c>
      <c r="S53">
        <f t="shared" si="0"/>
        <v>197903</v>
      </c>
      <c r="AK53">
        <f t="shared" si="1"/>
        <v>197903</v>
      </c>
      <c r="AL53" s="12"/>
    </row>
    <row r="54" spans="1:38" x14ac:dyDescent="0.25">
      <c r="A54" s="6">
        <f>ReturnData!A65</f>
        <v>197904</v>
      </c>
      <c r="S54">
        <f t="shared" si="0"/>
        <v>197904</v>
      </c>
      <c r="AK54">
        <f t="shared" si="1"/>
        <v>197904</v>
      </c>
      <c r="AL54" s="12"/>
    </row>
    <row r="55" spans="1:38" x14ac:dyDescent="0.25">
      <c r="A55" s="6">
        <f>ReturnData!A66</f>
        <v>197905</v>
      </c>
      <c r="S55">
        <f t="shared" si="0"/>
        <v>197905</v>
      </c>
      <c r="AK55">
        <f t="shared" si="1"/>
        <v>197905</v>
      </c>
      <c r="AL55" s="12"/>
    </row>
    <row r="56" spans="1:38" x14ac:dyDescent="0.25">
      <c r="A56" s="6">
        <f>ReturnData!A67</f>
        <v>197906</v>
      </c>
      <c r="S56">
        <f t="shared" si="0"/>
        <v>197906</v>
      </c>
      <c r="AK56">
        <f t="shared" si="1"/>
        <v>197906</v>
      </c>
      <c r="AL56" s="12"/>
    </row>
    <row r="57" spans="1:38" x14ac:dyDescent="0.25">
      <c r="A57" s="6">
        <f>ReturnData!A68</f>
        <v>197907</v>
      </c>
      <c r="S57">
        <f t="shared" si="0"/>
        <v>197907</v>
      </c>
      <c r="AK57">
        <f t="shared" si="1"/>
        <v>197907</v>
      </c>
      <c r="AL57" s="12"/>
    </row>
    <row r="58" spans="1:38" x14ac:dyDescent="0.25">
      <c r="A58" s="6">
        <f>ReturnData!A69</f>
        <v>197908</v>
      </c>
      <c r="S58">
        <f t="shared" si="0"/>
        <v>197908</v>
      </c>
      <c r="AK58">
        <f t="shared" si="1"/>
        <v>197908</v>
      </c>
      <c r="AL58" s="12"/>
    </row>
    <row r="59" spans="1:38" x14ac:dyDescent="0.25">
      <c r="A59" s="6">
        <f>ReturnData!A70</f>
        <v>197909</v>
      </c>
      <c r="S59">
        <f t="shared" si="0"/>
        <v>197909</v>
      </c>
      <c r="AK59">
        <f t="shared" si="1"/>
        <v>197909</v>
      </c>
      <c r="AL59" s="12"/>
    </row>
    <row r="60" spans="1:38" x14ac:dyDescent="0.25">
      <c r="A60" s="6">
        <f>ReturnData!A71</f>
        <v>197910</v>
      </c>
      <c r="S60">
        <f t="shared" si="0"/>
        <v>197910</v>
      </c>
      <c r="AK60">
        <f t="shared" si="1"/>
        <v>197910</v>
      </c>
      <c r="AL60" s="12"/>
    </row>
    <row r="61" spans="1:38" x14ac:dyDescent="0.25">
      <c r="A61" s="6">
        <f>ReturnData!A72</f>
        <v>197911</v>
      </c>
      <c r="S61">
        <f t="shared" si="0"/>
        <v>197911</v>
      </c>
      <c r="AK61">
        <f t="shared" si="1"/>
        <v>197911</v>
      </c>
      <c r="AL61" s="12"/>
    </row>
    <row r="62" spans="1:38" x14ac:dyDescent="0.25">
      <c r="A62" s="6">
        <f>ReturnData!A73</f>
        <v>197912</v>
      </c>
      <c r="S62">
        <f t="shared" si="0"/>
        <v>197912</v>
      </c>
      <c r="AK62">
        <f t="shared" si="1"/>
        <v>197912</v>
      </c>
      <c r="AL62" s="12"/>
    </row>
    <row r="63" spans="1:38" x14ac:dyDescent="0.25">
      <c r="A63" s="6">
        <f>ReturnData!A74</f>
        <v>198001</v>
      </c>
      <c r="S63">
        <f t="shared" si="0"/>
        <v>198001</v>
      </c>
      <c r="AK63">
        <f t="shared" si="1"/>
        <v>198001</v>
      </c>
      <c r="AL63" s="12"/>
    </row>
    <row r="64" spans="1:38" x14ac:dyDescent="0.25">
      <c r="A64" s="6">
        <f>ReturnData!A75</f>
        <v>198002</v>
      </c>
      <c r="S64">
        <f t="shared" si="0"/>
        <v>198002</v>
      </c>
      <c r="AK64">
        <f t="shared" si="1"/>
        <v>198002</v>
      </c>
      <c r="AL64" s="12"/>
    </row>
    <row r="65" spans="1:38" x14ac:dyDescent="0.25">
      <c r="A65" s="6">
        <f>ReturnData!A76</f>
        <v>198003</v>
      </c>
      <c r="S65">
        <f t="shared" si="0"/>
        <v>198003</v>
      </c>
      <c r="AK65">
        <f t="shared" si="1"/>
        <v>198003</v>
      </c>
      <c r="AL65" s="12"/>
    </row>
    <row r="66" spans="1:38" x14ac:dyDescent="0.25">
      <c r="A66" s="6">
        <f>ReturnData!A77</f>
        <v>198004</v>
      </c>
      <c r="S66">
        <f t="shared" ref="S66:S129" si="2">A66</f>
        <v>198004</v>
      </c>
      <c r="AK66">
        <f t="shared" ref="AK66:AK129" si="3">S66</f>
        <v>198004</v>
      </c>
      <c r="AL66" s="12"/>
    </row>
    <row r="67" spans="1:38" x14ac:dyDescent="0.25">
      <c r="A67" s="6">
        <f>ReturnData!A78</f>
        <v>198005</v>
      </c>
      <c r="S67">
        <f t="shared" si="2"/>
        <v>198005</v>
      </c>
      <c r="AK67">
        <f t="shared" si="3"/>
        <v>198005</v>
      </c>
      <c r="AL67" s="12"/>
    </row>
    <row r="68" spans="1:38" x14ac:dyDescent="0.25">
      <c r="A68" s="6">
        <f>ReturnData!A79</f>
        <v>198006</v>
      </c>
      <c r="S68">
        <f t="shared" si="2"/>
        <v>198006</v>
      </c>
      <c r="AK68">
        <f t="shared" si="3"/>
        <v>198006</v>
      </c>
      <c r="AL68" s="12"/>
    </row>
    <row r="69" spans="1:38" x14ac:dyDescent="0.25">
      <c r="A69" s="6">
        <f>ReturnData!A80</f>
        <v>198007</v>
      </c>
      <c r="S69">
        <f t="shared" si="2"/>
        <v>198007</v>
      </c>
      <c r="AK69">
        <f t="shared" si="3"/>
        <v>198007</v>
      </c>
      <c r="AL69" s="12"/>
    </row>
    <row r="70" spans="1:38" x14ac:dyDescent="0.25">
      <c r="A70" s="6">
        <f>ReturnData!A81</f>
        <v>198008</v>
      </c>
      <c r="S70">
        <f t="shared" si="2"/>
        <v>198008</v>
      </c>
      <c r="AK70">
        <f t="shared" si="3"/>
        <v>198008</v>
      </c>
      <c r="AL70" s="12"/>
    </row>
    <row r="71" spans="1:38" x14ac:dyDescent="0.25">
      <c r="A71" s="6">
        <f>ReturnData!A82</f>
        <v>198009</v>
      </c>
      <c r="S71">
        <f t="shared" si="2"/>
        <v>198009</v>
      </c>
      <c r="AK71">
        <f t="shared" si="3"/>
        <v>198009</v>
      </c>
      <c r="AL71" s="12"/>
    </row>
    <row r="72" spans="1:38" x14ac:dyDescent="0.25">
      <c r="A72" s="6">
        <f>ReturnData!A83</f>
        <v>198010</v>
      </c>
      <c r="S72">
        <f t="shared" si="2"/>
        <v>198010</v>
      </c>
      <c r="AK72">
        <f t="shared" si="3"/>
        <v>198010</v>
      </c>
      <c r="AL72" s="12"/>
    </row>
    <row r="73" spans="1:38" x14ac:dyDescent="0.25">
      <c r="A73" s="6">
        <f>ReturnData!A84</f>
        <v>198011</v>
      </c>
      <c r="S73">
        <f t="shared" si="2"/>
        <v>198011</v>
      </c>
      <c r="AK73">
        <f t="shared" si="3"/>
        <v>198011</v>
      </c>
      <c r="AL73" s="12"/>
    </row>
    <row r="74" spans="1:38" x14ac:dyDescent="0.25">
      <c r="A74" s="6">
        <f>ReturnData!A85</f>
        <v>198012</v>
      </c>
      <c r="S74">
        <f t="shared" si="2"/>
        <v>198012</v>
      </c>
      <c r="AK74">
        <f t="shared" si="3"/>
        <v>198012</v>
      </c>
      <c r="AL74" s="12"/>
    </row>
    <row r="75" spans="1:38" x14ac:dyDescent="0.25">
      <c r="A75" s="6">
        <f>ReturnData!A86</f>
        <v>198101</v>
      </c>
      <c r="S75">
        <f t="shared" si="2"/>
        <v>198101</v>
      </c>
      <c r="AK75">
        <f t="shared" si="3"/>
        <v>198101</v>
      </c>
      <c r="AL75" s="12"/>
    </row>
    <row r="76" spans="1:38" x14ac:dyDescent="0.25">
      <c r="A76" s="6">
        <f>ReturnData!A87</f>
        <v>198102</v>
      </c>
      <c r="S76">
        <f t="shared" si="2"/>
        <v>198102</v>
      </c>
      <c r="AK76">
        <f t="shared" si="3"/>
        <v>198102</v>
      </c>
      <c r="AL76" s="12"/>
    </row>
    <row r="77" spans="1:38" x14ac:dyDescent="0.25">
      <c r="A77" s="6">
        <f>ReturnData!A88</f>
        <v>198103</v>
      </c>
      <c r="S77">
        <f t="shared" si="2"/>
        <v>198103</v>
      </c>
      <c r="AK77">
        <f t="shared" si="3"/>
        <v>198103</v>
      </c>
      <c r="AL77" s="12"/>
    </row>
    <row r="78" spans="1:38" x14ac:dyDescent="0.25">
      <c r="A78" s="6">
        <f>ReturnData!A89</f>
        <v>198104</v>
      </c>
      <c r="S78">
        <f t="shared" si="2"/>
        <v>198104</v>
      </c>
      <c r="AK78">
        <f t="shared" si="3"/>
        <v>198104</v>
      </c>
      <c r="AL78" s="12"/>
    </row>
    <row r="79" spans="1:38" x14ac:dyDescent="0.25">
      <c r="A79" s="6">
        <f>ReturnData!A90</f>
        <v>198105</v>
      </c>
      <c r="S79">
        <f t="shared" si="2"/>
        <v>198105</v>
      </c>
      <c r="AK79">
        <f t="shared" si="3"/>
        <v>198105</v>
      </c>
      <c r="AL79" s="12"/>
    </row>
    <row r="80" spans="1:38" x14ac:dyDescent="0.25">
      <c r="A80" s="6">
        <f>ReturnData!A91</f>
        <v>198106</v>
      </c>
      <c r="S80">
        <f t="shared" si="2"/>
        <v>198106</v>
      </c>
      <c r="AK80">
        <f t="shared" si="3"/>
        <v>198106</v>
      </c>
      <c r="AL80" s="12"/>
    </row>
    <row r="81" spans="1:38" x14ac:dyDescent="0.25">
      <c r="A81" s="6">
        <f>ReturnData!A92</f>
        <v>198107</v>
      </c>
      <c r="S81">
        <f t="shared" si="2"/>
        <v>198107</v>
      </c>
      <c r="AK81">
        <f t="shared" si="3"/>
        <v>198107</v>
      </c>
      <c r="AL81" s="12"/>
    </row>
    <row r="82" spans="1:38" x14ac:dyDescent="0.25">
      <c r="A82" s="6">
        <f>ReturnData!A93</f>
        <v>198108</v>
      </c>
      <c r="S82">
        <f t="shared" si="2"/>
        <v>198108</v>
      </c>
      <c r="AK82">
        <f t="shared" si="3"/>
        <v>198108</v>
      </c>
      <c r="AL82" s="12"/>
    </row>
    <row r="83" spans="1:38" x14ac:dyDescent="0.25">
      <c r="A83" s="6">
        <f>ReturnData!A94</f>
        <v>198109</v>
      </c>
      <c r="S83">
        <f t="shared" si="2"/>
        <v>198109</v>
      </c>
      <c r="AK83">
        <f t="shared" si="3"/>
        <v>198109</v>
      </c>
      <c r="AL83" s="12"/>
    </row>
    <row r="84" spans="1:38" x14ac:dyDescent="0.25">
      <c r="A84" s="6">
        <f>ReturnData!A95</f>
        <v>198110</v>
      </c>
      <c r="S84">
        <f t="shared" si="2"/>
        <v>198110</v>
      </c>
      <c r="AK84">
        <f t="shared" si="3"/>
        <v>198110</v>
      </c>
      <c r="AL84" s="12"/>
    </row>
    <row r="85" spans="1:38" x14ac:dyDescent="0.25">
      <c r="A85" s="6">
        <f>ReturnData!A96</f>
        <v>198111</v>
      </c>
      <c r="S85">
        <f t="shared" si="2"/>
        <v>198111</v>
      </c>
      <c r="AK85">
        <f t="shared" si="3"/>
        <v>198111</v>
      </c>
      <c r="AL85" s="12"/>
    </row>
    <row r="86" spans="1:38" x14ac:dyDescent="0.25">
      <c r="A86" s="6">
        <f>ReturnData!A97</f>
        <v>198112</v>
      </c>
      <c r="S86">
        <f t="shared" si="2"/>
        <v>198112</v>
      </c>
      <c r="AK86">
        <f t="shared" si="3"/>
        <v>198112</v>
      </c>
      <c r="AL86" s="12"/>
    </row>
    <row r="87" spans="1:38" x14ac:dyDescent="0.25">
      <c r="A87" s="6">
        <f>ReturnData!A98</f>
        <v>198201</v>
      </c>
      <c r="S87">
        <f t="shared" si="2"/>
        <v>198201</v>
      </c>
      <c r="AK87">
        <f t="shared" si="3"/>
        <v>198201</v>
      </c>
      <c r="AL87" s="12"/>
    </row>
    <row r="88" spans="1:38" x14ac:dyDescent="0.25">
      <c r="A88" s="6">
        <f>ReturnData!A99</f>
        <v>198202</v>
      </c>
      <c r="S88">
        <f t="shared" si="2"/>
        <v>198202</v>
      </c>
      <c r="AK88">
        <f t="shared" si="3"/>
        <v>198202</v>
      </c>
      <c r="AL88" s="12"/>
    </row>
    <row r="89" spans="1:38" x14ac:dyDescent="0.25">
      <c r="A89" s="6">
        <f>ReturnData!A100</f>
        <v>198203</v>
      </c>
      <c r="S89">
        <f t="shared" si="2"/>
        <v>198203</v>
      </c>
      <c r="AK89">
        <f t="shared" si="3"/>
        <v>198203</v>
      </c>
      <c r="AL89" s="12"/>
    </row>
    <row r="90" spans="1:38" x14ac:dyDescent="0.25">
      <c r="A90" s="6">
        <f>ReturnData!A101</f>
        <v>198204</v>
      </c>
      <c r="S90">
        <f t="shared" si="2"/>
        <v>198204</v>
      </c>
      <c r="AK90">
        <f t="shared" si="3"/>
        <v>198204</v>
      </c>
      <c r="AL90" s="12"/>
    </row>
    <row r="91" spans="1:38" x14ac:dyDescent="0.25">
      <c r="A91" s="6">
        <f>ReturnData!A102</f>
        <v>198205</v>
      </c>
      <c r="S91">
        <f t="shared" si="2"/>
        <v>198205</v>
      </c>
      <c r="AK91">
        <f t="shared" si="3"/>
        <v>198205</v>
      </c>
      <c r="AL91" s="12"/>
    </row>
    <row r="92" spans="1:38" x14ac:dyDescent="0.25">
      <c r="A92" s="6">
        <f>ReturnData!A103</f>
        <v>198206</v>
      </c>
      <c r="S92">
        <f t="shared" si="2"/>
        <v>198206</v>
      </c>
      <c r="AK92">
        <f t="shared" si="3"/>
        <v>198206</v>
      </c>
      <c r="AL92" s="12"/>
    </row>
    <row r="93" spans="1:38" x14ac:dyDescent="0.25">
      <c r="A93" s="6">
        <f>ReturnData!A104</f>
        <v>198207</v>
      </c>
      <c r="S93">
        <f t="shared" si="2"/>
        <v>198207</v>
      </c>
      <c r="AK93">
        <f t="shared" si="3"/>
        <v>198207</v>
      </c>
      <c r="AL93" s="12"/>
    </row>
    <row r="94" spans="1:38" x14ac:dyDescent="0.25">
      <c r="A94" s="6">
        <f>ReturnData!A105</f>
        <v>198208</v>
      </c>
      <c r="S94">
        <f t="shared" si="2"/>
        <v>198208</v>
      </c>
      <c r="AK94">
        <f t="shared" si="3"/>
        <v>198208</v>
      </c>
      <c r="AL94" s="12"/>
    </row>
    <row r="95" spans="1:38" x14ac:dyDescent="0.25">
      <c r="A95" s="6">
        <f>ReturnData!A106</f>
        <v>198209</v>
      </c>
      <c r="S95">
        <f t="shared" si="2"/>
        <v>198209</v>
      </c>
      <c r="AK95">
        <f t="shared" si="3"/>
        <v>198209</v>
      </c>
      <c r="AL95" s="12"/>
    </row>
    <row r="96" spans="1:38" x14ac:dyDescent="0.25">
      <c r="A96" s="6">
        <f>ReturnData!A107</f>
        <v>198210</v>
      </c>
      <c r="S96">
        <f t="shared" si="2"/>
        <v>198210</v>
      </c>
      <c r="AK96">
        <f t="shared" si="3"/>
        <v>198210</v>
      </c>
      <c r="AL96" s="12"/>
    </row>
    <row r="97" spans="1:38" x14ac:dyDescent="0.25">
      <c r="A97" s="6">
        <f>ReturnData!A108</f>
        <v>198211</v>
      </c>
      <c r="S97">
        <f t="shared" si="2"/>
        <v>198211</v>
      </c>
      <c r="AK97">
        <f t="shared" si="3"/>
        <v>198211</v>
      </c>
      <c r="AL97" s="12"/>
    </row>
    <row r="98" spans="1:38" x14ac:dyDescent="0.25">
      <c r="A98" s="6">
        <f>ReturnData!A109</f>
        <v>198212</v>
      </c>
      <c r="S98">
        <f t="shared" si="2"/>
        <v>198212</v>
      </c>
      <c r="AK98">
        <f t="shared" si="3"/>
        <v>198212</v>
      </c>
      <c r="AL98" s="12"/>
    </row>
    <row r="99" spans="1:38" x14ac:dyDescent="0.25">
      <c r="A99" s="6">
        <f>ReturnData!A110</f>
        <v>198301</v>
      </c>
      <c r="S99">
        <f t="shared" si="2"/>
        <v>198301</v>
      </c>
      <c r="AK99">
        <f t="shared" si="3"/>
        <v>198301</v>
      </c>
      <c r="AL99" s="12"/>
    </row>
    <row r="100" spans="1:38" x14ac:dyDescent="0.25">
      <c r="A100" s="6">
        <f>ReturnData!A111</f>
        <v>198302</v>
      </c>
      <c r="S100">
        <f t="shared" si="2"/>
        <v>198302</v>
      </c>
      <c r="AK100">
        <f t="shared" si="3"/>
        <v>198302</v>
      </c>
      <c r="AL100" s="12"/>
    </row>
    <row r="101" spans="1:38" x14ac:dyDescent="0.25">
      <c r="A101" s="6">
        <f>ReturnData!A112</f>
        <v>198303</v>
      </c>
      <c r="S101">
        <f t="shared" si="2"/>
        <v>198303</v>
      </c>
      <c r="AK101">
        <f t="shared" si="3"/>
        <v>198303</v>
      </c>
      <c r="AL101" s="12"/>
    </row>
    <row r="102" spans="1:38" x14ac:dyDescent="0.25">
      <c r="A102" s="6">
        <f>ReturnData!A113</f>
        <v>198304</v>
      </c>
      <c r="S102">
        <f t="shared" si="2"/>
        <v>198304</v>
      </c>
      <c r="AK102">
        <f t="shared" si="3"/>
        <v>198304</v>
      </c>
      <c r="AL102" s="12"/>
    </row>
    <row r="103" spans="1:38" x14ac:dyDescent="0.25">
      <c r="A103" s="6">
        <f>ReturnData!A114</f>
        <v>198305</v>
      </c>
      <c r="S103">
        <f t="shared" si="2"/>
        <v>198305</v>
      </c>
      <c r="AK103">
        <f t="shared" si="3"/>
        <v>198305</v>
      </c>
      <c r="AL103" s="12"/>
    </row>
    <row r="104" spans="1:38" x14ac:dyDescent="0.25">
      <c r="A104" s="6">
        <f>ReturnData!A115</f>
        <v>198306</v>
      </c>
      <c r="S104">
        <f t="shared" si="2"/>
        <v>198306</v>
      </c>
      <c r="AK104">
        <f t="shared" si="3"/>
        <v>198306</v>
      </c>
      <c r="AL104" s="12"/>
    </row>
    <row r="105" spans="1:38" x14ac:dyDescent="0.25">
      <c r="A105" s="6">
        <f>ReturnData!A116</f>
        <v>198307</v>
      </c>
      <c r="S105">
        <f t="shared" si="2"/>
        <v>198307</v>
      </c>
      <c r="AK105">
        <f t="shared" si="3"/>
        <v>198307</v>
      </c>
      <c r="AL105" s="12"/>
    </row>
    <row r="106" spans="1:38" x14ac:dyDescent="0.25">
      <c r="A106" s="6">
        <f>ReturnData!A117</f>
        <v>198308</v>
      </c>
      <c r="S106">
        <f t="shared" si="2"/>
        <v>198308</v>
      </c>
      <c r="AK106">
        <f t="shared" si="3"/>
        <v>198308</v>
      </c>
      <c r="AL106" s="12"/>
    </row>
    <row r="107" spans="1:38" x14ac:dyDescent="0.25">
      <c r="A107" s="6">
        <f>ReturnData!A118</f>
        <v>198309</v>
      </c>
      <c r="S107">
        <f t="shared" si="2"/>
        <v>198309</v>
      </c>
      <c r="AK107">
        <f t="shared" si="3"/>
        <v>198309</v>
      </c>
      <c r="AL107" s="12"/>
    </row>
    <row r="108" spans="1:38" x14ac:dyDescent="0.25">
      <c r="A108" s="6">
        <f>ReturnData!A119</f>
        <v>198310</v>
      </c>
      <c r="S108">
        <f t="shared" si="2"/>
        <v>198310</v>
      </c>
      <c r="AK108">
        <f t="shared" si="3"/>
        <v>198310</v>
      </c>
      <c r="AL108" s="12"/>
    </row>
    <row r="109" spans="1:38" x14ac:dyDescent="0.25">
      <c r="A109" s="6">
        <f>ReturnData!A120</f>
        <v>198311</v>
      </c>
      <c r="S109">
        <f t="shared" si="2"/>
        <v>198311</v>
      </c>
      <c r="AK109">
        <f t="shared" si="3"/>
        <v>198311</v>
      </c>
      <c r="AL109" s="12"/>
    </row>
    <row r="110" spans="1:38" x14ac:dyDescent="0.25">
      <c r="A110" s="6">
        <f>ReturnData!A121</f>
        <v>198312</v>
      </c>
      <c r="S110">
        <f t="shared" si="2"/>
        <v>198312</v>
      </c>
      <c r="AK110">
        <f t="shared" si="3"/>
        <v>198312</v>
      </c>
      <c r="AL110" s="12"/>
    </row>
    <row r="111" spans="1:38" x14ac:dyDescent="0.25">
      <c r="A111" s="6">
        <f>ReturnData!A122</f>
        <v>198401</v>
      </c>
      <c r="S111">
        <f t="shared" si="2"/>
        <v>198401</v>
      </c>
      <c r="AK111">
        <f t="shared" si="3"/>
        <v>198401</v>
      </c>
      <c r="AL111" s="12"/>
    </row>
    <row r="112" spans="1:38" x14ac:dyDescent="0.25">
      <c r="A112" s="6">
        <f>ReturnData!A123</f>
        <v>198402</v>
      </c>
      <c r="S112">
        <f t="shared" si="2"/>
        <v>198402</v>
      </c>
      <c r="AK112">
        <f t="shared" si="3"/>
        <v>198402</v>
      </c>
      <c r="AL112" s="12"/>
    </row>
    <row r="113" spans="1:38" x14ac:dyDescent="0.25">
      <c r="A113" s="6">
        <f>ReturnData!A124</f>
        <v>198403</v>
      </c>
      <c r="S113">
        <f t="shared" si="2"/>
        <v>198403</v>
      </c>
      <c r="AK113">
        <f t="shared" si="3"/>
        <v>198403</v>
      </c>
      <c r="AL113" s="12"/>
    </row>
    <row r="114" spans="1:38" x14ac:dyDescent="0.25">
      <c r="A114" s="6">
        <f>ReturnData!A125</f>
        <v>198404</v>
      </c>
      <c r="S114">
        <f t="shared" si="2"/>
        <v>198404</v>
      </c>
      <c r="AK114">
        <f t="shared" si="3"/>
        <v>198404</v>
      </c>
      <c r="AL114" s="12"/>
    </row>
    <row r="115" spans="1:38" x14ac:dyDescent="0.25">
      <c r="A115" s="6">
        <f>ReturnData!A126</f>
        <v>198405</v>
      </c>
      <c r="S115">
        <f t="shared" si="2"/>
        <v>198405</v>
      </c>
      <c r="AK115">
        <f t="shared" si="3"/>
        <v>198405</v>
      </c>
      <c r="AL115" s="12"/>
    </row>
    <row r="116" spans="1:38" x14ac:dyDescent="0.25">
      <c r="A116" s="6">
        <f>ReturnData!A127</f>
        <v>198406</v>
      </c>
      <c r="S116">
        <f t="shared" si="2"/>
        <v>198406</v>
      </c>
      <c r="AK116">
        <f t="shared" si="3"/>
        <v>198406</v>
      </c>
      <c r="AL116" s="12"/>
    </row>
    <row r="117" spans="1:38" x14ac:dyDescent="0.25">
      <c r="A117" s="6">
        <f>ReturnData!A128</f>
        <v>198407</v>
      </c>
      <c r="S117">
        <f t="shared" si="2"/>
        <v>198407</v>
      </c>
      <c r="AK117">
        <f t="shared" si="3"/>
        <v>198407</v>
      </c>
      <c r="AL117" s="12"/>
    </row>
    <row r="118" spans="1:38" x14ac:dyDescent="0.25">
      <c r="A118" s="6">
        <f>ReturnData!A129</f>
        <v>198408</v>
      </c>
      <c r="S118">
        <f t="shared" si="2"/>
        <v>198408</v>
      </c>
      <c r="AK118">
        <f t="shared" si="3"/>
        <v>198408</v>
      </c>
      <c r="AL118" s="12"/>
    </row>
    <row r="119" spans="1:38" x14ac:dyDescent="0.25">
      <c r="A119" s="6">
        <f>ReturnData!A130</f>
        <v>198409</v>
      </c>
      <c r="S119">
        <f t="shared" si="2"/>
        <v>198409</v>
      </c>
      <c r="AK119">
        <f t="shared" si="3"/>
        <v>198409</v>
      </c>
      <c r="AL119" s="12"/>
    </row>
    <row r="120" spans="1:38" x14ac:dyDescent="0.25">
      <c r="A120" s="6">
        <f>ReturnData!A131</f>
        <v>198410</v>
      </c>
      <c r="S120">
        <f t="shared" si="2"/>
        <v>198410</v>
      </c>
      <c r="AK120">
        <f t="shared" si="3"/>
        <v>198410</v>
      </c>
      <c r="AL120" s="12"/>
    </row>
    <row r="121" spans="1:38" x14ac:dyDescent="0.25">
      <c r="A121" s="6">
        <f>ReturnData!A132</f>
        <v>198411</v>
      </c>
      <c r="S121">
        <f t="shared" si="2"/>
        <v>198411</v>
      </c>
      <c r="AK121">
        <f t="shared" si="3"/>
        <v>198411</v>
      </c>
      <c r="AL121" s="12"/>
    </row>
    <row r="122" spans="1:38" x14ac:dyDescent="0.25">
      <c r="A122" s="6">
        <f>ReturnData!A133</f>
        <v>198412</v>
      </c>
      <c r="S122">
        <f t="shared" si="2"/>
        <v>198412</v>
      </c>
      <c r="AK122">
        <f t="shared" si="3"/>
        <v>198412</v>
      </c>
      <c r="AL122" s="12"/>
    </row>
    <row r="123" spans="1:38" x14ac:dyDescent="0.25">
      <c r="A123" s="6">
        <f>ReturnData!A134</f>
        <v>198501</v>
      </c>
      <c r="S123">
        <f t="shared" si="2"/>
        <v>198501</v>
      </c>
      <c r="AK123">
        <f t="shared" si="3"/>
        <v>198501</v>
      </c>
      <c r="AL123" s="12"/>
    </row>
    <row r="124" spans="1:38" x14ac:dyDescent="0.25">
      <c r="A124" s="6">
        <f>ReturnData!A135</f>
        <v>198502</v>
      </c>
      <c r="S124">
        <f t="shared" si="2"/>
        <v>198502</v>
      </c>
      <c r="AK124">
        <f t="shared" si="3"/>
        <v>198502</v>
      </c>
      <c r="AL124" s="12"/>
    </row>
    <row r="125" spans="1:38" x14ac:dyDescent="0.25">
      <c r="A125" s="6">
        <f>ReturnData!A136</f>
        <v>198503</v>
      </c>
      <c r="S125">
        <f t="shared" si="2"/>
        <v>198503</v>
      </c>
      <c r="AK125">
        <f t="shared" si="3"/>
        <v>198503</v>
      </c>
      <c r="AL125" s="12"/>
    </row>
    <row r="126" spans="1:38" x14ac:dyDescent="0.25">
      <c r="A126" s="6">
        <f>ReturnData!A137</f>
        <v>198504</v>
      </c>
      <c r="S126">
        <f t="shared" si="2"/>
        <v>198504</v>
      </c>
      <c r="AK126">
        <f t="shared" si="3"/>
        <v>198504</v>
      </c>
      <c r="AL126" s="12"/>
    </row>
    <row r="127" spans="1:38" x14ac:dyDescent="0.25">
      <c r="A127" s="6">
        <f>ReturnData!A138</f>
        <v>198505</v>
      </c>
      <c r="S127">
        <f t="shared" si="2"/>
        <v>198505</v>
      </c>
      <c r="AK127">
        <f t="shared" si="3"/>
        <v>198505</v>
      </c>
      <c r="AL127" s="12"/>
    </row>
    <row r="128" spans="1:38" x14ac:dyDescent="0.25">
      <c r="A128" s="6">
        <f>ReturnData!A139</f>
        <v>198506</v>
      </c>
      <c r="S128">
        <f t="shared" si="2"/>
        <v>198506</v>
      </c>
      <c r="AK128">
        <f t="shared" si="3"/>
        <v>198506</v>
      </c>
      <c r="AL128" s="12"/>
    </row>
    <row r="129" spans="1:38" x14ac:dyDescent="0.25">
      <c r="A129" s="6">
        <f>ReturnData!A140</f>
        <v>198507</v>
      </c>
      <c r="S129">
        <f t="shared" si="2"/>
        <v>198507</v>
      </c>
      <c r="AK129">
        <f t="shared" si="3"/>
        <v>198507</v>
      </c>
      <c r="AL129" s="12"/>
    </row>
    <row r="130" spans="1:38" x14ac:dyDescent="0.25">
      <c r="A130" s="6">
        <f>ReturnData!A141</f>
        <v>198508</v>
      </c>
      <c r="S130">
        <f t="shared" ref="S130:S193" si="4">A130</f>
        <v>198508</v>
      </c>
      <c r="AK130">
        <f t="shared" ref="AK130:AK193" si="5">S130</f>
        <v>198508</v>
      </c>
      <c r="AL130" s="12"/>
    </row>
    <row r="131" spans="1:38" x14ac:dyDescent="0.25">
      <c r="A131" s="6">
        <f>ReturnData!A142</f>
        <v>198509</v>
      </c>
      <c r="S131">
        <f t="shared" si="4"/>
        <v>198509</v>
      </c>
      <c r="AK131">
        <f t="shared" si="5"/>
        <v>198509</v>
      </c>
      <c r="AL131" s="12"/>
    </row>
    <row r="132" spans="1:38" x14ac:dyDescent="0.25">
      <c r="A132" s="6">
        <f>ReturnData!A143</f>
        <v>198510</v>
      </c>
      <c r="S132">
        <f t="shared" si="4"/>
        <v>198510</v>
      </c>
      <c r="AK132">
        <f t="shared" si="5"/>
        <v>198510</v>
      </c>
      <c r="AL132" s="12"/>
    </row>
    <row r="133" spans="1:38" x14ac:dyDescent="0.25">
      <c r="A133" s="6">
        <f>ReturnData!A144</f>
        <v>198511</v>
      </c>
      <c r="S133">
        <f t="shared" si="4"/>
        <v>198511</v>
      </c>
      <c r="AK133">
        <f t="shared" si="5"/>
        <v>198511</v>
      </c>
      <c r="AL133" s="12"/>
    </row>
    <row r="134" spans="1:38" x14ac:dyDescent="0.25">
      <c r="A134" s="6">
        <f>ReturnData!A145</f>
        <v>198512</v>
      </c>
      <c r="S134">
        <f t="shared" si="4"/>
        <v>198512</v>
      </c>
      <c r="AK134">
        <f t="shared" si="5"/>
        <v>198512</v>
      </c>
      <c r="AL134" s="12"/>
    </row>
    <row r="135" spans="1:38" x14ac:dyDescent="0.25">
      <c r="A135" s="6">
        <f>ReturnData!A146</f>
        <v>198601</v>
      </c>
      <c r="S135">
        <f t="shared" si="4"/>
        <v>198601</v>
      </c>
      <c r="AK135">
        <f t="shared" si="5"/>
        <v>198601</v>
      </c>
      <c r="AL135" s="12"/>
    </row>
    <row r="136" spans="1:38" x14ac:dyDescent="0.25">
      <c r="A136" s="6">
        <f>ReturnData!A147</f>
        <v>198602</v>
      </c>
      <c r="S136">
        <f t="shared" si="4"/>
        <v>198602</v>
      </c>
      <c r="AK136">
        <f t="shared" si="5"/>
        <v>198602</v>
      </c>
      <c r="AL136" s="12"/>
    </row>
    <row r="137" spans="1:38" x14ac:dyDescent="0.25">
      <c r="A137" s="6">
        <f>ReturnData!A148</f>
        <v>198603</v>
      </c>
      <c r="S137">
        <f t="shared" si="4"/>
        <v>198603</v>
      </c>
      <c r="AK137">
        <f t="shared" si="5"/>
        <v>198603</v>
      </c>
      <c r="AL137" s="12"/>
    </row>
    <row r="138" spans="1:38" x14ac:dyDescent="0.25">
      <c r="A138" s="6">
        <f>ReturnData!A149</f>
        <v>198604</v>
      </c>
      <c r="S138">
        <f t="shared" si="4"/>
        <v>198604</v>
      </c>
      <c r="AK138">
        <f t="shared" si="5"/>
        <v>198604</v>
      </c>
      <c r="AL138" s="12"/>
    </row>
    <row r="139" spans="1:38" x14ac:dyDescent="0.25">
      <c r="A139" s="6">
        <f>ReturnData!A150</f>
        <v>198605</v>
      </c>
      <c r="S139">
        <f t="shared" si="4"/>
        <v>198605</v>
      </c>
      <c r="AK139">
        <f t="shared" si="5"/>
        <v>198605</v>
      </c>
      <c r="AL139" s="12"/>
    </row>
    <row r="140" spans="1:38" x14ac:dyDescent="0.25">
      <c r="A140" s="6">
        <f>ReturnData!A151</f>
        <v>198606</v>
      </c>
      <c r="S140">
        <f t="shared" si="4"/>
        <v>198606</v>
      </c>
      <c r="AK140">
        <f t="shared" si="5"/>
        <v>198606</v>
      </c>
      <c r="AL140" s="12"/>
    </row>
    <row r="141" spans="1:38" x14ac:dyDescent="0.25">
      <c r="A141" s="6">
        <f>ReturnData!A152</f>
        <v>198607</v>
      </c>
      <c r="S141">
        <f t="shared" si="4"/>
        <v>198607</v>
      </c>
      <c r="AK141">
        <f t="shared" si="5"/>
        <v>198607</v>
      </c>
      <c r="AL141" s="12"/>
    </row>
    <row r="142" spans="1:38" x14ac:dyDescent="0.25">
      <c r="A142" s="6">
        <f>ReturnData!A153</f>
        <v>198608</v>
      </c>
      <c r="S142">
        <f t="shared" si="4"/>
        <v>198608</v>
      </c>
      <c r="AK142">
        <f t="shared" si="5"/>
        <v>198608</v>
      </c>
      <c r="AL142" s="12"/>
    </row>
    <row r="143" spans="1:38" x14ac:dyDescent="0.25">
      <c r="A143" s="6">
        <f>ReturnData!A154</f>
        <v>198609</v>
      </c>
      <c r="S143">
        <f t="shared" si="4"/>
        <v>198609</v>
      </c>
      <c r="AK143">
        <f t="shared" si="5"/>
        <v>198609</v>
      </c>
      <c r="AL143" s="12"/>
    </row>
    <row r="144" spans="1:38" x14ac:dyDescent="0.25">
      <c r="A144" s="6">
        <f>ReturnData!A155</f>
        <v>198610</v>
      </c>
      <c r="S144">
        <f t="shared" si="4"/>
        <v>198610</v>
      </c>
      <c r="AK144">
        <f t="shared" si="5"/>
        <v>198610</v>
      </c>
      <c r="AL144" s="12"/>
    </row>
    <row r="145" spans="1:38" x14ac:dyDescent="0.25">
      <c r="A145" s="6">
        <f>ReturnData!A156</f>
        <v>198611</v>
      </c>
      <c r="S145">
        <f t="shared" si="4"/>
        <v>198611</v>
      </c>
      <c r="AK145">
        <f t="shared" si="5"/>
        <v>198611</v>
      </c>
      <c r="AL145" s="12"/>
    </row>
    <row r="146" spans="1:38" x14ac:dyDescent="0.25">
      <c r="A146" s="6">
        <f>ReturnData!A157</f>
        <v>198612</v>
      </c>
      <c r="S146">
        <f t="shared" si="4"/>
        <v>198612</v>
      </c>
      <c r="AK146">
        <f t="shared" si="5"/>
        <v>198612</v>
      </c>
      <c r="AL146" s="12"/>
    </row>
    <row r="147" spans="1:38" x14ac:dyDescent="0.25">
      <c r="A147" s="6">
        <f>ReturnData!A158</f>
        <v>198701</v>
      </c>
      <c r="S147">
        <f t="shared" si="4"/>
        <v>198701</v>
      </c>
      <c r="AK147">
        <f t="shared" si="5"/>
        <v>198701</v>
      </c>
      <c r="AL147" s="12"/>
    </row>
    <row r="148" spans="1:38" x14ac:dyDescent="0.25">
      <c r="A148" s="6">
        <f>ReturnData!A159</f>
        <v>198702</v>
      </c>
      <c r="S148">
        <f t="shared" si="4"/>
        <v>198702</v>
      </c>
      <c r="AK148">
        <f t="shared" si="5"/>
        <v>198702</v>
      </c>
      <c r="AL148" s="12"/>
    </row>
    <row r="149" spans="1:38" x14ac:dyDescent="0.25">
      <c r="A149" s="6">
        <f>ReturnData!A160</f>
        <v>198703</v>
      </c>
      <c r="S149">
        <f t="shared" si="4"/>
        <v>198703</v>
      </c>
      <c r="AK149">
        <f t="shared" si="5"/>
        <v>198703</v>
      </c>
      <c r="AL149" s="12"/>
    </row>
    <row r="150" spans="1:38" x14ac:dyDescent="0.25">
      <c r="A150" s="6">
        <f>ReturnData!A161</f>
        <v>198704</v>
      </c>
      <c r="S150">
        <f t="shared" si="4"/>
        <v>198704</v>
      </c>
      <c r="AK150">
        <f t="shared" si="5"/>
        <v>198704</v>
      </c>
      <c r="AL150" s="12"/>
    </row>
    <row r="151" spans="1:38" x14ac:dyDescent="0.25">
      <c r="A151" s="6">
        <f>ReturnData!A162</f>
        <v>198705</v>
      </c>
      <c r="S151">
        <f t="shared" si="4"/>
        <v>198705</v>
      </c>
      <c r="AK151">
        <f t="shared" si="5"/>
        <v>198705</v>
      </c>
      <c r="AL151" s="12"/>
    </row>
    <row r="152" spans="1:38" x14ac:dyDescent="0.25">
      <c r="A152" s="6">
        <f>ReturnData!A163</f>
        <v>198706</v>
      </c>
      <c r="S152">
        <f t="shared" si="4"/>
        <v>198706</v>
      </c>
      <c r="AK152">
        <f t="shared" si="5"/>
        <v>198706</v>
      </c>
      <c r="AL152" s="12"/>
    </row>
    <row r="153" spans="1:38" x14ac:dyDescent="0.25">
      <c r="A153" s="6">
        <f>ReturnData!A164</f>
        <v>198707</v>
      </c>
      <c r="S153">
        <f t="shared" si="4"/>
        <v>198707</v>
      </c>
      <c r="AK153">
        <f t="shared" si="5"/>
        <v>198707</v>
      </c>
      <c r="AL153" s="12"/>
    </row>
    <row r="154" spans="1:38" x14ac:dyDescent="0.25">
      <c r="A154" s="6">
        <f>ReturnData!A165</f>
        <v>198708</v>
      </c>
      <c r="S154">
        <f t="shared" si="4"/>
        <v>198708</v>
      </c>
      <c r="AK154">
        <f t="shared" si="5"/>
        <v>198708</v>
      </c>
      <c r="AL154" s="12"/>
    </row>
    <row r="155" spans="1:38" x14ac:dyDescent="0.25">
      <c r="A155" s="6">
        <f>ReturnData!A166</f>
        <v>198709</v>
      </c>
      <c r="S155">
        <f t="shared" si="4"/>
        <v>198709</v>
      </c>
      <c r="AK155">
        <f t="shared" si="5"/>
        <v>198709</v>
      </c>
      <c r="AL155" s="12"/>
    </row>
    <row r="156" spans="1:38" x14ac:dyDescent="0.25">
      <c r="A156" s="6">
        <f>ReturnData!A167</f>
        <v>198710</v>
      </c>
      <c r="S156">
        <f t="shared" si="4"/>
        <v>198710</v>
      </c>
      <c r="AK156">
        <f t="shared" si="5"/>
        <v>198710</v>
      </c>
      <c r="AL156" s="12"/>
    </row>
    <row r="157" spans="1:38" x14ac:dyDescent="0.25">
      <c r="A157" s="6">
        <f>ReturnData!A168</f>
        <v>198711</v>
      </c>
      <c r="S157">
        <f t="shared" si="4"/>
        <v>198711</v>
      </c>
      <c r="AK157">
        <f t="shared" si="5"/>
        <v>198711</v>
      </c>
      <c r="AL157" s="12"/>
    </row>
    <row r="158" spans="1:38" x14ac:dyDescent="0.25">
      <c r="A158" s="6">
        <f>ReturnData!A169</f>
        <v>198712</v>
      </c>
      <c r="S158">
        <f t="shared" si="4"/>
        <v>198712</v>
      </c>
      <c r="AK158">
        <f t="shared" si="5"/>
        <v>198712</v>
      </c>
      <c r="AL158" s="12"/>
    </row>
    <row r="159" spans="1:38" x14ac:dyDescent="0.25">
      <c r="A159" s="6">
        <f>ReturnData!A170</f>
        <v>198801</v>
      </c>
      <c r="S159">
        <f t="shared" si="4"/>
        <v>198801</v>
      </c>
      <c r="AK159">
        <f t="shared" si="5"/>
        <v>198801</v>
      </c>
      <c r="AL159" s="12"/>
    </row>
    <row r="160" spans="1:38" x14ac:dyDescent="0.25">
      <c r="A160" s="6">
        <f>ReturnData!A171</f>
        <v>198802</v>
      </c>
      <c r="S160">
        <f t="shared" si="4"/>
        <v>198802</v>
      </c>
      <c r="AK160">
        <f t="shared" si="5"/>
        <v>198802</v>
      </c>
      <c r="AL160" s="12"/>
    </row>
    <row r="161" spans="1:38" x14ac:dyDescent="0.25">
      <c r="A161" s="6">
        <f>ReturnData!A172</f>
        <v>198803</v>
      </c>
      <c r="S161">
        <f t="shared" si="4"/>
        <v>198803</v>
      </c>
      <c r="AK161">
        <f t="shared" si="5"/>
        <v>198803</v>
      </c>
      <c r="AL161" s="12"/>
    </row>
    <row r="162" spans="1:38" x14ac:dyDescent="0.25">
      <c r="A162" s="6">
        <f>ReturnData!A173</f>
        <v>198804</v>
      </c>
      <c r="S162">
        <f t="shared" si="4"/>
        <v>198804</v>
      </c>
      <c r="AK162">
        <f t="shared" si="5"/>
        <v>198804</v>
      </c>
      <c r="AL162" s="12"/>
    </row>
    <row r="163" spans="1:38" x14ac:dyDescent="0.25">
      <c r="A163" s="6">
        <f>ReturnData!A174</f>
        <v>198805</v>
      </c>
      <c r="S163">
        <f t="shared" si="4"/>
        <v>198805</v>
      </c>
      <c r="AK163">
        <f t="shared" si="5"/>
        <v>198805</v>
      </c>
      <c r="AL163" s="12"/>
    </row>
    <row r="164" spans="1:38" x14ac:dyDescent="0.25">
      <c r="A164" s="6">
        <f>ReturnData!A175</f>
        <v>198806</v>
      </c>
      <c r="S164">
        <f t="shared" si="4"/>
        <v>198806</v>
      </c>
      <c r="AK164">
        <f t="shared" si="5"/>
        <v>198806</v>
      </c>
      <c r="AL164" s="12"/>
    </row>
    <row r="165" spans="1:38" x14ac:dyDescent="0.25">
      <c r="A165" s="6">
        <f>ReturnData!A176</f>
        <v>198807</v>
      </c>
      <c r="S165">
        <f t="shared" si="4"/>
        <v>198807</v>
      </c>
      <c r="AK165">
        <f t="shared" si="5"/>
        <v>198807</v>
      </c>
      <c r="AL165" s="12"/>
    </row>
    <row r="166" spans="1:38" x14ac:dyDescent="0.25">
      <c r="A166" s="6">
        <f>ReturnData!A177</f>
        <v>198808</v>
      </c>
      <c r="S166">
        <f t="shared" si="4"/>
        <v>198808</v>
      </c>
      <c r="AK166">
        <f t="shared" si="5"/>
        <v>198808</v>
      </c>
      <c r="AL166" s="12"/>
    </row>
    <row r="167" spans="1:38" x14ac:dyDescent="0.25">
      <c r="A167" s="6">
        <f>ReturnData!A178</f>
        <v>198809</v>
      </c>
      <c r="S167">
        <f t="shared" si="4"/>
        <v>198809</v>
      </c>
      <c r="AK167">
        <f t="shared" si="5"/>
        <v>198809</v>
      </c>
      <c r="AL167" s="12"/>
    </row>
    <row r="168" spans="1:38" x14ac:dyDescent="0.25">
      <c r="A168" s="6">
        <f>ReturnData!A179</f>
        <v>198810</v>
      </c>
      <c r="S168">
        <f t="shared" si="4"/>
        <v>198810</v>
      </c>
      <c r="AK168">
        <f t="shared" si="5"/>
        <v>198810</v>
      </c>
      <c r="AL168" s="12"/>
    </row>
    <row r="169" spans="1:38" x14ac:dyDescent="0.25">
      <c r="A169" s="6">
        <f>ReturnData!A180</f>
        <v>198811</v>
      </c>
      <c r="S169">
        <f t="shared" si="4"/>
        <v>198811</v>
      </c>
      <c r="AK169">
        <f t="shared" si="5"/>
        <v>198811</v>
      </c>
      <c r="AL169" s="12"/>
    </row>
    <row r="170" spans="1:38" x14ac:dyDescent="0.25">
      <c r="A170" s="6">
        <f>ReturnData!A181</f>
        <v>198812</v>
      </c>
      <c r="S170">
        <f t="shared" si="4"/>
        <v>198812</v>
      </c>
      <c r="AK170">
        <f t="shared" si="5"/>
        <v>198812</v>
      </c>
      <c r="AL170" s="12"/>
    </row>
    <row r="171" spans="1:38" x14ac:dyDescent="0.25">
      <c r="A171" s="6">
        <f>ReturnData!A182</f>
        <v>198901</v>
      </c>
      <c r="S171">
        <f t="shared" si="4"/>
        <v>198901</v>
      </c>
      <c r="AK171">
        <f t="shared" si="5"/>
        <v>198901</v>
      </c>
      <c r="AL171" s="12"/>
    </row>
    <row r="172" spans="1:38" x14ac:dyDescent="0.25">
      <c r="A172" s="6">
        <f>ReturnData!A183</f>
        <v>198902</v>
      </c>
      <c r="S172">
        <f t="shared" si="4"/>
        <v>198902</v>
      </c>
      <c r="AK172">
        <f t="shared" si="5"/>
        <v>198902</v>
      </c>
      <c r="AL172" s="12"/>
    </row>
    <row r="173" spans="1:38" x14ac:dyDescent="0.25">
      <c r="A173" s="6">
        <f>ReturnData!A184</f>
        <v>198903</v>
      </c>
      <c r="S173">
        <f t="shared" si="4"/>
        <v>198903</v>
      </c>
      <c r="AK173">
        <f t="shared" si="5"/>
        <v>198903</v>
      </c>
      <c r="AL173" s="12"/>
    </row>
    <row r="174" spans="1:38" x14ac:dyDescent="0.25">
      <c r="A174" s="6">
        <f>ReturnData!A185</f>
        <v>198904</v>
      </c>
      <c r="S174">
        <f t="shared" si="4"/>
        <v>198904</v>
      </c>
      <c r="AK174">
        <f t="shared" si="5"/>
        <v>198904</v>
      </c>
      <c r="AL174" s="12"/>
    </row>
    <row r="175" spans="1:38" x14ac:dyDescent="0.25">
      <c r="A175" s="6">
        <f>ReturnData!A186</f>
        <v>198905</v>
      </c>
      <c r="S175">
        <f t="shared" si="4"/>
        <v>198905</v>
      </c>
      <c r="AK175">
        <f t="shared" si="5"/>
        <v>198905</v>
      </c>
      <c r="AL175" s="12"/>
    </row>
    <row r="176" spans="1:38" x14ac:dyDescent="0.25">
      <c r="A176" s="6">
        <f>ReturnData!A187</f>
        <v>198906</v>
      </c>
      <c r="S176">
        <f t="shared" si="4"/>
        <v>198906</v>
      </c>
      <c r="AK176">
        <f t="shared" si="5"/>
        <v>198906</v>
      </c>
      <c r="AL176" s="12"/>
    </row>
    <row r="177" spans="1:38" x14ac:dyDescent="0.25">
      <c r="A177" s="6">
        <f>ReturnData!A188</f>
        <v>198907</v>
      </c>
      <c r="S177">
        <f t="shared" si="4"/>
        <v>198907</v>
      </c>
      <c r="AK177">
        <f t="shared" si="5"/>
        <v>198907</v>
      </c>
      <c r="AL177" s="12"/>
    </row>
    <row r="178" spans="1:38" x14ac:dyDescent="0.25">
      <c r="A178" s="6">
        <f>ReturnData!A189</f>
        <v>198908</v>
      </c>
      <c r="S178">
        <f t="shared" si="4"/>
        <v>198908</v>
      </c>
      <c r="AK178">
        <f t="shared" si="5"/>
        <v>198908</v>
      </c>
      <c r="AL178" s="12"/>
    </row>
    <row r="179" spans="1:38" x14ac:dyDescent="0.25">
      <c r="A179" s="6">
        <f>ReturnData!A190</f>
        <v>198909</v>
      </c>
      <c r="S179">
        <f t="shared" si="4"/>
        <v>198909</v>
      </c>
      <c r="AK179">
        <f t="shared" si="5"/>
        <v>198909</v>
      </c>
      <c r="AL179" s="12"/>
    </row>
    <row r="180" spans="1:38" x14ac:dyDescent="0.25">
      <c r="A180" s="6">
        <f>ReturnData!A191</f>
        <v>198910</v>
      </c>
      <c r="S180">
        <f t="shared" si="4"/>
        <v>198910</v>
      </c>
      <c r="AK180">
        <f t="shared" si="5"/>
        <v>198910</v>
      </c>
      <c r="AL180" s="12"/>
    </row>
    <row r="181" spans="1:38" x14ac:dyDescent="0.25">
      <c r="A181" s="6">
        <f>ReturnData!A192</f>
        <v>198911</v>
      </c>
      <c r="S181">
        <f t="shared" si="4"/>
        <v>198911</v>
      </c>
      <c r="AK181">
        <f t="shared" si="5"/>
        <v>198911</v>
      </c>
      <c r="AL181" s="12"/>
    </row>
    <row r="182" spans="1:38" x14ac:dyDescent="0.25">
      <c r="A182" s="6">
        <f>ReturnData!A193</f>
        <v>198912</v>
      </c>
      <c r="S182">
        <f t="shared" si="4"/>
        <v>198912</v>
      </c>
      <c r="AK182">
        <f t="shared" si="5"/>
        <v>198912</v>
      </c>
      <c r="AL182" s="12"/>
    </row>
    <row r="183" spans="1:38" x14ac:dyDescent="0.25">
      <c r="A183" s="6">
        <f>ReturnData!A194</f>
        <v>199001</v>
      </c>
      <c r="S183">
        <f t="shared" si="4"/>
        <v>199001</v>
      </c>
      <c r="AK183">
        <f t="shared" si="5"/>
        <v>199001</v>
      </c>
      <c r="AL183" s="12"/>
    </row>
    <row r="184" spans="1:38" x14ac:dyDescent="0.25">
      <c r="A184" s="6">
        <f>ReturnData!A195</f>
        <v>199002</v>
      </c>
      <c r="S184">
        <f t="shared" si="4"/>
        <v>199002</v>
      </c>
      <c r="AK184">
        <f t="shared" si="5"/>
        <v>199002</v>
      </c>
      <c r="AL184" s="12"/>
    </row>
    <row r="185" spans="1:38" x14ac:dyDescent="0.25">
      <c r="A185" s="6">
        <f>ReturnData!A196</f>
        <v>199003</v>
      </c>
      <c r="S185">
        <f t="shared" si="4"/>
        <v>199003</v>
      </c>
      <c r="AK185">
        <f t="shared" si="5"/>
        <v>199003</v>
      </c>
      <c r="AL185" s="12"/>
    </row>
    <row r="186" spans="1:38" x14ac:dyDescent="0.25">
      <c r="A186" s="6">
        <f>ReturnData!A197</f>
        <v>199004</v>
      </c>
      <c r="S186">
        <f t="shared" si="4"/>
        <v>199004</v>
      </c>
      <c r="AK186">
        <f t="shared" si="5"/>
        <v>199004</v>
      </c>
      <c r="AL186" s="12"/>
    </row>
    <row r="187" spans="1:38" x14ac:dyDescent="0.25">
      <c r="A187" s="6">
        <f>ReturnData!A198</f>
        <v>199005</v>
      </c>
      <c r="S187">
        <f t="shared" si="4"/>
        <v>199005</v>
      </c>
      <c r="AK187">
        <f t="shared" si="5"/>
        <v>199005</v>
      </c>
      <c r="AL187" s="12"/>
    </row>
    <row r="188" spans="1:38" x14ac:dyDescent="0.25">
      <c r="A188" s="6">
        <f>ReturnData!A199</f>
        <v>199006</v>
      </c>
      <c r="S188">
        <f t="shared" si="4"/>
        <v>199006</v>
      </c>
      <c r="AK188">
        <f t="shared" si="5"/>
        <v>199006</v>
      </c>
      <c r="AL188" s="12"/>
    </row>
    <row r="189" spans="1:38" x14ac:dyDescent="0.25">
      <c r="A189" s="6">
        <f>ReturnData!A200</f>
        <v>199007</v>
      </c>
      <c r="S189">
        <f t="shared" si="4"/>
        <v>199007</v>
      </c>
      <c r="AK189">
        <f t="shared" si="5"/>
        <v>199007</v>
      </c>
      <c r="AL189" s="12"/>
    </row>
    <row r="190" spans="1:38" x14ac:dyDescent="0.25">
      <c r="A190" s="6">
        <f>ReturnData!A201</f>
        <v>199008</v>
      </c>
      <c r="S190">
        <f t="shared" si="4"/>
        <v>199008</v>
      </c>
      <c r="AK190">
        <f t="shared" si="5"/>
        <v>199008</v>
      </c>
      <c r="AL190" s="12"/>
    </row>
    <row r="191" spans="1:38" x14ac:dyDescent="0.25">
      <c r="A191" s="6">
        <f>ReturnData!A202</f>
        <v>199009</v>
      </c>
      <c r="S191">
        <f t="shared" si="4"/>
        <v>199009</v>
      </c>
      <c r="AK191">
        <f t="shared" si="5"/>
        <v>199009</v>
      </c>
      <c r="AL191" s="12"/>
    </row>
    <row r="192" spans="1:38" x14ac:dyDescent="0.25">
      <c r="A192" s="6">
        <f>ReturnData!A203</f>
        <v>199010</v>
      </c>
      <c r="S192">
        <f t="shared" si="4"/>
        <v>199010</v>
      </c>
      <c r="AK192">
        <f t="shared" si="5"/>
        <v>199010</v>
      </c>
      <c r="AL192" s="12"/>
    </row>
    <row r="193" spans="1:38" x14ac:dyDescent="0.25">
      <c r="A193" s="6">
        <f>ReturnData!A204</f>
        <v>199011</v>
      </c>
      <c r="S193">
        <f t="shared" si="4"/>
        <v>199011</v>
      </c>
      <c r="AK193">
        <f t="shared" si="5"/>
        <v>199011</v>
      </c>
      <c r="AL193" s="12"/>
    </row>
    <row r="194" spans="1:38" x14ac:dyDescent="0.25">
      <c r="A194" s="6">
        <f>ReturnData!A205</f>
        <v>199012</v>
      </c>
      <c r="S194">
        <f t="shared" ref="S194:S257" si="6">A194</f>
        <v>199012</v>
      </c>
      <c r="AK194">
        <f t="shared" ref="AK194:AK257" si="7">S194</f>
        <v>199012</v>
      </c>
      <c r="AL194" s="12"/>
    </row>
    <row r="195" spans="1:38" x14ac:dyDescent="0.25">
      <c r="A195" s="6">
        <f>ReturnData!A206</f>
        <v>199101</v>
      </c>
      <c r="S195">
        <f t="shared" si="6"/>
        <v>199101</v>
      </c>
      <c r="AK195">
        <f t="shared" si="7"/>
        <v>199101</v>
      </c>
      <c r="AL195" s="12"/>
    </row>
    <row r="196" spans="1:38" x14ac:dyDescent="0.25">
      <c r="A196" s="6">
        <f>ReturnData!A207</f>
        <v>199102</v>
      </c>
      <c r="S196">
        <f t="shared" si="6"/>
        <v>199102</v>
      </c>
      <c r="AK196">
        <f t="shared" si="7"/>
        <v>199102</v>
      </c>
      <c r="AL196" s="12"/>
    </row>
    <row r="197" spans="1:38" x14ac:dyDescent="0.25">
      <c r="A197" s="6">
        <f>ReturnData!A208</f>
        <v>199103</v>
      </c>
      <c r="S197">
        <f t="shared" si="6"/>
        <v>199103</v>
      </c>
      <c r="AK197">
        <f t="shared" si="7"/>
        <v>199103</v>
      </c>
      <c r="AL197" s="12"/>
    </row>
    <row r="198" spans="1:38" x14ac:dyDescent="0.25">
      <c r="A198" s="6">
        <f>ReturnData!A209</f>
        <v>199104</v>
      </c>
      <c r="S198">
        <f t="shared" si="6"/>
        <v>199104</v>
      </c>
      <c r="AK198">
        <f t="shared" si="7"/>
        <v>199104</v>
      </c>
      <c r="AL198" s="12"/>
    </row>
    <row r="199" spans="1:38" x14ac:dyDescent="0.25">
      <c r="A199" s="6">
        <f>ReturnData!A210</f>
        <v>199105</v>
      </c>
      <c r="S199">
        <f t="shared" si="6"/>
        <v>199105</v>
      </c>
      <c r="AK199">
        <f t="shared" si="7"/>
        <v>199105</v>
      </c>
      <c r="AL199" s="12"/>
    </row>
    <row r="200" spans="1:38" x14ac:dyDescent="0.25">
      <c r="A200" s="6">
        <f>ReturnData!A211</f>
        <v>199106</v>
      </c>
      <c r="S200">
        <f t="shared" si="6"/>
        <v>199106</v>
      </c>
      <c r="AK200">
        <f t="shared" si="7"/>
        <v>199106</v>
      </c>
      <c r="AL200" s="12"/>
    </row>
    <row r="201" spans="1:38" x14ac:dyDescent="0.25">
      <c r="A201" s="6">
        <f>ReturnData!A212</f>
        <v>199107</v>
      </c>
      <c r="S201">
        <f t="shared" si="6"/>
        <v>199107</v>
      </c>
      <c r="AK201">
        <f t="shared" si="7"/>
        <v>199107</v>
      </c>
      <c r="AL201" s="12"/>
    </row>
    <row r="202" spans="1:38" x14ac:dyDescent="0.25">
      <c r="A202" s="6">
        <f>ReturnData!A213</f>
        <v>199108</v>
      </c>
      <c r="S202">
        <f t="shared" si="6"/>
        <v>199108</v>
      </c>
      <c r="AK202">
        <f t="shared" si="7"/>
        <v>199108</v>
      </c>
      <c r="AL202" s="12"/>
    </row>
    <row r="203" spans="1:38" x14ac:dyDescent="0.25">
      <c r="A203" s="6">
        <f>ReturnData!A214</f>
        <v>199109</v>
      </c>
      <c r="S203">
        <f t="shared" si="6"/>
        <v>199109</v>
      </c>
      <c r="AK203">
        <f t="shared" si="7"/>
        <v>199109</v>
      </c>
      <c r="AL203" s="12"/>
    </row>
    <row r="204" spans="1:38" x14ac:dyDescent="0.25">
      <c r="A204" s="6">
        <f>ReturnData!A215</f>
        <v>199110</v>
      </c>
      <c r="S204">
        <f t="shared" si="6"/>
        <v>199110</v>
      </c>
      <c r="AK204">
        <f t="shared" si="7"/>
        <v>199110</v>
      </c>
      <c r="AL204" s="12"/>
    </row>
    <row r="205" spans="1:38" x14ac:dyDescent="0.25">
      <c r="A205" s="6">
        <f>ReturnData!A216</f>
        <v>199111</v>
      </c>
      <c r="S205">
        <f t="shared" si="6"/>
        <v>199111</v>
      </c>
      <c r="AK205">
        <f t="shared" si="7"/>
        <v>199111</v>
      </c>
      <c r="AL205" s="12"/>
    </row>
    <row r="206" spans="1:38" x14ac:dyDescent="0.25">
      <c r="A206" s="6">
        <f>ReturnData!A217</f>
        <v>199112</v>
      </c>
      <c r="S206">
        <f t="shared" si="6"/>
        <v>199112</v>
      </c>
      <c r="AK206">
        <f t="shared" si="7"/>
        <v>199112</v>
      </c>
      <c r="AL206" s="12"/>
    </row>
    <row r="207" spans="1:38" x14ac:dyDescent="0.25">
      <c r="A207" s="6">
        <f>ReturnData!A218</f>
        <v>199201</v>
      </c>
      <c r="S207">
        <f t="shared" si="6"/>
        <v>199201</v>
      </c>
      <c r="AK207">
        <f t="shared" si="7"/>
        <v>199201</v>
      </c>
      <c r="AL207" s="12"/>
    </row>
    <row r="208" spans="1:38" x14ac:dyDescent="0.25">
      <c r="A208" s="6">
        <f>ReturnData!A219</f>
        <v>199202</v>
      </c>
      <c r="S208">
        <f t="shared" si="6"/>
        <v>199202</v>
      </c>
      <c r="AK208">
        <f t="shared" si="7"/>
        <v>199202</v>
      </c>
      <c r="AL208" s="12"/>
    </row>
    <row r="209" spans="1:38" x14ac:dyDescent="0.25">
      <c r="A209" s="6">
        <f>ReturnData!A220</f>
        <v>199203</v>
      </c>
      <c r="S209">
        <f t="shared" si="6"/>
        <v>199203</v>
      </c>
      <c r="AK209">
        <f t="shared" si="7"/>
        <v>199203</v>
      </c>
      <c r="AL209" s="12"/>
    </row>
    <row r="210" spans="1:38" x14ac:dyDescent="0.25">
      <c r="A210" s="6">
        <f>ReturnData!A221</f>
        <v>199204</v>
      </c>
      <c r="S210">
        <f t="shared" si="6"/>
        <v>199204</v>
      </c>
      <c r="AK210">
        <f t="shared" si="7"/>
        <v>199204</v>
      </c>
      <c r="AL210" s="12"/>
    </row>
    <row r="211" spans="1:38" x14ac:dyDescent="0.25">
      <c r="A211" s="6">
        <f>ReturnData!A222</f>
        <v>199205</v>
      </c>
      <c r="S211">
        <f t="shared" si="6"/>
        <v>199205</v>
      </c>
      <c r="AK211">
        <f t="shared" si="7"/>
        <v>199205</v>
      </c>
      <c r="AL211" s="12"/>
    </row>
    <row r="212" spans="1:38" x14ac:dyDescent="0.25">
      <c r="A212" s="6">
        <f>ReturnData!A223</f>
        <v>199206</v>
      </c>
      <c r="S212">
        <f t="shared" si="6"/>
        <v>199206</v>
      </c>
      <c r="AK212">
        <f t="shared" si="7"/>
        <v>199206</v>
      </c>
      <c r="AL212" s="12"/>
    </row>
    <row r="213" spans="1:38" x14ac:dyDescent="0.25">
      <c r="A213" s="6">
        <f>ReturnData!A224</f>
        <v>199207</v>
      </c>
      <c r="S213">
        <f t="shared" si="6"/>
        <v>199207</v>
      </c>
      <c r="AK213">
        <f t="shared" si="7"/>
        <v>199207</v>
      </c>
      <c r="AL213" s="12"/>
    </row>
    <row r="214" spans="1:38" x14ac:dyDescent="0.25">
      <c r="A214" s="6">
        <f>ReturnData!A225</f>
        <v>199208</v>
      </c>
      <c r="S214">
        <f t="shared" si="6"/>
        <v>199208</v>
      </c>
      <c r="AK214">
        <f t="shared" si="7"/>
        <v>199208</v>
      </c>
      <c r="AL214" s="12"/>
    </row>
    <row r="215" spans="1:38" x14ac:dyDescent="0.25">
      <c r="A215" s="6">
        <f>ReturnData!A226</f>
        <v>199209</v>
      </c>
      <c r="S215">
        <f t="shared" si="6"/>
        <v>199209</v>
      </c>
      <c r="AK215">
        <f t="shared" si="7"/>
        <v>199209</v>
      </c>
      <c r="AL215" s="12"/>
    </row>
    <row r="216" spans="1:38" x14ac:dyDescent="0.25">
      <c r="A216" s="6">
        <f>ReturnData!A227</f>
        <v>199210</v>
      </c>
      <c r="S216">
        <f t="shared" si="6"/>
        <v>199210</v>
      </c>
      <c r="AK216">
        <f t="shared" si="7"/>
        <v>199210</v>
      </c>
      <c r="AL216" s="12"/>
    </row>
    <row r="217" spans="1:38" x14ac:dyDescent="0.25">
      <c r="A217" s="6">
        <f>ReturnData!A228</f>
        <v>199211</v>
      </c>
      <c r="S217">
        <f t="shared" si="6"/>
        <v>199211</v>
      </c>
      <c r="AK217">
        <f t="shared" si="7"/>
        <v>199211</v>
      </c>
      <c r="AL217" s="12"/>
    </row>
    <row r="218" spans="1:38" x14ac:dyDescent="0.25">
      <c r="A218" s="6">
        <f>ReturnData!A229</f>
        <v>199212</v>
      </c>
      <c r="S218">
        <f t="shared" si="6"/>
        <v>199212</v>
      </c>
      <c r="AK218">
        <f t="shared" si="7"/>
        <v>199212</v>
      </c>
      <c r="AL218" s="12"/>
    </row>
    <row r="219" spans="1:38" x14ac:dyDescent="0.25">
      <c r="A219" s="6">
        <f>ReturnData!A230</f>
        <v>199301</v>
      </c>
      <c r="S219">
        <f t="shared" si="6"/>
        <v>199301</v>
      </c>
      <c r="AK219">
        <f t="shared" si="7"/>
        <v>199301</v>
      </c>
      <c r="AL219" s="12"/>
    </row>
    <row r="220" spans="1:38" x14ac:dyDescent="0.25">
      <c r="A220" s="6">
        <f>ReturnData!A231</f>
        <v>199302</v>
      </c>
      <c r="S220">
        <f t="shared" si="6"/>
        <v>199302</v>
      </c>
      <c r="AK220">
        <f t="shared" si="7"/>
        <v>199302</v>
      </c>
      <c r="AL220" s="12"/>
    </row>
    <row r="221" spans="1:38" x14ac:dyDescent="0.25">
      <c r="A221" s="6">
        <f>ReturnData!A232</f>
        <v>199303</v>
      </c>
      <c r="S221">
        <f t="shared" si="6"/>
        <v>199303</v>
      </c>
      <c r="AK221">
        <f t="shared" si="7"/>
        <v>199303</v>
      </c>
      <c r="AL221" s="12"/>
    </row>
    <row r="222" spans="1:38" x14ac:dyDescent="0.25">
      <c r="A222" s="6">
        <f>ReturnData!A233</f>
        <v>199304</v>
      </c>
      <c r="S222">
        <f t="shared" si="6"/>
        <v>199304</v>
      </c>
      <c r="AK222">
        <f t="shared" si="7"/>
        <v>199304</v>
      </c>
      <c r="AL222" s="12"/>
    </row>
    <row r="223" spans="1:38" x14ac:dyDescent="0.25">
      <c r="A223" s="6">
        <f>ReturnData!A234</f>
        <v>199305</v>
      </c>
      <c r="S223">
        <f t="shared" si="6"/>
        <v>199305</v>
      </c>
      <c r="AK223">
        <f t="shared" si="7"/>
        <v>199305</v>
      </c>
      <c r="AL223" s="12"/>
    </row>
    <row r="224" spans="1:38" x14ac:dyDescent="0.25">
      <c r="A224" s="6">
        <f>ReturnData!A235</f>
        <v>199306</v>
      </c>
      <c r="S224">
        <f t="shared" si="6"/>
        <v>199306</v>
      </c>
      <c r="AK224">
        <f t="shared" si="7"/>
        <v>199306</v>
      </c>
      <c r="AL224" s="12"/>
    </row>
    <row r="225" spans="1:38" x14ac:dyDescent="0.25">
      <c r="A225" s="6">
        <f>ReturnData!A236</f>
        <v>199307</v>
      </c>
      <c r="S225">
        <f t="shared" si="6"/>
        <v>199307</v>
      </c>
      <c r="AK225">
        <f t="shared" si="7"/>
        <v>199307</v>
      </c>
      <c r="AL225" s="12"/>
    </row>
    <row r="226" spans="1:38" x14ac:dyDescent="0.25">
      <c r="A226" s="6">
        <f>ReturnData!A237</f>
        <v>199308</v>
      </c>
      <c r="S226">
        <f t="shared" si="6"/>
        <v>199308</v>
      </c>
      <c r="AK226">
        <f t="shared" si="7"/>
        <v>199308</v>
      </c>
      <c r="AL226" s="12"/>
    </row>
    <row r="227" spans="1:38" x14ac:dyDescent="0.25">
      <c r="A227" s="6">
        <f>ReturnData!A238</f>
        <v>199309</v>
      </c>
      <c r="S227">
        <f t="shared" si="6"/>
        <v>199309</v>
      </c>
      <c r="AK227">
        <f t="shared" si="7"/>
        <v>199309</v>
      </c>
      <c r="AL227" s="12"/>
    </row>
    <row r="228" spans="1:38" x14ac:dyDescent="0.25">
      <c r="A228" s="6">
        <f>ReturnData!A239</f>
        <v>199310</v>
      </c>
      <c r="S228">
        <f t="shared" si="6"/>
        <v>199310</v>
      </c>
      <c r="AK228">
        <f t="shared" si="7"/>
        <v>199310</v>
      </c>
      <c r="AL228" s="12"/>
    </row>
    <row r="229" spans="1:38" x14ac:dyDescent="0.25">
      <c r="A229" s="6">
        <f>ReturnData!A240</f>
        <v>199311</v>
      </c>
      <c r="S229">
        <f t="shared" si="6"/>
        <v>199311</v>
      </c>
      <c r="AK229">
        <f t="shared" si="7"/>
        <v>199311</v>
      </c>
      <c r="AL229" s="12"/>
    </row>
    <row r="230" spans="1:38" x14ac:dyDescent="0.25">
      <c r="A230" s="6">
        <f>ReturnData!A241</f>
        <v>199312</v>
      </c>
      <c r="S230">
        <f t="shared" si="6"/>
        <v>199312</v>
      </c>
      <c r="AK230">
        <f t="shared" si="7"/>
        <v>199312</v>
      </c>
      <c r="AL230" s="12"/>
    </row>
    <row r="231" spans="1:38" x14ac:dyDescent="0.25">
      <c r="A231" s="6">
        <f>ReturnData!A242</f>
        <v>199401</v>
      </c>
      <c r="S231">
        <f t="shared" si="6"/>
        <v>199401</v>
      </c>
      <c r="AK231">
        <f t="shared" si="7"/>
        <v>199401</v>
      </c>
      <c r="AL231" s="12"/>
    </row>
    <row r="232" spans="1:38" x14ac:dyDescent="0.25">
      <c r="A232" s="6">
        <f>ReturnData!A243</f>
        <v>199402</v>
      </c>
      <c r="S232">
        <f t="shared" si="6"/>
        <v>199402</v>
      </c>
      <c r="AK232">
        <f t="shared" si="7"/>
        <v>199402</v>
      </c>
      <c r="AL232" s="12"/>
    </row>
    <row r="233" spans="1:38" x14ac:dyDescent="0.25">
      <c r="A233" s="6">
        <f>ReturnData!A244</f>
        <v>199403</v>
      </c>
      <c r="S233">
        <f t="shared" si="6"/>
        <v>199403</v>
      </c>
      <c r="AK233">
        <f t="shared" si="7"/>
        <v>199403</v>
      </c>
      <c r="AL233" s="12"/>
    </row>
    <row r="234" spans="1:38" x14ac:dyDescent="0.25">
      <c r="A234" s="6">
        <f>ReturnData!A245</f>
        <v>199404</v>
      </c>
      <c r="S234">
        <f t="shared" si="6"/>
        <v>199404</v>
      </c>
      <c r="AK234">
        <f t="shared" si="7"/>
        <v>199404</v>
      </c>
      <c r="AL234" s="12"/>
    </row>
    <row r="235" spans="1:38" x14ac:dyDescent="0.25">
      <c r="A235" s="6">
        <f>ReturnData!A246</f>
        <v>199405</v>
      </c>
      <c r="S235">
        <f t="shared" si="6"/>
        <v>199405</v>
      </c>
      <c r="AK235">
        <f t="shared" si="7"/>
        <v>199405</v>
      </c>
      <c r="AL235" s="12"/>
    </row>
    <row r="236" spans="1:38" x14ac:dyDescent="0.25">
      <c r="A236" s="6">
        <f>ReturnData!A247</f>
        <v>199406</v>
      </c>
      <c r="S236">
        <f t="shared" si="6"/>
        <v>199406</v>
      </c>
      <c r="AK236">
        <f t="shared" si="7"/>
        <v>199406</v>
      </c>
      <c r="AL236" s="12"/>
    </row>
    <row r="237" spans="1:38" x14ac:dyDescent="0.25">
      <c r="A237" s="6">
        <f>ReturnData!A248</f>
        <v>199407</v>
      </c>
      <c r="S237">
        <f t="shared" si="6"/>
        <v>199407</v>
      </c>
      <c r="AK237">
        <f t="shared" si="7"/>
        <v>199407</v>
      </c>
      <c r="AL237" s="12"/>
    </row>
    <row r="238" spans="1:38" x14ac:dyDescent="0.25">
      <c r="A238" s="6">
        <f>ReturnData!A249</f>
        <v>199408</v>
      </c>
      <c r="S238">
        <f t="shared" si="6"/>
        <v>199408</v>
      </c>
      <c r="AK238">
        <f t="shared" si="7"/>
        <v>199408</v>
      </c>
      <c r="AL238" s="12"/>
    </row>
    <row r="239" spans="1:38" x14ac:dyDescent="0.25">
      <c r="A239" s="6">
        <f>ReturnData!A250</f>
        <v>199409</v>
      </c>
      <c r="S239">
        <f t="shared" si="6"/>
        <v>199409</v>
      </c>
      <c r="AK239">
        <f t="shared" si="7"/>
        <v>199409</v>
      </c>
      <c r="AL239" s="12"/>
    </row>
    <row r="240" spans="1:38" x14ac:dyDescent="0.25">
      <c r="A240" s="6">
        <f>ReturnData!A251</f>
        <v>199410</v>
      </c>
      <c r="S240">
        <f t="shared" si="6"/>
        <v>199410</v>
      </c>
      <c r="AK240">
        <f t="shared" si="7"/>
        <v>199410</v>
      </c>
      <c r="AL240" s="12"/>
    </row>
    <row r="241" spans="1:38" x14ac:dyDescent="0.25">
      <c r="A241" s="6">
        <f>ReturnData!A252</f>
        <v>199411</v>
      </c>
      <c r="S241">
        <f t="shared" si="6"/>
        <v>199411</v>
      </c>
      <c r="AK241">
        <f t="shared" si="7"/>
        <v>199411</v>
      </c>
      <c r="AL241" s="12"/>
    </row>
    <row r="242" spans="1:38" x14ac:dyDescent="0.25">
      <c r="A242" s="6">
        <f>ReturnData!A253</f>
        <v>199412</v>
      </c>
      <c r="S242">
        <f t="shared" si="6"/>
        <v>199412</v>
      </c>
      <c r="AK242">
        <f t="shared" si="7"/>
        <v>199412</v>
      </c>
      <c r="AL242" s="12"/>
    </row>
    <row r="243" spans="1:38" x14ac:dyDescent="0.25">
      <c r="A243" s="6">
        <f>ReturnData!A254</f>
        <v>199501</v>
      </c>
      <c r="S243">
        <f t="shared" si="6"/>
        <v>199501</v>
      </c>
      <c r="AK243">
        <f t="shared" si="7"/>
        <v>199501</v>
      </c>
      <c r="AL243" s="12"/>
    </row>
    <row r="244" spans="1:38" x14ac:dyDescent="0.25">
      <c r="A244" s="6">
        <f>ReturnData!A255</f>
        <v>199502</v>
      </c>
      <c r="S244">
        <f t="shared" si="6"/>
        <v>199502</v>
      </c>
      <c r="AK244">
        <f t="shared" si="7"/>
        <v>199502</v>
      </c>
      <c r="AL244" s="12"/>
    </row>
    <row r="245" spans="1:38" x14ac:dyDescent="0.25">
      <c r="A245" s="6">
        <f>ReturnData!A256</f>
        <v>199503</v>
      </c>
      <c r="S245">
        <f t="shared" si="6"/>
        <v>199503</v>
      </c>
      <c r="AK245">
        <f t="shared" si="7"/>
        <v>199503</v>
      </c>
      <c r="AL245" s="12"/>
    </row>
    <row r="246" spans="1:38" x14ac:dyDescent="0.25">
      <c r="A246" s="6">
        <f>ReturnData!A257</f>
        <v>199504</v>
      </c>
      <c r="S246">
        <f t="shared" si="6"/>
        <v>199504</v>
      </c>
      <c r="AK246">
        <f t="shared" si="7"/>
        <v>199504</v>
      </c>
      <c r="AL246" s="12"/>
    </row>
    <row r="247" spans="1:38" x14ac:dyDescent="0.25">
      <c r="A247" s="6">
        <f>ReturnData!A258</f>
        <v>199505</v>
      </c>
      <c r="S247">
        <f t="shared" si="6"/>
        <v>199505</v>
      </c>
      <c r="AK247">
        <f t="shared" si="7"/>
        <v>199505</v>
      </c>
      <c r="AL247" s="12"/>
    </row>
    <row r="248" spans="1:38" x14ac:dyDescent="0.25">
      <c r="A248" s="6">
        <f>ReturnData!A259</f>
        <v>199506</v>
      </c>
      <c r="S248">
        <f t="shared" si="6"/>
        <v>199506</v>
      </c>
      <c r="AK248">
        <f t="shared" si="7"/>
        <v>199506</v>
      </c>
      <c r="AL248" s="12"/>
    </row>
    <row r="249" spans="1:38" x14ac:dyDescent="0.25">
      <c r="A249" s="6">
        <f>ReturnData!A260</f>
        <v>199507</v>
      </c>
      <c r="S249">
        <f t="shared" si="6"/>
        <v>199507</v>
      </c>
      <c r="AK249">
        <f t="shared" si="7"/>
        <v>199507</v>
      </c>
      <c r="AL249" s="12"/>
    </row>
    <row r="250" spans="1:38" x14ac:dyDescent="0.25">
      <c r="A250" s="6">
        <f>ReturnData!A261</f>
        <v>199508</v>
      </c>
      <c r="S250">
        <f t="shared" si="6"/>
        <v>199508</v>
      </c>
      <c r="AK250">
        <f t="shared" si="7"/>
        <v>199508</v>
      </c>
      <c r="AL250" s="12"/>
    </row>
    <row r="251" spans="1:38" x14ac:dyDescent="0.25">
      <c r="A251" s="6">
        <f>ReturnData!A262</f>
        <v>199509</v>
      </c>
      <c r="S251">
        <f t="shared" si="6"/>
        <v>199509</v>
      </c>
      <c r="AK251">
        <f t="shared" si="7"/>
        <v>199509</v>
      </c>
      <c r="AL251" s="12"/>
    </row>
    <row r="252" spans="1:38" x14ac:dyDescent="0.25">
      <c r="A252" s="6">
        <f>ReturnData!A263</f>
        <v>199510</v>
      </c>
      <c r="S252">
        <f t="shared" si="6"/>
        <v>199510</v>
      </c>
      <c r="AK252">
        <f t="shared" si="7"/>
        <v>199510</v>
      </c>
      <c r="AL252" s="12"/>
    </row>
    <row r="253" spans="1:38" x14ac:dyDescent="0.25">
      <c r="A253" s="6">
        <f>ReturnData!A264</f>
        <v>199511</v>
      </c>
      <c r="S253">
        <f t="shared" si="6"/>
        <v>199511</v>
      </c>
      <c r="AK253">
        <f t="shared" si="7"/>
        <v>199511</v>
      </c>
      <c r="AL253" s="12"/>
    </row>
    <row r="254" spans="1:38" x14ac:dyDescent="0.25">
      <c r="A254" s="6">
        <f>ReturnData!A265</f>
        <v>199512</v>
      </c>
      <c r="S254">
        <f t="shared" si="6"/>
        <v>199512</v>
      </c>
      <c r="AK254">
        <f t="shared" si="7"/>
        <v>199512</v>
      </c>
      <c r="AL254" s="12"/>
    </row>
    <row r="255" spans="1:38" x14ac:dyDescent="0.25">
      <c r="A255" s="6">
        <f>ReturnData!A266</f>
        <v>199601</v>
      </c>
      <c r="S255">
        <f t="shared" si="6"/>
        <v>199601</v>
      </c>
      <c r="AK255">
        <f t="shared" si="7"/>
        <v>199601</v>
      </c>
      <c r="AL255" s="12"/>
    </row>
    <row r="256" spans="1:38" x14ac:dyDescent="0.25">
      <c r="A256" s="6">
        <f>ReturnData!A267</f>
        <v>199602</v>
      </c>
      <c r="S256">
        <f t="shared" si="6"/>
        <v>199602</v>
      </c>
      <c r="AK256">
        <f t="shared" si="7"/>
        <v>199602</v>
      </c>
      <c r="AL256" s="12"/>
    </row>
    <row r="257" spans="1:38" x14ac:dyDescent="0.25">
      <c r="A257" s="6">
        <f>ReturnData!A268</f>
        <v>199603</v>
      </c>
      <c r="S257">
        <f t="shared" si="6"/>
        <v>199603</v>
      </c>
      <c r="AK257">
        <f t="shared" si="7"/>
        <v>199603</v>
      </c>
      <c r="AL257" s="12"/>
    </row>
    <row r="258" spans="1:38" x14ac:dyDescent="0.25">
      <c r="A258" s="6">
        <f>ReturnData!A269</f>
        <v>199604</v>
      </c>
      <c r="S258">
        <f t="shared" ref="S258:S321" si="8">A258</f>
        <v>199604</v>
      </c>
      <c r="AK258">
        <f t="shared" ref="AK258:AK266" si="9">S258</f>
        <v>199604</v>
      </c>
      <c r="AL258" s="12"/>
    </row>
    <row r="259" spans="1:38" x14ac:dyDescent="0.25">
      <c r="A259" s="6">
        <f>ReturnData!A270</f>
        <v>199605</v>
      </c>
      <c r="S259">
        <f t="shared" si="8"/>
        <v>199605</v>
      </c>
      <c r="AK259">
        <f t="shared" si="9"/>
        <v>199605</v>
      </c>
      <c r="AL259" s="12"/>
    </row>
    <row r="260" spans="1:38" x14ac:dyDescent="0.25">
      <c r="A260" s="6">
        <f>ReturnData!A271</f>
        <v>199606</v>
      </c>
      <c r="S260">
        <f t="shared" si="8"/>
        <v>199606</v>
      </c>
      <c r="AK260">
        <f t="shared" si="9"/>
        <v>199606</v>
      </c>
      <c r="AL260" s="12"/>
    </row>
    <row r="261" spans="1:38" x14ac:dyDescent="0.25">
      <c r="A261" s="6">
        <f>ReturnData!A272</f>
        <v>199607</v>
      </c>
      <c r="S261">
        <f t="shared" si="8"/>
        <v>199607</v>
      </c>
      <c r="AK261">
        <f t="shared" si="9"/>
        <v>199607</v>
      </c>
      <c r="AL261" s="12"/>
    </row>
    <row r="262" spans="1:38" x14ac:dyDescent="0.25">
      <c r="A262" s="6">
        <f>ReturnData!A273</f>
        <v>199608</v>
      </c>
      <c r="S262">
        <f t="shared" si="8"/>
        <v>199608</v>
      </c>
      <c r="AK262">
        <f t="shared" si="9"/>
        <v>199608</v>
      </c>
      <c r="AL262" s="12"/>
    </row>
    <row r="263" spans="1:38" x14ac:dyDescent="0.25">
      <c r="A263" s="6">
        <f>ReturnData!A274</f>
        <v>199609</v>
      </c>
      <c r="S263">
        <f t="shared" si="8"/>
        <v>199609</v>
      </c>
      <c r="AK263">
        <f t="shared" si="9"/>
        <v>199609</v>
      </c>
      <c r="AL263" s="12"/>
    </row>
    <row r="264" spans="1:38" x14ac:dyDescent="0.25">
      <c r="A264" s="6">
        <f>ReturnData!A275</f>
        <v>199610</v>
      </c>
      <c r="S264">
        <f t="shared" si="8"/>
        <v>199610</v>
      </c>
      <c r="AK264">
        <f t="shared" si="9"/>
        <v>199610</v>
      </c>
      <c r="AL264" s="12"/>
    </row>
    <row r="265" spans="1:38" x14ac:dyDescent="0.25">
      <c r="A265" s="6">
        <f>ReturnData!A276</f>
        <v>199611</v>
      </c>
      <c r="S265">
        <f t="shared" si="8"/>
        <v>199611</v>
      </c>
      <c r="AK265">
        <f t="shared" si="9"/>
        <v>199611</v>
      </c>
      <c r="AL265" s="12"/>
    </row>
    <row r="266" spans="1:38" x14ac:dyDescent="0.25">
      <c r="A266" s="6">
        <f>ReturnData!A277</f>
        <v>199612</v>
      </c>
      <c r="S266">
        <f t="shared" si="8"/>
        <v>199612</v>
      </c>
      <c r="AK266">
        <f t="shared" si="9"/>
        <v>199612</v>
      </c>
      <c r="AL266" s="12"/>
    </row>
    <row r="267" spans="1:38" x14ac:dyDescent="0.25">
      <c r="A267" s="6">
        <f>ReturnData!A278</f>
        <v>199701</v>
      </c>
      <c r="S267">
        <f t="shared" si="8"/>
        <v>199701</v>
      </c>
      <c r="AK267">
        <f t="shared" ref="AK267:AK278" si="10">S267</f>
        <v>199701</v>
      </c>
      <c r="AL267" s="12"/>
    </row>
    <row r="268" spans="1:38" x14ac:dyDescent="0.25">
      <c r="A268" s="6">
        <f>ReturnData!A279</f>
        <v>199702</v>
      </c>
      <c r="S268">
        <f t="shared" si="8"/>
        <v>199702</v>
      </c>
      <c r="AK268">
        <f t="shared" si="10"/>
        <v>199702</v>
      </c>
      <c r="AL268" s="12"/>
    </row>
    <row r="269" spans="1:38" x14ac:dyDescent="0.25">
      <c r="A269" s="6">
        <f>ReturnData!A280</f>
        <v>199703</v>
      </c>
      <c r="S269">
        <f t="shared" si="8"/>
        <v>199703</v>
      </c>
      <c r="AK269">
        <f t="shared" si="10"/>
        <v>199703</v>
      </c>
      <c r="AL269" s="12"/>
    </row>
    <row r="270" spans="1:38" x14ac:dyDescent="0.25">
      <c r="A270" s="6">
        <f>ReturnData!A281</f>
        <v>199704</v>
      </c>
      <c r="S270">
        <f t="shared" si="8"/>
        <v>199704</v>
      </c>
      <c r="AK270">
        <f t="shared" si="10"/>
        <v>199704</v>
      </c>
      <c r="AL270" s="12"/>
    </row>
    <row r="271" spans="1:38" x14ac:dyDescent="0.25">
      <c r="A271" s="6">
        <f>ReturnData!A282</f>
        <v>199705</v>
      </c>
      <c r="S271">
        <f t="shared" si="8"/>
        <v>199705</v>
      </c>
      <c r="AK271">
        <f t="shared" si="10"/>
        <v>199705</v>
      </c>
      <c r="AL271" s="12"/>
    </row>
    <row r="272" spans="1:38" x14ac:dyDescent="0.25">
      <c r="A272" s="6">
        <f>ReturnData!A283</f>
        <v>199706</v>
      </c>
      <c r="S272">
        <f t="shared" si="8"/>
        <v>199706</v>
      </c>
      <c r="AK272">
        <f t="shared" si="10"/>
        <v>199706</v>
      </c>
      <c r="AL272" s="12"/>
    </row>
    <row r="273" spans="1:38" x14ac:dyDescent="0.25">
      <c r="A273" s="6">
        <f>ReturnData!A284</f>
        <v>199707</v>
      </c>
      <c r="S273">
        <f t="shared" si="8"/>
        <v>199707</v>
      </c>
      <c r="AK273">
        <f t="shared" si="10"/>
        <v>199707</v>
      </c>
      <c r="AL273" s="12"/>
    </row>
    <row r="274" spans="1:38" x14ac:dyDescent="0.25">
      <c r="A274" s="6">
        <f>ReturnData!A285</f>
        <v>199708</v>
      </c>
      <c r="S274">
        <f t="shared" si="8"/>
        <v>199708</v>
      </c>
      <c r="AK274">
        <f t="shared" si="10"/>
        <v>199708</v>
      </c>
      <c r="AL274" s="12"/>
    </row>
    <row r="275" spans="1:38" x14ac:dyDescent="0.25">
      <c r="A275" s="6">
        <f>ReturnData!A286</f>
        <v>199709</v>
      </c>
      <c r="S275">
        <f t="shared" si="8"/>
        <v>199709</v>
      </c>
      <c r="AK275">
        <f t="shared" si="10"/>
        <v>199709</v>
      </c>
      <c r="AL275" s="12"/>
    </row>
    <row r="276" spans="1:38" x14ac:dyDescent="0.25">
      <c r="A276" s="6">
        <f>ReturnData!A287</f>
        <v>199710</v>
      </c>
      <c r="S276">
        <f t="shared" si="8"/>
        <v>199710</v>
      </c>
      <c r="AK276">
        <f t="shared" si="10"/>
        <v>199710</v>
      </c>
      <c r="AL276" s="12"/>
    </row>
    <row r="277" spans="1:38" x14ac:dyDescent="0.25">
      <c r="A277" s="6">
        <f>ReturnData!A288</f>
        <v>199711</v>
      </c>
      <c r="S277">
        <f t="shared" si="8"/>
        <v>199711</v>
      </c>
      <c r="AK277">
        <f t="shared" si="10"/>
        <v>199711</v>
      </c>
      <c r="AL277" s="12"/>
    </row>
    <row r="278" spans="1:38" x14ac:dyDescent="0.25">
      <c r="A278" s="6">
        <f>ReturnData!A289</f>
        <v>199712</v>
      </c>
      <c r="S278">
        <f t="shared" si="8"/>
        <v>199712</v>
      </c>
      <c r="AK278">
        <f t="shared" si="10"/>
        <v>199712</v>
      </c>
      <c r="AL278" s="12"/>
    </row>
    <row r="279" spans="1:38" x14ac:dyDescent="0.25">
      <c r="A279" s="6">
        <f>ReturnData!A290</f>
        <v>199801</v>
      </c>
      <c r="S279">
        <f t="shared" si="8"/>
        <v>199801</v>
      </c>
      <c r="AK279">
        <f t="shared" ref="AK279:AK342" si="11">S279</f>
        <v>199801</v>
      </c>
      <c r="AL279" s="12"/>
    </row>
    <row r="280" spans="1:38" x14ac:dyDescent="0.25">
      <c r="A280" s="6">
        <f>ReturnData!A291</f>
        <v>199802</v>
      </c>
      <c r="S280">
        <f t="shared" si="8"/>
        <v>199802</v>
      </c>
      <c r="AK280">
        <f t="shared" si="11"/>
        <v>199802</v>
      </c>
      <c r="AL280" s="12"/>
    </row>
    <row r="281" spans="1:38" x14ac:dyDescent="0.25">
      <c r="A281" s="6">
        <f>ReturnData!A292</f>
        <v>199803</v>
      </c>
      <c r="S281">
        <f t="shared" si="8"/>
        <v>199803</v>
      </c>
      <c r="AK281">
        <f t="shared" si="11"/>
        <v>199803</v>
      </c>
      <c r="AL281" s="12"/>
    </row>
    <row r="282" spans="1:38" x14ac:dyDescent="0.25">
      <c r="A282" s="6">
        <f>ReturnData!A293</f>
        <v>199804</v>
      </c>
      <c r="S282">
        <f t="shared" si="8"/>
        <v>199804</v>
      </c>
      <c r="AK282">
        <f t="shared" si="11"/>
        <v>199804</v>
      </c>
      <c r="AL282" s="12"/>
    </row>
    <row r="283" spans="1:38" x14ac:dyDescent="0.25">
      <c r="A283" s="6">
        <f>ReturnData!A294</f>
        <v>199805</v>
      </c>
      <c r="S283">
        <f t="shared" si="8"/>
        <v>199805</v>
      </c>
      <c r="AK283">
        <f t="shared" si="11"/>
        <v>199805</v>
      </c>
      <c r="AL283" s="12"/>
    </row>
    <row r="284" spans="1:38" x14ac:dyDescent="0.25">
      <c r="A284" s="6">
        <f>ReturnData!A295</f>
        <v>199806</v>
      </c>
      <c r="S284">
        <f t="shared" si="8"/>
        <v>199806</v>
      </c>
      <c r="AK284">
        <f t="shared" si="11"/>
        <v>199806</v>
      </c>
      <c r="AL284" s="12"/>
    </row>
    <row r="285" spans="1:38" x14ac:dyDescent="0.25">
      <c r="A285" s="6">
        <f>ReturnData!A296</f>
        <v>199807</v>
      </c>
      <c r="S285">
        <f t="shared" si="8"/>
        <v>199807</v>
      </c>
      <c r="AK285">
        <f t="shared" si="11"/>
        <v>199807</v>
      </c>
      <c r="AL285" s="12"/>
    </row>
    <row r="286" spans="1:38" x14ac:dyDescent="0.25">
      <c r="A286" s="6">
        <f>ReturnData!A297</f>
        <v>199808</v>
      </c>
      <c r="S286">
        <f t="shared" si="8"/>
        <v>199808</v>
      </c>
      <c r="AK286">
        <f t="shared" si="11"/>
        <v>199808</v>
      </c>
      <c r="AL286" s="12"/>
    </row>
    <row r="287" spans="1:38" x14ac:dyDescent="0.25">
      <c r="A287" s="6">
        <f>ReturnData!A298</f>
        <v>199809</v>
      </c>
      <c r="S287">
        <f t="shared" si="8"/>
        <v>199809</v>
      </c>
      <c r="AK287">
        <f t="shared" si="11"/>
        <v>199809</v>
      </c>
      <c r="AL287" s="12"/>
    </row>
    <row r="288" spans="1:38" x14ac:dyDescent="0.25">
      <c r="A288" s="6">
        <f>ReturnData!A299</f>
        <v>199810</v>
      </c>
      <c r="S288">
        <f t="shared" si="8"/>
        <v>199810</v>
      </c>
      <c r="AK288">
        <f t="shared" si="11"/>
        <v>199810</v>
      </c>
      <c r="AL288" s="12"/>
    </row>
    <row r="289" spans="1:38" x14ac:dyDescent="0.25">
      <c r="A289" s="6">
        <f>ReturnData!A300</f>
        <v>199811</v>
      </c>
      <c r="S289">
        <f t="shared" si="8"/>
        <v>199811</v>
      </c>
      <c r="AK289">
        <f t="shared" si="11"/>
        <v>199811</v>
      </c>
      <c r="AL289" s="12"/>
    </row>
    <row r="290" spans="1:38" x14ac:dyDescent="0.25">
      <c r="A290" s="6">
        <f>ReturnData!A301</f>
        <v>199812</v>
      </c>
      <c r="S290">
        <f t="shared" si="8"/>
        <v>199812</v>
      </c>
      <c r="AK290">
        <f t="shared" si="11"/>
        <v>199812</v>
      </c>
      <c r="AL290" s="12"/>
    </row>
    <row r="291" spans="1:38" x14ac:dyDescent="0.25">
      <c r="A291" s="6">
        <f>ReturnData!A302</f>
        <v>199901</v>
      </c>
      <c r="S291">
        <f t="shared" si="8"/>
        <v>199901</v>
      </c>
      <c r="AK291">
        <f t="shared" si="11"/>
        <v>199901</v>
      </c>
      <c r="AL291" s="12"/>
    </row>
    <row r="292" spans="1:38" x14ac:dyDescent="0.25">
      <c r="A292" s="6">
        <f>ReturnData!A303</f>
        <v>199902</v>
      </c>
      <c r="S292">
        <f t="shared" si="8"/>
        <v>199902</v>
      </c>
      <c r="AK292">
        <f t="shared" si="11"/>
        <v>199902</v>
      </c>
      <c r="AL292" s="12"/>
    </row>
    <row r="293" spans="1:38" x14ac:dyDescent="0.25">
      <c r="A293" s="6">
        <f>ReturnData!A304</f>
        <v>199903</v>
      </c>
      <c r="S293">
        <f t="shared" si="8"/>
        <v>199903</v>
      </c>
      <c r="AK293">
        <f t="shared" si="11"/>
        <v>199903</v>
      </c>
      <c r="AL293" s="12"/>
    </row>
    <row r="294" spans="1:38" x14ac:dyDescent="0.25">
      <c r="A294" s="6">
        <f>ReturnData!A305</f>
        <v>199904</v>
      </c>
      <c r="S294">
        <f t="shared" si="8"/>
        <v>199904</v>
      </c>
      <c r="AK294">
        <f t="shared" si="11"/>
        <v>199904</v>
      </c>
      <c r="AL294" s="12"/>
    </row>
    <row r="295" spans="1:38" x14ac:dyDescent="0.25">
      <c r="A295" s="6">
        <f>ReturnData!A306</f>
        <v>199905</v>
      </c>
      <c r="S295">
        <f t="shared" si="8"/>
        <v>199905</v>
      </c>
      <c r="AK295">
        <f t="shared" si="11"/>
        <v>199905</v>
      </c>
      <c r="AL295" s="12"/>
    </row>
    <row r="296" spans="1:38" x14ac:dyDescent="0.25">
      <c r="A296" s="6">
        <f>ReturnData!A307</f>
        <v>199906</v>
      </c>
      <c r="S296">
        <f t="shared" si="8"/>
        <v>199906</v>
      </c>
      <c r="AK296">
        <f t="shared" si="11"/>
        <v>199906</v>
      </c>
      <c r="AL296" s="12"/>
    </row>
    <row r="297" spans="1:38" x14ac:dyDescent="0.25">
      <c r="A297" s="6">
        <f>ReturnData!A308</f>
        <v>199907</v>
      </c>
      <c r="S297">
        <f t="shared" si="8"/>
        <v>199907</v>
      </c>
      <c r="AK297">
        <f t="shared" si="11"/>
        <v>199907</v>
      </c>
      <c r="AL297" s="12"/>
    </row>
    <row r="298" spans="1:38" x14ac:dyDescent="0.25">
      <c r="A298" s="6">
        <f>ReturnData!A309</f>
        <v>199908</v>
      </c>
      <c r="S298">
        <f t="shared" si="8"/>
        <v>199908</v>
      </c>
      <c r="AK298">
        <f t="shared" si="11"/>
        <v>199908</v>
      </c>
      <c r="AL298" s="12"/>
    </row>
    <row r="299" spans="1:38" x14ac:dyDescent="0.25">
      <c r="A299" s="6">
        <f>ReturnData!A310</f>
        <v>199909</v>
      </c>
      <c r="S299">
        <f t="shared" si="8"/>
        <v>199909</v>
      </c>
      <c r="AK299">
        <f t="shared" si="11"/>
        <v>199909</v>
      </c>
      <c r="AL299" s="12"/>
    </row>
    <row r="300" spans="1:38" x14ac:dyDescent="0.25">
      <c r="A300" s="6">
        <f>ReturnData!A311</f>
        <v>199910</v>
      </c>
      <c r="S300">
        <f t="shared" si="8"/>
        <v>199910</v>
      </c>
      <c r="AK300">
        <f t="shared" si="11"/>
        <v>199910</v>
      </c>
      <c r="AL300" s="12"/>
    </row>
    <row r="301" spans="1:38" x14ac:dyDescent="0.25">
      <c r="A301" s="6">
        <f>ReturnData!A312</f>
        <v>199911</v>
      </c>
      <c r="S301">
        <f t="shared" si="8"/>
        <v>199911</v>
      </c>
      <c r="AK301">
        <f t="shared" si="11"/>
        <v>199911</v>
      </c>
      <c r="AL301" s="12"/>
    </row>
    <row r="302" spans="1:38" x14ac:dyDescent="0.25">
      <c r="A302" s="6">
        <f>ReturnData!A313</f>
        <v>199912</v>
      </c>
      <c r="S302">
        <f t="shared" si="8"/>
        <v>199912</v>
      </c>
      <c r="AK302">
        <f t="shared" si="11"/>
        <v>199912</v>
      </c>
      <c r="AL302" s="12"/>
    </row>
    <row r="303" spans="1:38" x14ac:dyDescent="0.25">
      <c r="A303" s="6">
        <f>ReturnData!A314</f>
        <v>200001</v>
      </c>
      <c r="S303">
        <f t="shared" si="8"/>
        <v>200001</v>
      </c>
      <c r="AK303">
        <f t="shared" si="11"/>
        <v>200001</v>
      </c>
      <c r="AL303" s="12"/>
    </row>
    <row r="304" spans="1:38" x14ac:dyDescent="0.25">
      <c r="A304" s="6">
        <f>ReturnData!A315</f>
        <v>200002</v>
      </c>
      <c r="S304">
        <f t="shared" si="8"/>
        <v>200002</v>
      </c>
      <c r="AK304">
        <f t="shared" si="11"/>
        <v>200002</v>
      </c>
      <c r="AL304" s="12"/>
    </row>
    <row r="305" spans="1:38" x14ac:dyDescent="0.25">
      <c r="A305" s="6">
        <f>ReturnData!A316</f>
        <v>200003</v>
      </c>
      <c r="S305">
        <f t="shared" si="8"/>
        <v>200003</v>
      </c>
      <c r="AK305">
        <f t="shared" si="11"/>
        <v>200003</v>
      </c>
      <c r="AL305" s="12"/>
    </row>
    <row r="306" spans="1:38" x14ac:dyDescent="0.25">
      <c r="A306" s="6">
        <f>ReturnData!A317</f>
        <v>200004</v>
      </c>
      <c r="S306">
        <f t="shared" si="8"/>
        <v>200004</v>
      </c>
      <c r="AK306">
        <f t="shared" si="11"/>
        <v>200004</v>
      </c>
      <c r="AL306" s="12"/>
    </row>
    <row r="307" spans="1:38" x14ac:dyDescent="0.25">
      <c r="A307" s="6">
        <f>ReturnData!A318</f>
        <v>200005</v>
      </c>
      <c r="S307">
        <f t="shared" si="8"/>
        <v>200005</v>
      </c>
      <c r="AK307">
        <f t="shared" si="11"/>
        <v>200005</v>
      </c>
      <c r="AL307" s="12"/>
    </row>
    <row r="308" spans="1:38" x14ac:dyDescent="0.25">
      <c r="A308" s="6">
        <f>ReturnData!A319</f>
        <v>200006</v>
      </c>
      <c r="S308">
        <f t="shared" si="8"/>
        <v>200006</v>
      </c>
      <c r="AK308">
        <f t="shared" si="11"/>
        <v>200006</v>
      </c>
      <c r="AL308" s="12"/>
    </row>
    <row r="309" spans="1:38" x14ac:dyDescent="0.25">
      <c r="A309" s="6">
        <f>ReturnData!A320</f>
        <v>200007</v>
      </c>
      <c r="S309">
        <f t="shared" si="8"/>
        <v>200007</v>
      </c>
      <c r="AK309">
        <f t="shared" si="11"/>
        <v>200007</v>
      </c>
      <c r="AL309" s="12"/>
    </row>
    <row r="310" spans="1:38" x14ac:dyDescent="0.25">
      <c r="A310" s="6">
        <f>ReturnData!A321</f>
        <v>200008</v>
      </c>
      <c r="S310">
        <f t="shared" si="8"/>
        <v>200008</v>
      </c>
      <c r="AK310">
        <f t="shared" si="11"/>
        <v>200008</v>
      </c>
      <c r="AL310" s="12"/>
    </row>
    <row r="311" spans="1:38" x14ac:dyDescent="0.25">
      <c r="A311" s="6">
        <f>ReturnData!A322</f>
        <v>200009</v>
      </c>
      <c r="S311">
        <f t="shared" si="8"/>
        <v>200009</v>
      </c>
      <c r="AK311">
        <f t="shared" si="11"/>
        <v>200009</v>
      </c>
      <c r="AL311" s="12"/>
    </row>
    <row r="312" spans="1:38" x14ac:dyDescent="0.25">
      <c r="A312" s="6">
        <f>ReturnData!A323</f>
        <v>200010</v>
      </c>
      <c r="S312">
        <f t="shared" si="8"/>
        <v>200010</v>
      </c>
      <c r="AK312">
        <f t="shared" si="11"/>
        <v>200010</v>
      </c>
      <c r="AL312" s="12"/>
    </row>
    <row r="313" spans="1:38" x14ac:dyDescent="0.25">
      <c r="A313" s="6">
        <f>ReturnData!A324</f>
        <v>200011</v>
      </c>
      <c r="S313">
        <f t="shared" si="8"/>
        <v>200011</v>
      </c>
      <c r="AK313">
        <f t="shared" si="11"/>
        <v>200011</v>
      </c>
      <c r="AL313" s="12"/>
    </row>
    <row r="314" spans="1:38" x14ac:dyDescent="0.25">
      <c r="A314" s="6">
        <f>ReturnData!A325</f>
        <v>200012</v>
      </c>
      <c r="S314">
        <f t="shared" si="8"/>
        <v>200012</v>
      </c>
      <c r="AK314">
        <f t="shared" si="11"/>
        <v>200012</v>
      </c>
      <c r="AL314" s="12"/>
    </row>
    <row r="315" spans="1:38" x14ac:dyDescent="0.25">
      <c r="A315" s="6">
        <f>ReturnData!A326</f>
        <v>200101</v>
      </c>
      <c r="S315">
        <f t="shared" si="8"/>
        <v>200101</v>
      </c>
      <c r="AK315">
        <f t="shared" si="11"/>
        <v>200101</v>
      </c>
      <c r="AL315" s="12"/>
    </row>
    <row r="316" spans="1:38" x14ac:dyDescent="0.25">
      <c r="A316" s="6">
        <f>ReturnData!A327</f>
        <v>200102</v>
      </c>
      <c r="S316">
        <f t="shared" si="8"/>
        <v>200102</v>
      </c>
      <c r="AK316">
        <f t="shared" si="11"/>
        <v>200102</v>
      </c>
      <c r="AL316" s="12"/>
    </row>
    <row r="317" spans="1:38" x14ac:dyDescent="0.25">
      <c r="A317" s="6">
        <f>ReturnData!A328</f>
        <v>200103</v>
      </c>
      <c r="S317">
        <f t="shared" si="8"/>
        <v>200103</v>
      </c>
      <c r="AK317">
        <f t="shared" si="11"/>
        <v>200103</v>
      </c>
      <c r="AL317" s="12"/>
    </row>
    <row r="318" spans="1:38" x14ac:dyDescent="0.25">
      <c r="A318" s="6">
        <f>ReturnData!A329</f>
        <v>200104</v>
      </c>
      <c r="S318">
        <f t="shared" si="8"/>
        <v>200104</v>
      </c>
      <c r="AK318">
        <f t="shared" si="11"/>
        <v>200104</v>
      </c>
      <c r="AL318" s="12"/>
    </row>
    <row r="319" spans="1:38" x14ac:dyDescent="0.25">
      <c r="A319" s="6">
        <f>ReturnData!A330</f>
        <v>200105</v>
      </c>
      <c r="S319">
        <f t="shared" si="8"/>
        <v>200105</v>
      </c>
      <c r="AK319">
        <f t="shared" si="11"/>
        <v>200105</v>
      </c>
      <c r="AL319" s="12"/>
    </row>
    <row r="320" spans="1:38" x14ac:dyDescent="0.25">
      <c r="A320" s="6">
        <f>ReturnData!A331</f>
        <v>200106</v>
      </c>
      <c r="S320">
        <f t="shared" si="8"/>
        <v>200106</v>
      </c>
      <c r="AK320">
        <f t="shared" si="11"/>
        <v>200106</v>
      </c>
      <c r="AL320" s="12"/>
    </row>
    <row r="321" spans="1:38" x14ac:dyDescent="0.25">
      <c r="A321" s="6">
        <f>ReturnData!A332</f>
        <v>200107</v>
      </c>
      <c r="S321">
        <f t="shared" si="8"/>
        <v>200107</v>
      </c>
      <c r="AK321">
        <f t="shared" si="11"/>
        <v>200107</v>
      </c>
      <c r="AL321" s="12"/>
    </row>
    <row r="322" spans="1:38" x14ac:dyDescent="0.25">
      <c r="A322" s="6">
        <f>ReturnData!A333</f>
        <v>200108</v>
      </c>
      <c r="S322">
        <f t="shared" ref="S322:S385" si="12">A322</f>
        <v>200108</v>
      </c>
      <c r="AK322">
        <f t="shared" si="11"/>
        <v>200108</v>
      </c>
      <c r="AL322" s="12"/>
    </row>
    <row r="323" spans="1:38" x14ac:dyDescent="0.25">
      <c r="A323" s="6">
        <f>ReturnData!A334</f>
        <v>200109</v>
      </c>
      <c r="S323">
        <f t="shared" si="12"/>
        <v>200109</v>
      </c>
      <c r="AK323">
        <f t="shared" si="11"/>
        <v>200109</v>
      </c>
      <c r="AL323" s="12"/>
    </row>
    <row r="324" spans="1:38" x14ac:dyDescent="0.25">
      <c r="A324" s="6">
        <f>ReturnData!A335</f>
        <v>200110</v>
      </c>
      <c r="S324">
        <f t="shared" si="12"/>
        <v>200110</v>
      </c>
      <c r="AK324">
        <f t="shared" si="11"/>
        <v>200110</v>
      </c>
      <c r="AL324" s="12"/>
    </row>
    <row r="325" spans="1:38" x14ac:dyDescent="0.25">
      <c r="A325" s="6">
        <f>ReturnData!A336</f>
        <v>200111</v>
      </c>
      <c r="S325">
        <f t="shared" si="12"/>
        <v>200111</v>
      </c>
      <c r="AK325">
        <f t="shared" si="11"/>
        <v>200111</v>
      </c>
      <c r="AL325" s="12"/>
    </row>
    <row r="326" spans="1:38" x14ac:dyDescent="0.25">
      <c r="A326" s="6">
        <f>ReturnData!A337</f>
        <v>200112</v>
      </c>
      <c r="S326">
        <f t="shared" si="12"/>
        <v>200112</v>
      </c>
      <c r="AK326">
        <f t="shared" si="11"/>
        <v>200112</v>
      </c>
      <c r="AL326" s="12"/>
    </row>
    <row r="327" spans="1:38" x14ac:dyDescent="0.25">
      <c r="A327" s="6">
        <f>ReturnData!A338</f>
        <v>200201</v>
      </c>
      <c r="S327">
        <f t="shared" si="12"/>
        <v>200201</v>
      </c>
      <c r="AK327">
        <f t="shared" si="11"/>
        <v>200201</v>
      </c>
      <c r="AL327" s="12"/>
    </row>
    <row r="328" spans="1:38" x14ac:dyDescent="0.25">
      <c r="A328" s="6">
        <f>ReturnData!A339</f>
        <v>200202</v>
      </c>
      <c r="S328">
        <f t="shared" si="12"/>
        <v>200202</v>
      </c>
      <c r="AK328">
        <f t="shared" si="11"/>
        <v>200202</v>
      </c>
      <c r="AL328" s="12"/>
    </row>
    <row r="329" spans="1:38" x14ac:dyDescent="0.25">
      <c r="A329" s="6">
        <f>ReturnData!A340</f>
        <v>200203</v>
      </c>
      <c r="S329">
        <f t="shared" si="12"/>
        <v>200203</v>
      </c>
      <c r="AK329">
        <f t="shared" si="11"/>
        <v>200203</v>
      </c>
      <c r="AL329" s="12"/>
    </row>
    <row r="330" spans="1:38" x14ac:dyDescent="0.25">
      <c r="A330" s="6">
        <f>ReturnData!A341</f>
        <v>200204</v>
      </c>
      <c r="S330">
        <f t="shared" si="12"/>
        <v>200204</v>
      </c>
      <c r="AK330">
        <f t="shared" si="11"/>
        <v>200204</v>
      </c>
      <c r="AL330" s="12"/>
    </row>
    <row r="331" spans="1:38" x14ac:dyDescent="0.25">
      <c r="A331" s="6">
        <f>ReturnData!A342</f>
        <v>200205</v>
      </c>
      <c r="S331">
        <f t="shared" si="12"/>
        <v>200205</v>
      </c>
      <c r="AK331">
        <f t="shared" si="11"/>
        <v>200205</v>
      </c>
      <c r="AL331" s="12"/>
    </row>
    <row r="332" spans="1:38" x14ac:dyDescent="0.25">
      <c r="A332" s="6">
        <f>ReturnData!A343</f>
        <v>200206</v>
      </c>
      <c r="S332">
        <f t="shared" si="12"/>
        <v>200206</v>
      </c>
      <c r="AK332">
        <f t="shared" si="11"/>
        <v>200206</v>
      </c>
      <c r="AL332" s="12"/>
    </row>
    <row r="333" spans="1:38" x14ac:dyDescent="0.25">
      <c r="A333" s="6">
        <f>ReturnData!A344</f>
        <v>200207</v>
      </c>
      <c r="S333">
        <f t="shared" si="12"/>
        <v>200207</v>
      </c>
      <c r="AK333">
        <f t="shared" si="11"/>
        <v>200207</v>
      </c>
      <c r="AL333" s="12"/>
    </row>
    <row r="334" spans="1:38" x14ac:dyDescent="0.25">
      <c r="A334" s="6">
        <f>ReturnData!A345</f>
        <v>200208</v>
      </c>
      <c r="S334">
        <f t="shared" si="12"/>
        <v>200208</v>
      </c>
      <c r="AK334">
        <f t="shared" si="11"/>
        <v>200208</v>
      </c>
      <c r="AL334" s="12"/>
    </row>
    <row r="335" spans="1:38" x14ac:dyDescent="0.25">
      <c r="A335" s="6">
        <f>ReturnData!A346</f>
        <v>200209</v>
      </c>
      <c r="S335">
        <f t="shared" si="12"/>
        <v>200209</v>
      </c>
      <c r="AK335">
        <f t="shared" si="11"/>
        <v>200209</v>
      </c>
      <c r="AL335" s="12"/>
    </row>
    <row r="336" spans="1:38" x14ac:dyDescent="0.25">
      <c r="A336" s="6">
        <f>ReturnData!A347</f>
        <v>200210</v>
      </c>
      <c r="S336">
        <f t="shared" si="12"/>
        <v>200210</v>
      </c>
      <c r="AK336">
        <f t="shared" si="11"/>
        <v>200210</v>
      </c>
      <c r="AL336" s="12"/>
    </row>
    <row r="337" spans="1:38" x14ac:dyDescent="0.25">
      <c r="A337" s="6">
        <f>ReturnData!A348</f>
        <v>200211</v>
      </c>
      <c r="S337">
        <f t="shared" si="12"/>
        <v>200211</v>
      </c>
      <c r="AK337">
        <f t="shared" si="11"/>
        <v>200211</v>
      </c>
      <c r="AL337" s="12"/>
    </row>
    <row r="338" spans="1:38" x14ac:dyDescent="0.25">
      <c r="A338" s="6">
        <f>ReturnData!A349</f>
        <v>200212</v>
      </c>
      <c r="S338">
        <f t="shared" si="12"/>
        <v>200212</v>
      </c>
      <c r="AK338">
        <f t="shared" si="11"/>
        <v>200212</v>
      </c>
      <c r="AL338" s="12"/>
    </row>
    <row r="339" spans="1:38" x14ac:dyDescent="0.25">
      <c r="A339" s="6">
        <f>ReturnData!A350</f>
        <v>200301</v>
      </c>
      <c r="S339">
        <f t="shared" si="12"/>
        <v>200301</v>
      </c>
      <c r="AK339">
        <f t="shared" si="11"/>
        <v>200301</v>
      </c>
      <c r="AL339" s="12"/>
    </row>
    <row r="340" spans="1:38" x14ac:dyDescent="0.25">
      <c r="A340" s="6">
        <f>ReturnData!A351</f>
        <v>200302</v>
      </c>
      <c r="S340">
        <f t="shared" si="12"/>
        <v>200302</v>
      </c>
      <c r="AK340">
        <f t="shared" si="11"/>
        <v>200302</v>
      </c>
      <c r="AL340" s="12"/>
    </row>
    <row r="341" spans="1:38" x14ac:dyDescent="0.25">
      <c r="A341" s="6">
        <f>ReturnData!A352</f>
        <v>200303</v>
      </c>
      <c r="S341">
        <f t="shared" si="12"/>
        <v>200303</v>
      </c>
      <c r="AK341">
        <f t="shared" si="11"/>
        <v>200303</v>
      </c>
      <c r="AL341" s="12"/>
    </row>
    <row r="342" spans="1:38" x14ac:dyDescent="0.25">
      <c r="A342" s="6">
        <f>ReturnData!A353</f>
        <v>200304</v>
      </c>
      <c r="S342">
        <f t="shared" si="12"/>
        <v>200304</v>
      </c>
      <c r="AK342">
        <f t="shared" si="11"/>
        <v>200304</v>
      </c>
      <c r="AL342" s="12"/>
    </row>
    <row r="343" spans="1:38" x14ac:dyDescent="0.25">
      <c r="A343" s="6">
        <f>ReturnData!A354</f>
        <v>200305</v>
      </c>
      <c r="S343">
        <f t="shared" si="12"/>
        <v>200305</v>
      </c>
      <c r="AK343">
        <f t="shared" ref="AK343:AK406" si="13">S343</f>
        <v>200305</v>
      </c>
      <c r="AL343" s="12"/>
    </row>
    <row r="344" spans="1:38" x14ac:dyDescent="0.25">
      <c r="A344" s="6">
        <f>ReturnData!A355</f>
        <v>200306</v>
      </c>
      <c r="S344">
        <f t="shared" si="12"/>
        <v>200306</v>
      </c>
      <c r="AK344">
        <f t="shared" si="13"/>
        <v>200306</v>
      </c>
      <c r="AL344" s="12"/>
    </row>
    <row r="345" spans="1:38" x14ac:dyDescent="0.25">
      <c r="A345" s="6">
        <f>ReturnData!A356</f>
        <v>200307</v>
      </c>
      <c r="S345">
        <f t="shared" si="12"/>
        <v>200307</v>
      </c>
      <c r="AK345">
        <f t="shared" si="13"/>
        <v>200307</v>
      </c>
      <c r="AL345" s="12"/>
    </row>
    <row r="346" spans="1:38" x14ac:dyDescent="0.25">
      <c r="A346" s="6">
        <f>ReturnData!A357</f>
        <v>200308</v>
      </c>
      <c r="S346">
        <f t="shared" si="12"/>
        <v>200308</v>
      </c>
      <c r="AK346">
        <f t="shared" si="13"/>
        <v>200308</v>
      </c>
      <c r="AL346" s="12"/>
    </row>
    <row r="347" spans="1:38" x14ac:dyDescent="0.25">
      <c r="A347" s="6">
        <f>ReturnData!A358</f>
        <v>200309</v>
      </c>
      <c r="S347">
        <f t="shared" si="12"/>
        <v>200309</v>
      </c>
      <c r="AK347">
        <f t="shared" si="13"/>
        <v>200309</v>
      </c>
      <c r="AL347" s="12"/>
    </row>
    <row r="348" spans="1:38" x14ac:dyDescent="0.25">
      <c r="A348" s="6">
        <f>ReturnData!A359</f>
        <v>200310</v>
      </c>
      <c r="S348">
        <f t="shared" si="12"/>
        <v>200310</v>
      </c>
      <c r="AK348">
        <f t="shared" si="13"/>
        <v>200310</v>
      </c>
      <c r="AL348" s="12"/>
    </row>
    <row r="349" spans="1:38" x14ac:dyDescent="0.25">
      <c r="A349" s="6">
        <f>ReturnData!A360</f>
        <v>200311</v>
      </c>
      <c r="S349">
        <f t="shared" si="12"/>
        <v>200311</v>
      </c>
      <c r="AK349">
        <f t="shared" si="13"/>
        <v>200311</v>
      </c>
      <c r="AL349" s="12"/>
    </row>
    <row r="350" spans="1:38" x14ac:dyDescent="0.25">
      <c r="A350" s="6">
        <f>ReturnData!A361</f>
        <v>200312</v>
      </c>
      <c r="S350">
        <f t="shared" si="12"/>
        <v>200312</v>
      </c>
      <c r="AK350">
        <f t="shared" si="13"/>
        <v>200312</v>
      </c>
      <c r="AL350" s="12"/>
    </row>
    <row r="351" spans="1:38" x14ac:dyDescent="0.25">
      <c r="A351" s="6">
        <f>ReturnData!A362</f>
        <v>200401</v>
      </c>
      <c r="S351">
        <f t="shared" si="12"/>
        <v>200401</v>
      </c>
      <c r="AK351">
        <f t="shared" si="13"/>
        <v>200401</v>
      </c>
      <c r="AL351" s="12"/>
    </row>
    <row r="352" spans="1:38" x14ac:dyDescent="0.25">
      <c r="A352" s="6">
        <f>ReturnData!A363</f>
        <v>200402</v>
      </c>
      <c r="S352">
        <f t="shared" si="12"/>
        <v>200402</v>
      </c>
      <c r="AK352">
        <f t="shared" si="13"/>
        <v>200402</v>
      </c>
      <c r="AL352" s="12"/>
    </row>
    <row r="353" spans="1:38" x14ac:dyDescent="0.25">
      <c r="A353" s="6">
        <f>ReturnData!A364</f>
        <v>200403</v>
      </c>
      <c r="S353">
        <f t="shared" si="12"/>
        <v>200403</v>
      </c>
      <c r="AK353">
        <f t="shared" si="13"/>
        <v>200403</v>
      </c>
      <c r="AL353" s="12"/>
    </row>
    <row r="354" spans="1:38" x14ac:dyDescent="0.25">
      <c r="A354" s="6">
        <f>ReturnData!A365</f>
        <v>200404</v>
      </c>
      <c r="S354">
        <f t="shared" si="12"/>
        <v>200404</v>
      </c>
      <c r="AK354">
        <f t="shared" si="13"/>
        <v>200404</v>
      </c>
      <c r="AL354" s="12"/>
    </row>
    <row r="355" spans="1:38" x14ac:dyDescent="0.25">
      <c r="A355" s="6">
        <f>ReturnData!A366</f>
        <v>200405</v>
      </c>
      <c r="S355">
        <f t="shared" si="12"/>
        <v>200405</v>
      </c>
      <c r="AK355">
        <f t="shared" si="13"/>
        <v>200405</v>
      </c>
      <c r="AL355" s="12"/>
    </row>
    <row r="356" spans="1:38" x14ac:dyDescent="0.25">
      <c r="A356" s="6">
        <f>ReturnData!A367</f>
        <v>200406</v>
      </c>
      <c r="S356">
        <f t="shared" si="12"/>
        <v>200406</v>
      </c>
      <c r="AK356">
        <f t="shared" si="13"/>
        <v>200406</v>
      </c>
      <c r="AL356" s="12"/>
    </row>
    <row r="357" spans="1:38" x14ac:dyDescent="0.25">
      <c r="A357" s="6">
        <f>ReturnData!A368</f>
        <v>200407</v>
      </c>
      <c r="S357">
        <f t="shared" si="12"/>
        <v>200407</v>
      </c>
      <c r="AK357">
        <f t="shared" si="13"/>
        <v>200407</v>
      </c>
      <c r="AL357" s="12"/>
    </row>
    <row r="358" spans="1:38" x14ac:dyDescent="0.25">
      <c r="A358" s="6">
        <f>ReturnData!A369</f>
        <v>200408</v>
      </c>
      <c r="S358">
        <f t="shared" si="12"/>
        <v>200408</v>
      </c>
      <c r="AK358">
        <f t="shared" si="13"/>
        <v>200408</v>
      </c>
      <c r="AL358" s="12"/>
    </row>
    <row r="359" spans="1:38" x14ac:dyDescent="0.25">
      <c r="A359" s="6">
        <f>ReturnData!A370</f>
        <v>200409</v>
      </c>
      <c r="S359">
        <f t="shared" si="12"/>
        <v>200409</v>
      </c>
      <c r="AK359">
        <f t="shared" si="13"/>
        <v>200409</v>
      </c>
      <c r="AL359" s="12"/>
    </row>
    <row r="360" spans="1:38" x14ac:dyDescent="0.25">
      <c r="A360" s="6">
        <f>ReturnData!A371</f>
        <v>200410</v>
      </c>
      <c r="S360">
        <f t="shared" si="12"/>
        <v>200410</v>
      </c>
      <c r="AK360">
        <f t="shared" si="13"/>
        <v>200410</v>
      </c>
      <c r="AL360" s="12"/>
    </row>
    <row r="361" spans="1:38" x14ac:dyDescent="0.25">
      <c r="A361" s="6">
        <f>ReturnData!A372</f>
        <v>200411</v>
      </c>
      <c r="S361">
        <f t="shared" si="12"/>
        <v>200411</v>
      </c>
      <c r="AK361">
        <f t="shared" si="13"/>
        <v>200411</v>
      </c>
      <c r="AL361" s="12"/>
    </row>
    <row r="362" spans="1:38" x14ac:dyDescent="0.25">
      <c r="A362" s="6">
        <f>ReturnData!A373</f>
        <v>200412</v>
      </c>
      <c r="S362">
        <f t="shared" si="12"/>
        <v>200412</v>
      </c>
      <c r="AK362">
        <f t="shared" si="13"/>
        <v>200412</v>
      </c>
      <c r="AL362" s="12"/>
    </row>
    <row r="363" spans="1:38" x14ac:dyDescent="0.25">
      <c r="A363" s="6">
        <f>ReturnData!A374</f>
        <v>200501</v>
      </c>
      <c r="S363">
        <f t="shared" si="12"/>
        <v>200501</v>
      </c>
      <c r="AK363">
        <f t="shared" si="13"/>
        <v>200501</v>
      </c>
      <c r="AL363" s="12"/>
    </row>
    <row r="364" spans="1:38" x14ac:dyDescent="0.25">
      <c r="A364" s="6">
        <f>ReturnData!A375</f>
        <v>200502</v>
      </c>
      <c r="S364">
        <f t="shared" si="12"/>
        <v>200502</v>
      </c>
      <c r="AK364">
        <f t="shared" si="13"/>
        <v>200502</v>
      </c>
      <c r="AL364" s="12"/>
    </row>
    <row r="365" spans="1:38" x14ac:dyDescent="0.25">
      <c r="A365" s="6">
        <f>ReturnData!A376</f>
        <v>200503</v>
      </c>
      <c r="S365">
        <f t="shared" si="12"/>
        <v>200503</v>
      </c>
      <c r="AK365">
        <f t="shared" si="13"/>
        <v>200503</v>
      </c>
      <c r="AL365" s="12"/>
    </row>
    <row r="366" spans="1:38" x14ac:dyDescent="0.25">
      <c r="A366" s="6">
        <f>ReturnData!A377</f>
        <v>200504</v>
      </c>
      <c r="S366">
        <f t="shared" si="12"/>
        <v>200504</v>
      </c>
      <c r="AK366">
        <f t="shared" si="13"/>
        <v>200504</v>
      </c>
      <c r="AL366" s="12"/>
    </row>
    <row r="367" spans="1:38" x14ac:dyDescent="0.25">
      <c r="A367" s="6">
        <f>ReturnData!A378</f>
        <v>200505</v>
      </c>
      <c r="S367">
        <f t="shared" si="12"/>
        <v>200505</v>
      </c>
      <c r="AK367">
        <f t="shared" si="13"/>
        <v>200505</v>
      </c>
      <c r="AL367" s="12"/>
    </row>
    <row r="368" spans="1:38" x14ac:dyDescent="0.25">
      <c r="A368" s="6">
        <f>ReturnData!A379</f>
        <v>200506</v>
      </c>
      <c r="S368">
        <f t="shared" si="12"/>
        <v>200506</v>
      </c>
      <c r="AK368">
        <f t="shared" si="13"/>
        <v>200506</v>
      </c>
      <c r="AL368" s="12"/>
    </row>
    <row r="369" spans="1:38" x14ac:dyDescent="0.25">
      <c r="A369" s="6">
        <f>ReturnData!A380</f>
        <v>200507</v>
      </c>
      <c r="S369">
        <f t="shared" si="12"/>
        <v>200507</v>
      </c>
      <c r="AK369">
        <f t="shared" si="13"/>
        <v>200507</v>
      </c>
      <c r="AL369" s="12"/>
    </row>
    <row r="370" spans="1:38" x14ac:dyDescent="0.25">
      <c r="A370" s="6">
        <f>ReturnData!A381</f>
        <v>200508</v>
      </c>
      <c r="S370">
        <f t="shared" si="12"/>
        <v>200508</v>
      </c>
      <c r="AK370">
        <f t="shared" si="13"/>
        <v>200508</v>
      </c>
      <c r="AL370" s="12"/>
    </row>
    <row r="371" spans="1:38" x14ac:dyDescent="0.25">
      <c r="A371" s="6">
        <f>ReturnData!A382</f>
        <v>200509</v>
      </c>
      <c r="S371">
        <f t="shared" si="12"/>
        <v>200509</v>
      </c>
      <c r="AK371">
        <f t="shared" si="13"/>
        <v>200509</v>
      </c>
      <c r="AL371" s="12"/>
    </row>
    <row r="372" spans="1:38" x14ac:dyDescent="0.25">
      <c r="A372" s="6">
        <f>ReturnData!A383</f>
        <v>200510</v>
      </c>
      <c r="S372">
        <f t="shared" si="12"/>
        <v>200510</v>
      </c>
      <c r="AK372">
        <f t="shared" si="13"/>
        <v>200510</v>
      </c>
      <c r="AL372" s="12"/>
    </row>
    <row r="373" spans="1:38" x14ac:dyDescent="0.25">
      <c r="A373" s="6">
        <f>ReturnData!A384</f>
        <v>200511</v>
      </c>
      <c r="S373">
        <f t="shared" si="12"/>
        <v>200511</v>
      </c>
      <c r="AK373">
        <f t="shared" si="13"/>
        <v>200511</v>
      </c>
      <c r="AL373" s="12"/>
    </row>
    <row r="374" spans="1:38" x14ac:dyDescent="0.25">
      <c r="A374" s="6">
        <f>ReturnData!A385</f>
        <v>200512</v>
      </c>
      <c r="S374">
        <f t="shared" si="12"/>
        <v>200512</v>
      </c>
      <c r="AK374">
        <f t="shared" si="13"/>
        <v>200512</v>
      </c>
      <c r="AL374" s="12"/>
    </row>
    <row r="375" spans="1:38" x14ac:dyDescent="0.25">
      <c r="A375" s="6">
        <f>ReturnData!A386</f>
        <v>200601</v>
      </c>
      <c r="S375">
        <f t="shared" si="12"/>
        <v>200601</v>
      </c>
      <c r="AK375">
        <f t="shared" si="13"/>
        <v>200601</v>
      </c>
      <c r="AL375" s="12"/>
    </row>
    <row r="376" spans="1:38" x14ac:dyDescent="0.25">
      <c r="A376" s="6">
        <f>ReturnData!A387</f>
        <v>200602</v>
      </c>
      <c r="S376">
        <f t="shared" si="12"/>
        <v>200602</v>
      </c>
      <c r="AK376">
        <f t="shared" si="13"/>
        <v>200602</v>
      </c>
      <c r="AL376" s="12"/>
    </row>
    <row r="377" spans="1:38" x14ac:dyDescent="0.25">
      <c r="A377" s="6">
        <f>ReturnData!A388</f>
        <v>200603</v>
      </c>
      <c r="S377">
        <f t="shared" si="12"/>
        <v>200603</v>
      </c>
      <c r="AK377">
        <f t="shared" si="13"/>
        <v>200603</v>
      </c>
      <c r="AL377" s="12"/>
    </row>
    <row r="378" spans="1:38" x14ac:dyDescent="0.25">
      <c r="A378" s="6">
        <f>ReturnData!A389</f>
        <v>200604</v>
      </c>
      <c r="S378">
        <f t="shared" si="12"/>
        <v>200604</v>
      </c>
      <c r="AK378">
        <f t="shared" si="13"/>
        <v>200604</v>
      </c>
      <c r="AL378" s="12"/>
    </row>
    <row r="379" spans="1:38" x14ac:dyDescent="0.25">
      <c r="A379" s="6">
        <f>ReturnData!A390</f>
        <v>200605</v>
      </c>
      <c r="S379">
        <f t="shared" si="12"/>
        <v>200605</v>
      </c>
      <c r="AK379">
        <f t="shared" si="13"/>
        <v>200605</v>
      </c>
      <c r="AL379" s="12"/>
    </row>
    <row r="380" spans="1:38" x14ac:dyDescent="0.25">
      <c r="A380" s="6">
        <f>ReturnData!A391</f>
        <v>200606</v>
      </c>
      <c r="S380">
        <f t="shared" si="12"/>
        <v>200606</v>
      </c>
      <c r="AK380">
        <f t="shared" si="13"/>
        <v>200606</v>
      </c>
      <c r="AL380" s="12"/>
    </row>
    <row r="381" spans="1:38" x14ac:dyDescent="0.25">
      <c r="A381" s="6">
        <f>ReturnData!A392</f>
        <v>200607</v>
      </c>
      <c r="S381">
        <f t="shared" si="12"/>
        <v>200607</v>
      </c>
      <c r="AK381">
        <f t="shared" si="13"/>
        <v>200607</v>
      </c>
      <c r="AL381" s="12"/>
    </row>
    <row r="382" spans="1:38" x14ac:dyDescent="0.25">
      <c r="A382" s="6">
        <f>ReturnData!A393</f>
        <v>200608</v>
      </c>
      <c r="S382">
        <f t="shared" si="12"/>
        <v>200608</v>
      </c>
      <c r="AK382">
        <f t="shared" si="13"/>
        <v>200608</v>
      </c>
      <c r="AL382" s="12"/>
    </row>
    <row r="383" spans="1:38" x14ac:dyDescent="0.25">
      <c r="A383" s="6">
        <f>ReturnData!A394</f>
        <v>200609</v>
      </c>
      <c r="S383">
        <f t="shared" si="12"/>
        <v>200609</v>
      </c>
      <c r="AK383">
        <f t="shared" si="13"/>
        <v>200609</v>
      </c>
      <c r="AL383" s="12"/>
    </row>
    <row r="384" spans="1:38" x14ac:dyDescent="0.25">
      <c r="A384" s="6">
        <f>ReturnData!A395</f>
        <v>200610</v>
      </c>
      <c r="S384">
        <f t="shared" si="12"/>
        <v>200610</v>
      </c>
      <c r="AK384">
        <f t="shared" si="13"/>
        <v>200610</v>
      </c>
      <c r="AL384" s="12"/>
    </row>
    <row r="385" spans="1:38" x14ac:dyDescent="0.25">
      <c r="A385" s="6">
        <f>ReturnData!A396</f>
        <v>200611</v>
      </c>
      <c r="S385">
        <f t="shared" si="12"/>
        <v>200611</v>
      </c>
      <c r="AK385">
        <f t="shared" si="13"/>
        <v>200611</v>
      </c>
      <c r="AL385" s="12"/>
    </row>
    <row r="386" spans="1:38" x14ac:dyDescent="0.25">
      <c r="A386" s="6">
        <f>ReturnData!A397</f>
        <v>200612</v>
      </c>
      <c r="S386">
        <f t="shared" ref="S386:S449" si="14">A386</f>
        <v>200612</v>
      </c>
      <c r="AK386">
        <f t="shared" si="13"/>
        <v>200612</v>
      </c>
      <c r="AL386" s="12"/>
    </row>
    <row r="387" spans="1:38" x14ac:dyDescent="0.25">
      <c r="A387" s="6">
        <f>ReturnData!A398</f>
        <v>200701</v>
      </c>
      <c r="S387">
        <f t="shared" si="14"/>
        <v>200701</v>
      </c>
      <c r="AK387">
        <f t="shared" si="13"/>
        <v>200701</v>
      </c>
      <c r="AL387" s="12"/>
    </row>
    <row r="388" spans="1:38" x14ac:dyDescent="0.25">
      <c r="A388" s="6">
        <f>ReturnData!A399</f>
        <v>200702</v>
      </c>
      <c r="S388">
        <f t="shared" si="14"/>
        <v>200702</v>
      </c>
      <c r="AK388">
        <f t="shared" si="13"/>
        <v>200702</v>
      </c>
      <c r="AL388" s="12"/>
    </row>
    <row r="389" spans="1:38" x14ac:dyDescent="0.25">
      <c r="A389" s="6">
        <f>ReturnData!A400</f>
        <v>200703</v>
      </c>
      <c r="S389">
        <f t="shared" si="14"/>
        <v>200703</v>
      </c>
      <c r="AK389">
        <f t="shared" si="13"/>
        <v>200703</v>
      </c>
      <c r="AL389" s="12"/>
    </row>
    <row r="390" spans="1:38" x14ac:dyDescent="0.25">
      <c r="A390" s="6">
        <f>ReturnData!A401</f>
        <v>200704</v>
      </c>
      <c r="S390">
        <f t="shared" si="14"/>
        <v>200704</v>
      </c>
      <c r="AK390">
        <f t="shared" si="13"/>
        <v>200704</v>
      </c>
      <c r="AL390" s="12"/>
    </row>
    <row r="391" spans="1:38" x14ac:dyDescent="0.25">
      <c r="A391" s="6">
        <f>ReturnData!A402</f>
        <v>200705</v>
      </c>
      <c r="S391">
        <f t="shared" si="14"/>
        <v>200705</v>
      </c>
      <c r="AK391">
        <f t="shared" si="13"/>
        <v>200705</v>
      </c>
      <c r="AL391" s="12"/>
    </row>
    <row r="392" spans="1:38" x14ac:dyDescent="0.25">
      <c r="A392" s="6">
        <f>ReturnData!A403</f>
        <v>200706</v>
      </c>
      <c r="S392">
        <f t="shared" si="14"/>
        <v>200706</v>
      </c>
      <c r="AK392">
        <f t="shared" si="13"/>
        <v>200706</v>
      </c>
      <c r="AL392" s="12"/>
    </row>
    <row r="393" spans="1:38" x14ac:dyDescent="0.25">
      <c r="A393" s="6">
        <f>ReturnData!A404</f>
        <v>200707</v>
      </c>
      <c r="S393">
        <f t="shared" si="14"/>
        <v>200707</v>
      </c>
      <c r="AK393">
        <f t="shared" si="13"/>
        <v>200707</v>
      </c>
      <c r="AL393" s="12"/>
    </row>
    <row r="394" spans="1:38" x14ac:dyDescent="0.25">
      <c r="A394" s="6">
        <f>ReturnData!A405</f>
        <v>200708</v>
      </c>
      <c r="S394">
        <f t="shared" si="14"/>
        <v>200708</v>
      </c>
      <c r="AK394">
        <f t="shared" si="13"/>
        <v>200708</v>
      </c>
      <c r="AL394" s="12"/>
    </row>
    <row r="395" spans="1:38" x14ac:dyDescent="0.25">
      <c r="A395" s="6">
        <f>ReturnData!A406</f>
        <v>200709</v>
      </c>
      <c r="S395">
        <f t="shared" si="14"/>
        <v>200709</v>
      </c>
      <c r="AK395">
        <f t="shared" si="13"/>
        <v>200709</v>
      </c>
      <c r="AL395" s="12"/>
    </row>
    <row r="396" spans="1:38" x14ac:dyDescent="0.25">
      <c r="A396" s="6">
        <f>ReturnData!A407</f>
        <v>200710</v>
      </c>
      <c r="S396">
        <f t="shared" si="14"/>
        <v>200710</v>
      </c>
      <c r="AK396">
        <f t="shared" si="13"/>
        <v>200710</v>
      </c>
      <c r="AL396" s="12"/>
    </row>
    <row r="397" spans="1:38" x14ac:dyDescent="0.25">
      <c r="A397" s="6">
        <f>ReturnData!A408</f>
        <v>200711</v>
      </c>
      <c r="S397">
        <f t="shared" si="14"/>
        <v>200711</v>
      </c>
      <c r="AK397">
        <f t="shared" si="13"/>
        <v>200711</v>
      </c>
      <c r="AL397" s="12"/>
    </row>
    <row r="398" spans="1:38" x14ac:dyDescent="0.25">
      <c r="A398" s="6">
        <f>ReturnData!A409</f>
        <v>200712</v>
      </c>
      <c r="S398">
        <f t="shared" si="14"/>
        <v>200712</v>
      </c>
      <c r="AK398">
        <f t="shared" si="13"/>
        <v>200712</v>
      </c>
      <c r="AL398" s="12"/>
    </row>
    <row r="399" spans="1:38" x14ac:dyDescent="0.25">
      <c r="A399" s="6">
        <f>ReturnData!A410</f>
        <v>200801</v>
      </c>
      <c r="S399">
        <f t="shared" si="14"/>
        <v>200801</v>
      </c>
      <c r="AK399">
        <f t="shared" si="13"/>
        <v>200801</v>
      </c>
      <c r="AL399" s="12"/>
    </row>
    <row r="400" spans="1:38" x14ac:dyDescent="0.25">
      <c r="A400" s="6">
        <f>ReturnData!A411</f>
        <v>200802</v>
      </c>
      <c r="S400">
        <f t="shared" si="14"/>
        <v>200802</v>
      </c>
      <c r="AK400">
        <f t="shared" si="13"/>
        <v>200802</v>
      </c>
      <c r="AL400" s="12"/>
    </row>
    <row r="401" spans="1:38" x14ac:dyDescent="0.25">
      <c r="A401" s="6">
        <f>ReturnData!A412</f>
        <v>200803</v>
      </c>
      <c r="S401">
        <f t="shared" si="14"/>
        <v>200803</v>
      </c>
      <c r="AK401">
        <f t="shared" si="13"/>
        <v>200803</v>
      </c>
      <c r="AL401" s="12"/>
    </row>
    <row r="402" spans="1:38" x14ac:dyDescent="0.25">
      <c r="A402" s="6">
        <f>ReturnData!A413</f>
        <v>200804</v>
      </c>
      <c r="S402">
        <f t="shared" si="14"/>
        <v>200804</v>
      </c>
      <c r="AK402">
        <f t="shared" si="13"/>
        <v>200804</v>
      </c>
      <c r="AL402" s="12"/>
    </row>
    <row r="403" spans="1:38" x14ac:dyDescent="0.25">
      <c r="A403" s="6">
        <f>ReturnData!A414</f>
        <v>200805</v>
      </c>
      <c r="S403">
        <f t="shared" si="14"/>
        <v>200805</v>
      </c>
      <c r="AK403">
        <f t="shared" si="13"/>
        <v>200805</v>
      </c>
      <c r="AL403" s="12"/>
    </row>
    <row r="404" spans="1:38" x14ac:dyDescent="0.25">
      <c r="A404" s="6">
        <f>ReturnData!A415</f>
        <v>200806</v>
      </c>
      <c r="S404">
        <f t="shared" si="14"/>
        <v>200806</v>
      </c>
      <c r="AK404">
        <f t="shared" si="13"/>
        <v>200806</v>
      </c>
      <c r="AL404" s="12"/>
    </row>
    <row r="405" spans="1:38" x14ac:dyDescent="0.25">
      <c r="A405" s="6">
        <f>ReturnData!A416</f>
        <v>200807</v>
      </c>
      <c r="S405">
        <f t="shared" si="14"/>
        <v>200807</v>
      </c>
      <c r="AK405">
        <f t="shared" si="13"/>
        <v>200807</v>
      </c>
      <c r="AL405" s="12"/>
    </row>
    <row r="406" spans="1:38" x14ac:dyDescent="0.25">
      <c r="A406" s="6">
        <f>ReturnData!A417</f>
        <v>200808</v>
      </c>
      <c r="S406">
        <f t="shared" si="14"/>
        <v>200808</v>
      </c>
      <c r="AK406">
        <f t="shared" si="13"/>
        <v>200808</v>
      </c>
      <c r="AL406" s="12"/>
    </row>
    <row r="407" spans="1:38" x14ac:dyDescent="0.25">
      <c r="A407" s="6">
        <f>ReturnData!A418</f>
        <v>200809</v>
      </c>
      <c r="S407">
        <f t="shared" si="14"/>
        <v>200809</v>
      </c>
      <c r="AK407">
        <f t="shared" ref="AK407:AK470" si="15">S407</f>
        <v>200809</v>
      </c>
      <c r="AL407" s="12"/>
    </row>
    <row r="408" spans="1:38" x14ac:dyDescent="0.25">
      <c r="A408" s="6">
        <f>ReturnData!A419</f>
        <v>200810</v>
      </c>
      <c r="S408">
        <f t="shared" si="14"/>
        <v>200810</v>
      </c>
      <c r="AK408">
        <f t="shared" si="15"/>
        <v>200810</v>
      </c>
      <c r="AL408" s="12"/>
    </row>
    <row r="409" spans="1:38" x14ac:dyDescent="0.25">
      <c r="A409" s="6">
        <f>ReturnData!A420</f>
        <v>200811</v>
      </c>
      <c r="S409">
        <f t="shared" si="14"/>
        <v>200811</v>
      </c>
      <c r="AK409">
        <f t="shared" si="15"/>
        <v>200811</v>
      </c>
      <c r="AL409" s="12"/>
    </row>
    <row r="410" spans="1:38" x14ac:dyDescent="0.25">
      <c r="A410" s="6">
        <f>ReturnData!A421</f>
        <v>200812</v>
      </c>
      <c r="S410">
        <f t="shared" si="14"/>
        <v>200812</v>
      </c>
      <c r="AK410">
        <f t="shared" si="15"/>
        <v>200812</v>
      </c>
      <c r="AL410" s="12"/>
    </row>
    <row r="411" spans="1:38" x14ac:dyDescent="0.25">
      <c r="A411" s="6">
        <f>ReturnData!A422</f>
        <v>200901</v>
      </c>
      <c r="S411">
        <f t="shared" si="14"/>
        <v>200901</v>
      </c>
      <c r="AK411">
        <f t="shared" si="15"/>
        <v>200901</v>
      </c>
      <c r="AL411" s="12"/>
    </row>
    <row r="412" spans="1:38" x14ac:dyDescent="0.25">
      <c r="A412" s="6">
        <f>ReturnData!A423</f>
        <v>200902</v>
      </c>
      <c r="S412">
        <f t="shared" si="14"/>
        <v>200902</v>
      </c>
      <c r="AK412">
        <f t="shared" si="15"/>
        <v>200902</v>
      </c>
      <c r="AL412" s="12"/>
    </row>
    <row r="413" spans="1:38" x14ac:dyDescent="0.25">
      <c r="A413" s="6">
        <f>ReturnData!A424</f>
        <v>200903</v>
      </c>
      <c r="S413">
        <f t="shared" si="14"/>
        <v>200903</v>
      </c>
      <c r="AK413">
        <f t="shared" si="15"/>
        <v>200903</v>
      </c>
      <c r="AL413" s="12"/>
    </row>
    <row r="414" spans="1:38" x14ac:dyDescent="0.25">
      <c r="A414" s="6">
        <f>ReturnData!A425</f>
        <v>200904</v>
      </c>
      <c r="S414">
        <f t="shared" si="14"/>
        <v>200904</v>
      </c>
      <c r="AK414">
        <f t="shared" si="15"/>
        <v>200904</v>
      </c>
      <c r="AL414" s="12"/>
    </row>
    <row r="415" spans="1:38" x14ac:dyDescent="0.25">
      <c r="A415" s="6">
        <f>ReturnData!A426</f>
        <v>200905</v>
      </c>
      <c r="S415">
        <f t="shared" si="14"/>
        <v>200905</v>
      </c>
      <c r="AK415">
        <f t="shared" si="15"/>
        <v>200905</v>
      </c>
      <c r="AL415" s="12"/>
    </row>
    <row r="416" spans="1:38" x14ac:dyDescent="0.25">
      <c r="A416" s="6">
        <f>ReturnData!A427</f>
        <v>200906</v>
      </c>
      <c r="S416">
        <f t="shared" si="14"/>
        <v>200906</v>
      </c>
      <c r="AK416">
        <f t="shared" si="15"/>
        <v>200906</v>
      </c>
      <c r="AL416" s="12"/>
    </row>
    <row r="417" spans="1:38" x14ac:dyDescent="0.25">
      <c r="A417" s="6">
        <f>ReturnData!A428</f>
        <v>200907</v>
      </c>
      <c r="S417">
        <f t="shared" si="14"/>
        <v>200907</v>
      </c>
      <c r="AK417">
        <f t="shared" si="15"/>
        <v>200907</v>
      </c>
      <c r="AL417" s="12"/>
    </row>
    <row r="418" spans="1:38" x14ac:dyDescent="0.25">
      <c r="A418" s="6">
        <f>ReturnData!A429</f>
        <v>200908</v>
      </c>
      <c r="S418">
        <f t="shared" si="14"/>
        <v>200908</v>
      </c>
      <c r="AK418">
        <f t="shared" si="15"/>
        <v>200908</v>
      </c>
      <c r="AL418" s="12"/>
    </row>
    <row r="419" spans="1:38" x14ac:dyDescent="0.25">
      <c r="A419" s="6">
        <f>ReturnData!A430</f>
        <v>200909</v>
      </c>
      <c r="S419">
        <f t="shared" si="14"/>
        <v>200909</v>
      </c>
      <c r="AK419">
        <f t="shared" si="15"/>
        <v>200909</v>
      </c>
      <c r="AL419" s="12"/>
    </row>
    <row r="420" spans="1:38" x14ac:dyDescent="0.25">
      <c r="A420" s="6">
        <f>ReturnData!A431</f>
        <v>200910</v>
      </c>
      <c r="S420">
        <f t="shared" si="14"/>
        <v>200910</v>
      </c>
      <c r="AK420">
        <f t="shared" si="15"/>
        <v>200910</v>
      </c>
      <c r="AL420" s="12"/>
    </row>
    <row r="421" spans="1:38" x14ac:dyDescent="0.25">
      <c r="A421" s="6">
        <f>ReturnData!A432</f>
        <v>200911</v>
      </c>
      <c r="S421">
        <f t="shared" si="14"/>
        <v>200911</v>
      </c>
      <c r="AK421">
        <f t="shared" si="15"/>
        <v>200911</v>
      </c>
      <c r="AL421" s="12"/>
    </row>
    <row r="422" spans="1:38" x14ac:dyDescent="0.25">
      <c r="A422" s="6">
        <f>ReturnData!A433</f>
        <v>200912</v>
      </c>
      <c r="S422">
        <f t="shared" si="14"/>
        <v>200912</v>
      </c>
      <c r="AK422">
        <f t="shared" si="15"/>
        <v>200912</v>
      </c>
      <c r="AL422" s="12"/>
    </row>
    <row r="423" spans="1:38" x14ac:dyDescent="0.25">
      <c r="A423" s="6">
        <f>ReturnData!A434</f>
        <v>201001</v>
      </c>
      <c r="S423">
        <f t="shared" si="14"/>
        <v>201001</v>
      </c>
      <c r="AK423">
        <f t="shared" si="15"/>
        <v>201001</v>
      </c>
      <c r="AL423" s="12"/>
    </row>
    <row r="424" spans="1:38" x14ac:dyDescent="0.25">
      <c r="A424" s="6">
        <f>ReturnData!A435</f>
        <v>201002</v>
      </c>
      <c r="S424">
        <f t="shared" si="14"/>
        <v>201002</v>
      </c>
      <c r="AK424">
        <f t="shared" si="15"/>
        <v>201002</v>
      </c>
      <c r="AL424" s="12"/>
    </row>
    <row r="425" spans="1:38" x14ac:dyDescent="0.25">
      <c r="A425" s="6">
        <f>ReturnData!A436</f>
        <v>201003</v>
      </c>
      <c r="S425">
        <f t="shared" si="14"/>
        <v>201003</v>
      </c>
      <c r="AK425">
        <f t="shared" si="15"/>
        <v>201003</v>
      </c>
      <c r="AL425" s="12"/>
    </row>
    <row r="426" spans="1:38" x14ac:dyDescent="0.25">
      <c r="A426" s="6">
        <f>ReturnData!A437</f>
        <v>201004</v>
      </c>
      <c r="S426">
        <f t="shared" si="14"/>
        <v>201004</v>
      </c>
      <c r="AK426">
        <f t="shared" si="15"/>
        <v>201004</v>
      </c>
      <c r="AL426" s="12"/>
    </row>
    <row r="427" spans="1:38" x14ac:dyDescent="0.25">
      <c r="A427" s="6">
        <f>ReturnData!A438</f>
        <v>201005</v>
      </c>
      <c r="S427">
        <f t="shared" si="14"/>
        <v>201005</v>
      </c>
      <c r="AK427">
        <f t="shared" si="15"/>
        <v>201005</v>
      </c>
      <c r="AL427" s="12"/>
    </row>
    <row r="428" spans="1:38" x14ac:dyDescent="0.25">
      <c r="A428" s="6">
        <f>ReturnData!A439</f>
        <v>201006</v>
      </c>
      <c r="S428">
        <f t="shared" si="14"/>
        <v>201006</v>
      </c>
      <c r="AK428">
        <f t="shared" si="15"/>
        <v>201006</v>
      </c>
      <c r="AL428" s="12"/>
    </row>
    <row r="429" spans="1:38" x14ac:dyDescent="0.25">
      <c r="A429" s="6">
        <f>ReturnData!A440</f>
        <v>201007</v>
      </c>
      <c r="S429">
        <f t="shared" si="14"/>
        <v>201007</v>
      </c>
      <c r="AK429">
        <f t="shared" si="15"/>
        <v>201007</v>
      </c>
      <c r="AL429" s="12"/>
    </row>
    <row r="430" spans="1:38" x14ac:dyDescent="0.25">
      <c r="A430" s="6">
        <f>ReturnData!A441</f>
        <v>201008</v>
      </c>
      <c r="S430">
        <f t="shared" si="14"/>
        <v>201008</v>
      </c>
      <c r="AK430">
        <f t="shared" si="15"/>
        <v>201008</v>
      </c>
      <c r="AL430" s="12"/>
    </row>
    <row r="431" spans="1:38" x14ac:dyDescent="0.25">
      <c r="A431" s="6">
        <f>ReturnData!A442</f>
        <v>201009</v>
      </c>
      <c r="S431">
        <f t="shared" si="14"/>
        <v>201009</v>
      </c>
      <c r="AK431">
        <f t="shared" si="15"/>
        <v>201009</v>
      </c>
      <c r="AL431" s="12"/>
    </row>
    <row r="432" spans="1:38" x14ac:dyDescent="0.25">
      <c r="A432" s="6">
        <f>ReturnData!A443</f>
        <v>201010</v>
      </c>
      <c r="S432">
        <f t="shared" si="14"/>
        <v>201010</v>
      </c>
      <c r="AK432">
        <f t="shared" si="15"/>
        <v>201010</v>
      </c>
      <c r="AL432" s="12"/>
    </row>
    <row r="433" spans="1:38" x14ac:dyDescent="0.25">
      <c r="A433" s="6">
        <f>ReturnData!A444</f>
        <v>201011</v>
      </c>
      <c r="S433">
        <f t="shared" si="14"/>
        <v>201011</v>
      </c>
      <c r="AK433">
        <f t="shared" si="15"/>
        <v>201011</v>
      </c>
      <c r="AL433" s="12"/>
    </row>
    <row r="434" spans="1:38" x14ac:dyDescent="0.25">
      <c r="A434" s="6">
        <f>ReturnData!A445</f>
        <v>201012</v>
      </c>
      <c r="S434">
        <f t="shared" si="14"/>
        <v>201012</v>
      </c>
      <c r="AK434">
        <f t="shared" si="15"/>
        <v>201012</v>
      </c>
      <c r="AL434" s="12"/>
    </row>
    <row r="435" spans="1:38" x14ac:dyDescent="0.25">
      <c r="A435" s="6">
        <f>ReturnData!A446</f>
        <v>201101</v>
      </c>
      <c r="S435">
        <f t="shared" si="14"/>
        <v>201101</v>
      </c>
      <c r="AK435">
        <f t="shared" si="15"/>
        <v>201101</v>
      </c>
      <c r="AL435" s="12"/>
    </row>
    <row r="436" spans="1:38" x14ac:dyDescent="0.25">
      <c r="A436" s="6">
        <f>ReturnData!A447</f>
        <v>201102</v>
      </c>
      <c r="S436">
        <f t="shared" si="14"/>
        <v>201102</v>
      </c>
      <c r="AK436">
        <f t="shared" si="15"/>
        <v>201102</v>
      </c>
      <c r="AL436" s="12"/>
    </row>
    <row r="437" spans="1:38" x14ac:dyDescent="0.25">
      <c r="A437" s="6">
        <f>ReturnData!A448</f>
        <v>201103</v>
      </c>
      <c r="S437">
        <f t="shared" si="14"/>
        <v>201103</v>
      </c>
      <c r="AK437">
        <f t="shared" si="15"/>
        <v>201103</v>
      </c>
      <c r="AL437" s="12"/>
    </row>
    <row r="438" spans="1:38" x14ac:dyDescent="0.25">
      <c r="A438" s="6">
        <f>ReturnData!A449</f>
        <v>201104</v>
      </c>
      <c r="S438">
        <f t="shared" si="14"/>
        <v>201104</v>
      </c>
      <c r="AK438">
        <f t="shared" si="15"/>
        <v>201104</v>
      </c>
      <c r="AL438" s="12"/>
    </row>
    <row r="439" spans="1:38" x14ac:dyDescent="0.25">
      <c r="A439" s="6">
        <f>ReturnData!A450</f>
        <v>201105</v>
      </c>
      <c r="S439">
        <f t="shared" si="14"/>
        <v>201105</v>
      </c>
      <c r="AK439">
        <f t="shared" si="15"/>
        <v>201105</v>
      </c>
      <c r="AL439" s="12"/>
    </row>
    <row r="440" spans="1:38" x14ac:dyDescent="0.25">
      <c r="A440" s="6">
        <f>ReturnData!A451</f>
        <v>201106</v>
      </c>
      <c r="S440">
        <f t="shared" si="14"/>
        <v>201106</v>
      </c>
      <c r="AK440">
        <f t="shared" si="15"/>
        <v>201106</v>
      </c>
      <c r="AL440" s="12"/>
    </row>
    <row r="441" spans="1:38" x14ac:dyDescent="0.25">
      <c r="A441" s="6">
        <f>ReturnData!A452</f>
        <v>201107</v>
      </c>
      <c r="S441">
        <f t="shared" si="14"/>
        <v>201107</v>
      </c>
      <c r="AK441">
        <f t="shared" si="15"/>
        <v>201107</v>
      </c>
      <c r="AL441" s="12"/>
    </row>
    <row r="442" spans="1:38" x14ac:dyDescent="0.25">
      <c r="A442" s="6">
        <f>ReturnData!A453</f>
        <v>201108</v>
      </c>
      <c r="S442">
        <f t="shared" si="14"/>
        <v>201108</v>
      </c>
      <c r="AK442">
        <f t="shared" si="15"/>
        <v>201108</v>
      </c>
      <c r="AL442" s="12"/>
    </row>
    <row r="443" spans="1:38" x14ac:dyDescent="0.25">
      <c r="A443" s="6">
        <f>ReturnData!A454</f>
        <v>201109</v>
      </c>
      <c r="S443">
        <f t="shared" si="14"/>
        <v>201109</v>
      </c>
      <c r="AK443">
        <f t="shared" si="15"/>
        <v>201109</v>
      </c>
      <c r="AL443" s="12"/>
    </row>
    <row r="444" spans="1:38" x14ac:dyDescent="0.25">
      <c r="A444" s="6">
        <f>ReturnData!A455</f>
        <v>201110</v>
      </c>
      <c r="S444">
        <f t="shared" si="14"/>
        <v>201110</v>
      </c>
      <c r="AK444">
        <f t="shared" si="15"/>
        <v>201110</v>
      </c>
      <c r="AL444" s="12"/>
    </row>
    <row r="445" spans="1:38" x14ac:dyDescent="0.25">
      <c r="A445" s="6">
        <f>ReturnData!A456</f>
        <v>201111</v>
      </c>
      <c r="S445">
        <f t="shared" si="14"/>
        <v>201111</v>
      </c>
      <c r="AK445">
        <f t="shared" si="15"/>
        <v>201111</v>
      </c>
      <c r="AL445" s="12"/>
    </row>
    <row r="446" spans="1:38" x14ac:dyDescent="0.25">
      <c r="A446" s="6">
        <f>ReturnData!A457</f>
        <v>201112</v>
      </c>
      <c r="S446">
        <f t="shared" si="14"/>
        <v>201112</v>
      </c>
      <c r="AK446">
        <f t="shared" si="15"/>
        <v>201112</v>
      </c>
      <c r="AL446" s="12"/>
    </row>
    <row r="447" spans="1:38" x14ac:dyDescent="0.25">
      <c r="A447" s="6">
        <f>ReturnData!A458</f>
        <v>201201</v>
      </c>
      <c r="S447">
        <f t="shared" si="14"/>
        <v>201201</v>
      </c>
      <c r="AK447">
        <f t="shared" si="15"/>
        <v>201201</v>
      </c>
      <c r="AL447" s="12"/>
    </row>
    <row r="448" spans="1:38" x14ac:dyDescent="0.25">
      <c r="A448" s="6">
        <f>ReturnData!A459</f>
        <v>201202</v>
      </c>
      <c r="S448">
        <f t="shared" si="14"/>
        <v>201202</v>
      </c>
      <c r="AK448">
        <f t="shared" si="15"/>
        <v>201202</v>
      </c>
      <c r="AL448" s="12"/>
    </row>
    <row r="449" spans="1:38" x14ac:dyDescent="0.25">
      <c r="A449" s="6">
        <f>ReturnData!A460</f>
        <v>201203</v>
      </c>
      <c r="S449">
        <f t="shared" si="14"/>
        <v>201203</v>
      </c>
      <c r="AK449">
        <f t="shared" si="15"/>
        <v>201203</v>
      </c>
      <c r="AL449" s="12"/>
    </row>
    <row r="450" spans="1:38" x14ac:dyDescent="0.25">
      <c r="A450" s="6">
        <f>ReturnData!A461</f>
        <v>201204</v>
      </c>
      <c r="S450">
        <f t="shared" ref="S450:S513" si="16">A450</f>
        <v>201204</v>
      </c>
      <c r="AK450">
        <f t="shared" si="15"/>
        <v>201204</v>
      </c>
      <c r="AL450" s="12"/>
    </row>
    <row r="451" spans="1:38" x14ac:dyDescent="0.25">
      <c r="A451" s="6">
        <f>ReturnData!A462</f>
        <v>201205</v>
      </c>
      <c r="S451">
        <f t="shared" si="16"/>
        <v>201205</v>
      </c>
      <c r="AK451">
        <f t="shared" si="15"/>
        <v>201205</v>
      </c>
      <c r="AL451" s="12"/>
    </row>
    <row r="452" spans="1:38" x14ac:dyDescent="0.25">
      <c r="A452" s="6">
        <f>ReturnData!A463</f>
        <v>201206</v>
      </c>
      <c r="S452">
        <f t="shared" si="16"/>
        <v>201206</v>
      </c>
      <c r="AK452">
        <f t="shared" si="15"/>
        <v>201206</v>
      </c>
      <c r="AL452" s="12"/>
    </row>
    <row r="453" spans="1:38" x14ac:dyDescent="0.25">
      <c r="A453" s="6">
        <f>ReturnData!A464</f>
        <v>201207</v>
      </c>
      <c r="S453">
        <f t="shared" si="16"/>
        <v>201207</v>
      </c>
      <c r="AK453">
        <f t="shared" si="15"/>
        <v>201207</v>
      </c>
      <c r="AL453" s="12"/>
    </row>
    <row r="454" spans="1:38" x14ac:dyDescent="0.25">
      <c r="A454" s="6">
        <f>ReturnData!A465</f>
        <v>201208</v>
      </c>
      <c r="S454">
        <f t="shared" si="16"/>
        <v>201208</v>
      </c>
      <c r="AK454">
        <f t="shared" si="15"/>
        <v>201208</v>
      </c>
      <c r="AL454" s="12"/>
    </row>
    <row r="455" spans="1:38" x14ac:dyDescent="0.25">
      <c r="A455" s="6">
        <f>ReturnData!A466</f>
        <v>201209</v>
      </c>
      <c r="S455">
        <f t="shared" si="16"/>
        <v>201209</v>
      </c>
      <c r="AK455">
        <f t="shared" si="15"/>
        <v>201209</v>
      </c>
      <c r="AL455" s="12"/>
    </row>
    <row r="456" spans="1:38" x14ac:dyDescent="0.25">
      <c r="A456" s="6">
        <f>ReturnData!A467</f>
        <v>201210</v>
      </c>
      <c r="S456">
        <f t="shared" si="16"/>
        <v>201210</v>
      </c>
      <c r="AK456">
        <f t="shared" si="15"/>
        <v>201210</v>
      </c>
      <c r="AL456" s="12"/>
    </row>
    <row r="457" spans="1:38" x14ac:dyDescent="0.25">
      <c r="A457" s="6">
        <f>ReturnData!A468</f>
        <v>201211</v>
      </c>
      <c r="S457">
        <f t="shared" si="16"/>
        <v>201211</v>
      </c>
      <c r="AK457">
        <f t="shared" si="15"/>
        <v>201211</v>
      </c>
      <c r="AL457" s="12"/>
    </row>
    <row r="458" spans="1:38" x14ac:dyDescent="0.25">
      <c r="A458" s="6">
        <f>ReturnData!A469</f>
        <v>201212</v>
      </c>
      <c r="S458">
        <f t="shared" si="16"/>
        <v>201212</v>
      </c>
      <c r="AK458">
        <f t="shared" si="15"/>
        <v>201212</v>
      </c>
      <c r="AL458" s="12"/>
    </row>
    <row r="459" spans="1:38" x14ac:dyDescent="0.25">
      <c r="A459" s="6">
        <f>ReturnData!A470</f>
        <v>201301</v>
      </c>
      <c r="S459">
        <f t="shared" si="16"/>
        <v>201301</v>
      </c>
      <c r="AK459">
        <f t="shared" si="15"/>
        <v>201301</v>
      </c>
      <c r="AL459" s="12"/>
    </row>
    <row r="460" spans="1:38" x14ac:dyDescent="0.25">
      <c r="A460" s="6">
        <f>ReturnData!A471</f>
        <v>201302</v>
      </c>
      <c r="S460">
        <f t="shared" si="16"/>
        <v>201302</v>
      </c>
      <c r="AK460">
        <f t="shared" si="15"/>
        <v>201302</v>
      </c>
      <c r="AL460" s="12"/>
    </row>
    <row r="461" spans="1:38" x14ac:dyDescent="0.25">
      <c r="A461" s="6">
        <f>ReturnData!A472</f>
        <v>201303</v>
      </c>
      <c r="S461">
        <f t="shared" si="16"/>
        <v>201303</v>
      </c>
      <c r="AK461">
        <f t="shared" si="15"/>
        <v>201303</v>
      </c>
      <c r="AL461" s="12"/>
    </row>
    <row r="462" spans="1:38" x14ac:dyDescent="0.25">
      <c r="A462" s="6">
        <f>ReturnData!A473</f>
        <v>201304</v>
      </c>
      <c r="S462">
        <f t="shared" si="16"/>
        <v>201304</v>
      </c>
      <c r="AK462">
        <f t="shared" si="15"/>
        <v>201304</v>
      </c>
      <c r="AL462" s="12"/>
    </row>
    <row r="463" spans="1:38" x14ac:dyDescent="0.25">
      <c r="A463" s="6">
        <f>ReturnData!A474</f>
        <v>201305</v>
      </c>
      <c r="S463">
        <f t="shared" si="16"/>
        <v>201305</v>
      </c>
      <c r="AK463">
        <f t="shared" si="15"/>
        <v>201305</v>
      </c>
      <c r="AL463" s="12"/>
    </row>
    <row r="464" spans="1:38" x14ac:dyDescent="0.25">
      <c r="A464" s="6">
        <f>ReturnData!A475</f>
        <v>201306</v>
      </c>
      <c r="S464">
        <f t="shared" si="16"/>
        <v>201306</v>
      </c>
      <c r="AK464">
        <f t="shared" si="15"/>
        <v>201306</v>
      </c>
      <c r="AL464" s="12"/>
    </row>
    <row r="465" spans="1:38" x14ac:dyDescent="0.25">
      <c r="A465" s="6">
        <f>ReturnData!A476</f>
        <v>201307</v>
      </c>
      <c r="S465">
        <f t="shared" si="16"/>
        <v>201307</v>
      </c>
      <c r="AK465">
        <f t="shared" si="15"/>
        <v>201307</v>
      </c>
      <c r="AL465" s="12"/>
    </row>
    <row r="466" spans="1:38" x14ac:dyDescent="0.25">
      <c r="A466" s="6">
        <f>ReturnData!A477</f>
        <v>201308</v>
      </c>
      <c r="S466">
        <f t="shared" si="16"/>
        <v>201308</v>
      </c>
      <c r="AK466">
        <f t="shared" si="15"/>
        <v>201308</v>
      </c>
      <c r="AL466" s="12"/>
    </row>
    <row r="467" spans="1:38" x14ac:dyDescent="0.25">
      <c r="A467" s="6">
        <f>ReturnData!A478</f>
        <v>201309</v>
      </c>
      <c r="S467">
        <f t="shared" si="16"/>
        <v>201309</v>
      </c>
      <c r="AK467">
        <f t="shared" si="15"/>
        <v>201309</v>
      </c>
      <c r="AL467" s="12"/>
    </row>
    <row r="468" spans="1:38" x14ac:dyDescent="0.25">
      <c r="A468" s="6">
        <f>ReturnData!A479</f>
        <v>201310</v>
      </c>
      <c r="S468">
        <f t="shared" si="16"/>
        <v>201310</v>
      </c>
      <c r="AK468">
        <f t="shared" si="15"/>
        <v>201310</v>
      </c>
      <c r="AL468" s="12"/>
    </row>
    <row r="469" spans="1:38" x14ac:dyDescent="0.25">
      <c r="A469" s="6">
        <f>ReturnData!A480</f>
        <v>201311</v>
      </c>
      <c r="S469">
        <f t="shared" si="16"/>
        <v>201311</v>
      </c>
      <c r="AK469">
        <f t="shared" si="15"/>
        <v>201311</v>
      </c>
      <c r="AL469" s="12"/>
    </row>
    <row r="470" spans="1:38" x14ac:dyDescent="0.25">
      <c r="A470" s="6">
        <f>ReturnData!A481</f>
        <v>201312</v>
      </c>
      <c r="S470">
        <f t="shared" si="16"/>
        <v>201312</v>
      </c>
      <c r="AK470">
        <f t="shared" si="15"/>
        <v>201312</v>
      </c>
      <c r="AL470" s="12"/>
    </row>
    <row r="471" spans="1:38" x14ac:dyDescent="0.25">
      <c r="A471" s="6">
        <f>ReturnData!A482</f>
        <v>201401</v>
      </c>
      <c r="S471">
        <f t="shared" si="16"/>
        <v>201401</v>
      </c>
      <c r="AK471">
        <f t="shared" ref="AK471:AK482" si="17">S471</f>
        <v>201401</v>
      </c>
      <c r="AL471" s="12"/>
    </row>
    <row r="472" spans="1:38" x14ac:dyDescent="0.25">
      <c r="A472" s="6">
        <f>ReturnData!A483</f>
        <v>201402</v>
      </c>
      <c r="S472">
        <f t="shared" si="16"/>
        <v>201402</v>
      </c>
      <c r="AK472">
        <f t="shared" si="17"/>
        <v>201402</v>
      </c>
      <c r="AL472" s="12"/>
    </row>
    <row r="473" spans="1:38" x14ac:dyDescent="0.25">
      <c r="A473" s="6">
        <f>ReturnData!A484</f>
        <v>201403</v>
      </c>
      <c r="S473">
        <f t="shared" si="16"/>
        <v>201403</v>
      </c>
      <c r="AK473">
        <f t="shared" si="17"/>
        <v>201403</v>
      </c>
      <c r="AL473" s="12"/>
    </row>
    <row r="474" spans="1:38" x14ac:dyDescent="0.25">
      <c r="A474" s="6">
        <f>ReturnData!A485</f>
        <v>201404</v>
      </c>
      <c r="S474">
        <f t="shared" si="16"/>
        <v>201404</v>
      </c>
      <c r="AK474">
        <f t="shared" si="17"/>
        <v>201404</v>
      </c>
      <c r="AL474" s="12"/>
    </row>
    <row r="475" spans="1:38" x14ac:dyDescent="0.25">
      <c r="A475" s="6">
        <f>ReturnData!A486</f>
        <v>201405</v>
      </c>
      <c r="S475">
        <f t="shared" si="16"/>
        <v>201405</v>
      </c>
      <c r="AK475">
        <f t="shared" si="17"/>
        <v>201405</v>
      </c>
      <c r="AL475" s="12"/>
    </row>
    <row r="476" spans="1:38" x14ac:dyDescent="0.25">
      <c r="A476" s="6">
        <f>ReturnData!A487</f>
        <v>201406</v>
      </c>
      <c r="S476">
        <f t="shared" si="16"/>
        <v>201406</v>
      </c>
      <c r="AK476">
        <f t="shared" si="17"/>
        <v>201406</v>
      </c>
      <c r="AL476" s="12"/>
    </row>
    <row r="477" spans="1:38" x14ac:dyDescent="0.25">
      <c r="A477" s="6">
        <f>ReturnData!A488</f>
        <v>201407</v>
      </c>
      <c r="S477">
        <f t="shared" si="16"/>
        <v>201407</v>
      </c>
      <c r="AK477">
        <f t="shared" si="17"/>
        <v>201407</v>
      </c>
      <c r="AL477" s="12"/>
    </row>
    <row r="478" spans="1:38" x14ac:dyDescent="0.25">
      <c r="A478" s="6">
        <f>ReturnData!A489</f>
        <v>201408</v>
      </c>
      <c r="S478">
        <f t="shared" si="16"/>
        <v>201408</v>
      </c>
      <c r="AK478">
        <f t="shared" si="17"/>
        <v>201408</v>
      </c>
      <c r="AL478" s="12"/>
    </row>
    <row r="479" spans="1:38" x14ac:dyDescent="0.25">
      <c r="A479" s="6">
        <f>ReturnData!A490</f>
        <v>201409</v>
      </c>
      <c r="S479">
        <f t="shared" si="16"/>
        <v>201409</v>
      </c>
      <c r="AK479">
        <f t="shared" si="17"/>
        <v>201409</v>
      </c>
      <c r="AL479" s="12"/>
    </row>
    <row r="480" spans="1:38" x14ac:dyDescent="0.25">
      <c r="A480" s="6">
        <f>ReturnData!A491</f>
        <v>201410</v>
      </c>
      <c r="S480">
        <f t="shared" si="16"/>
        <v>201410</v>
      </c>
      <c r="AK480">
        <f t="shared" si="17"/>
        <v>201410</v>
      </c>
      <c r="AL480" s="12"/>
    </row>
    <row r="481" spans="1:38" x14ac:dyDescent="0.25">
      <c r="A481" s="6">
        <f>ReturnData!A492</f>
        <v>201411</v>
      </c>
      <c r="S481">
        <f t="shared" si="16"/>
        <v>201411</v>
      </c>
      <c r="AK481">
        <f t="shared" si="17"/>
        <v>201411</v>
      </c>
      <c r="AL481" s="12"/>
    </row>
    <row r="482" spans="1:38" x14ac:dyDescent="0.25">
      <c r="A482" s="6">
        <f>ReturnData!A493</f>
        <v>201412</v>
      </c>
      <c r="S482">
        <f t="shared" si="16"/>
        <v>201412</v>
      </c>
      <c r="AK482">
        <f t="shared" si="17"/>
        <v>201412</v>
      </c>
      <c r="AL482" s="12"/>
    </row>
    <row r="483" spans="1:38" x14ac:dyDescent="0.25">
      <c r="A483" s="6">
        <f>ReturnData!A494</f>
        <v>201501</v>
      </c>
      <c r="S483">
        <f t="shared" si="16"/>
        <v>201501</v>
      </c>
      <c r="AK483">
        <f t="shared" ref="AK483:AK546" si="18">S483</f>
        <v>201501</v>
      </c>
      <c r="AL483" s="12"/>
    </row>
    <row r="484" spans="1:38" x14ac:dyDescent="0.25">
      <c r="A484" s="6">
        <f>ReturnData!A495</f>
        <v>201502</v>
      </c>
      <c r="S484">
        <f t="shared" si="16"/>
        <v>201502</v>
      </c>
      <c r="AK484">
        <f t="shared" si="18"/>
        <v>201502</v>
      </c>
      <c r="AL484" s="12"/>
    </row>
    <row r="485" spans="1:38" x14ac:dyDescent="0.25">
      <c r="A485" s="6">
        <f>ReturnData!A496</f>
        <v>201503</v>
      </c>
      <c r="S485">
        <f t="shared" si="16"/>
        <v>201503</v>
      </c>
      <c r="AK485">
        <f t="shared" si="18"/>
        <v>201503</v>
      </c>
      <c r="AL485" s="12"/>
    </row>
    <row r="486" spans="1:38" x14ac:dyDescent="0.25">
      <c r="A486" s="6">
        <f>ReturnData!A497</f>
        <v>201504</v>
      </c>
      <c r="S486">
        <f t="shared" si="16"/>
        <v>201504</v>
      </c>
      <c r="AK486">
        <f t="shared" si="18"/>
        <v>201504</v>
      </c>
      <c r="AL486" s="12"/>
    </row>
    <row r="487" spans="1:38" x14ac:dyDescent="0.25">
      <c r="A487" s="6">
        <f>ReturnData!A498</f>
        <v>201505</v>
      </c>
      <c r="S487">
        <f t="shared" si="16"/>
        <v>201505</v>
      </c>
      <c r="AK487">
        <f t="shared" si="18"/>
        <v>201505</v>
      </c>
      <c r="AL487" s="12"/>
    </row>
    <row r="488" spans="1:38" x14ac:dyDescent="0.25">
      <c r="A488" s="6">
        <f>ReturnData!A499</f>
        <v>201506</v>
      </c>
      <c r="S488">
        <f t="shared" si="16"/>
        <v>201506</v>
      </c>
      <c r="AK488">
        <f t="shared" si="18"/>
        <v>201506</v>
      </c>
      <c r="AL488" s="12"/>
    </row>
    <row r="489" spans="1:38" x14ac:dyDescent="0.25">
      <c r="A489" s="6">
        <f>ReturnData!A500</f>
        <v>201507</v>
      </c>
      <c r="S489">
        <f t="shared" si="16"/>
        <v>201507</v>
      </c>
      <c r="AK489">
        <f t="shared" si="18"/>
        <v>201507</v>
      </c>
      <c r="AL489" s="12"/>
    </row>
    <row r="490" spans="1:38" x14ac:dyDescent="0.25">
      <c r="A490" s="6">
        <f>ReturnData!A501</f>
        <v>201508</v>
      </c>
      <c r="S490">
        <f t="shared" si="16"/>
        <v>201508</v>
      </c>
      <c r="AK490">
        <f t="shared" si="18"/>
        <v>201508</v>
      </c>
      <c r="AL490" s="12"/>
    </row>
    <row r="491" spans="1:38" x14ac:dyDescent="0.25">
      <c r="A491" s="6">
        <f>ReturnData!A502</f>
        <v>201509</v>
      </c>
      <c r="S491">
        <f t="shared" si="16"/>
        <v>201509</v>
      </c>
      <c r="AK491">
        <f t="shared" si="18"/>
        <v>201509</v>
      </c>
      <c r="AL491" s="12"/>
    </row>
    <row r="492" spans="1:38" x14ac:dyDescent="0.25">
      <c r="A492" s="6">
        <f>ReturnData!A503</f>
        <v>201510</v>
      </c>
      <c r="S492">
        <f t="shared" si="16"/>
        <v>201510</v>
      </c>
      <c r="AK492">
        <f t="shared" si="18"/>
        <v>201510</v>
      </c>
      <c r="AL492" s="12"/>
    </row>
    <row r="493" spans="1:38" x14ac:dyDescent="0.25">
      <c r="A493" s="6">
        <f>ReturnData!A504</f>
        <v>201511</v>
      </c>
      <c r="S493">
        <f t="shared" si="16"/>
        <v>201511</v>
      </c>
      <c r="AK493">
        <f t="shared" si="18"/>
        <v>201511</v>
      </c>
      <c r="AL493" s="12"/>
    </row>
    <row r="494" spans="1:38" x14ac:dyDescent="0.25">
      <c r="A494" s="6">
        <f>ReturnData!A505</f>
        <v>201512</v>
      </c>
      <c r="S494">
        <f t="shared" si="16"/>
        <v>201512</v>
      </c>
      <c r="AK494">
        <f t="shared" si="18"/>
        <v>201512</v>
      </c>
      <c r="AL494" s="12"/>
    </row>
    <row r="495" spans="1:38" x14ac:dyDescent="0.25">
      <c r="A495" s="6">
        <f>ReturnData!A506</f>
        <v>201601</v>
      </c>
      <c r="S495">
        <f t="shared" si="16"/>
        <v>201601</v>
      </c>
      <c r="AK495">
        <f t="shared" si="18"/>
        <v>201601</v>
      </c>
      <c r="AL495" s="12"/>
    </row>
    <row r="496" spans="1:38" x14ac:dyDescent="0.25">
      <c r="A496" s="6">
        <f>ReturnData!A507</f>
        <v>201602</v>
      </c>
      <c r="S496">
        <f t="shared" si="16"/>
        <v>201602</v>
      </c>
      <c r="AK496">
        <f t="shared" si="18"/>
        <v>201602</v>
      </c>
      <c r="AL496" s="12"/>
    </row>
    <row r="497" spans="1:38" x14ac:dyDescent="0.25">
      <c r="A497" s="6">
        <f>ReturnData!A508</f>
        <v>201603</v>
      </c>
      <c r="S497">
        <f t="shared" si="16"/>
        <v>201603</v>
      </c>
      <c r="AK497">
        <f t="shared" si="18"/>
        <v>201603</v>
      </c>
      <c r="AL497" s="12"/>
    </row>
    <row r="498" spans="1:38" x14ac:dyDescent="0.25">
      <c r="A498" s="6">
        <f>ReturnData!A509</f>
        <v>201604</v>
      </c>
      <c r="S498">
        <f t="shared" si="16"/>
        <v>201604</v>
      </c>
      <c r="AK498">
        <f t="shared" si="18"/>
        <v>201604</v>
      </c>
      <c r="AL498" s="12"/>
    </row>
    <row r="499" spans="1:38" x14ac:dyDescent="0.25">
      <c r="A499" s="6">
        <f>ReturnData!A510</f>
        <v>201605</v>
      </c>
      <c r="S499">
        <f t="shared" si="16"/>
        <v>201605</v>
      </c>
      <c r="AK499">
        <f t="shared" si="18"/>
        <v>201605</v>
      </c>
      <c r="AL499" s="12"/>
    </row>
    <row r="500" spans="1:38" x14ac:dyDescent="0.25">
      <c r="A500" s="6">
        <f>ReturnData!A511</f>
        <v>201606</v>
      </c>
      <c r="S500">
        <f t="shared" si="16"/>
        <v>201606</v>
      </c>
      <c r="AK500">
        <f t="shared" si="18"/>
        <v>201606</v>
      </c>
      <c r="AL500" s="12"/>
    </row>
    <row r="501" spans="1:38" x14ac:dyDescent="0.25">
      <c r="A501" s="6">
        <f>ReturnData!A512</f>
        <v>201607</v>
      </c>
      <c r="S501">
        <f t="shared" si="16"/>
        <v>201607</v>
      </c>
      <c r="AK501">
        <f t="shared" si="18"/>
        <v>201607</v>
      </c>
      <c r="AL501" s="12"/>
    </row>
    <row r="502" spans="1:38" x14ac:dyDescent="0.25">
      <c r="A502" s="6">
        <f>ReturnData!A513</f>
        <v>201608</v>
      </c>
      <c r="S502">
        <f t="shared" si="16"/>
        <v>201608</v>
      </c>
      <c r="AK502">
        <f t="shared" si="18"/>
        <v>201608</v>
      </c>
      <c r="AL502" s="12"/>
    </row>
    <row r="503" spans="1:38" x14ac:dyDescent="0.25">
      <c r="A503" s="6">
        <f>ReturnData!A514</f>
        <v>201609</v>
      </c>
      <c r="S503">
        <f t="shared" si="16"/>
        <v>201609</v>
      </c>
      <c r="AK503">
        <f t="shared" si="18"/>
        <v>201609</v>
      </c>
      <c r="AL503" s="12"/>
    </row>
    <row r="504" spans="1:38" x14ac:dyDescent="0.25">
      <c r="A504" s="6">
        <f>ReturnData!A515</f>
        <v>201610</v>
      </c>
      <c r="S504">
        <f t="shared" si="16"/>
        <v>201610</v>
      </c>
      <c r="AK504">
        <f t="shared" si="18"/>
        <v>201610</v>
      </c>
      <c r="AL504" s="12"/>
    </row>
    <row r="505" spans="1:38" x14ac:dyDescent="0.25">
      <c r="A505" s="6">
        <f>ReturnData!A516</f>
        <v>201611</v>
      </c>
      <c r="S505">
        <f t="shared" si="16"/>
        <v>201611</v>
      </c>
      <c r="AK505">
        <f t="shared" si="18"/>
        <v>201611</v>
      </c>
      <c r="AL505" s="12"/>
    </row>
    <row r="506" spans="1:38" x14ac:dyDescent="0.25">
      <c r="A506" s="6">
        <f>ReturnData!A517</f>
        <v>201612</v>
      </c>
      <c r="S506">
        <f t="shared" si="16"/>
        <v>201612</v>
      </c>
      <c r="AK506">
        <f t="shared" si="18"/>
        <v>201612</v>
      </c>
      <c r="AL506" s="12"/>
    </row>
    <row r="507" spans="1:38" x14ac:dyDescent="0.25">
      <c r="A507" s="6">
        <f>ReturnData!A518</f>
        <v>201701</v>
      </c>
      <c r="S507">
        <f t="shared" si="16"/>
        <v>201701</v>
      </c>
      <c r="AK507">
        <f t="shared" si="18"/>
        <v>201701</v>
      </c>
      <c r="AL507" s="12"/>
    </row>
    <row r="508" spans="1:38" x14ac:dyDescent="0.25">
      <c r="A508" s="6">
        <f>ReturnData!A519</f>
        <v>201702</v>
      </c>
      <c r="S508">
        <f t="shared" si="16"/>
        <v>201702</v>
      </c>
      <c r="AK508">
        <f t="shared" si="18"/>
        <v>201702</v>
      </c>
      <c r="AL508" s="12"/>
    </row>
    <row r="509" spans="1:38" x14ac:dyDescent="0.25">
      <c r="A509" s="6">
        <f>ReturnData!A520</f>
        <v>201703</v>
      </c>
      <c r="S509">
        <f t="shared" si="16"/>
        <v>201703</v>
      </c>
      <c r="AK509">
        <f t="shared" si="18"/>
        <v>201703</v>
      </c>
      <c r="AL509" s="12"/>
    </row>
    <row r="510" spans="1:38" x14ac:dyDescent="0.25">
      <c r="A510" s="6">
        <f>ReturnData!A521</f>
        <v>201704</v>
      </c>
      <c r="S510">
        <f t="shared" si="16"/>
        <v>201704</v>
      </c>
      <c r="AK510">
        <f t="shared" si="18"/>
        <v>201704</v>
      </c>
      <c r="AL510" s="12"/>
    </row>
    <row r="511" spans="1:38" x14ac:dyDescent="0.25">
      <c r="A511" s="6">
        <f>ReturnData!A522</f>
        <v>201705</v>
      </c>
      <c r="S511">
        <f t="shared" si="16"/>
        <v>201705</v>
      </c>
      <c r="AK511">
        <f t="shared" si="18"/>
        <v>201705</v>
      </c>
      <c r="AL511" s="12"/>
    </row>
    <row r="512" spans="1:38" x14ac:dyDescent="0.25">
      <c r="A512" s="6">
        <f>ReturnData!A523</f>
        <v>201706</v>
      </c>
      <c r="S512">
        <f t="shared" si="16"/>
        <v>201706</v>
      </c>
      <c r="AK512">
        <f t="shared" si="18"/>
        <v>201706</v>
      </c>
      <c r="AL512" s="12"/>
    </row>
    <row r="513" spans="1:38" x14ac:dyDescent="0.25">
      <c r="A513" s="6">
        <f>ReturnData!A524</f>
        <v>201707</v>
      </c>
      <c r="S513">
        <f t="shared" si="16"/>
        <v>201707</v>
      </c>
      <c r="AK513">
        <f t="shared" si="18"/>
        <v>201707</v>
      </c>
      <c r="AL513" s="12"/>
    </row>
    <row r="514" spans="1:38" x14ac:dyDescent="0.25">
      <c r="A514" s="6">
        <f>ReturnData!A525</f>
        <v>201708</v>
      </c>
      <c r="S514">
        <f t="shared" ref="S514:S577" si="19">A514</f>
        <v>201708</v>
      </c>
      <c r="AK514">
        <f t="shared" si="18"/>
        <v>201708</v>
      </c>
      <c r="AL514" s="12"/>
    </row>
    <row r="515" spans="1:38" x14ac:dyDescent="0.25">
      <c r="A515" s="6">
        <f>ReturnData!A526</f>
        <v>201709</v>
      </c>
      <c r="S515">
        <f t="shared" si="19"/>
        <v>201709</v>
      </c>
      <c r="AK515">
        <f t="shared" si="18"/>
        <v>201709</v>
      </c>
      <c r="AL515" s="12"/>
    </row>
    <row r="516" spans="1:38" x14ac:dyDescent="0.25">
      <c r="A516" s="6">
        <f>ReturnData!A527</f>
        <v>201710</v>
      </c>
      <c r="S516">
        <f t="shared" si="19"/>
        <v>201710</v>
      </c>
      <c r="AK516">
        <f t="shared" si="18"/>
        <v>201710</v>
      </c>
      <c r="AL516" s="12"/>
    </row>
    <row r="517" spans="1:38" x14ac:dyDescent="0.25">
      <c r="A517" s="6">
        <f>ReturnData!A528</f>
        <v>201711</v>
      </c>
      <c r="S517">
        <f t="shared" si="19"/>
        <v>201711</v>
      </c>
      <c r="AK517">
        <f t="shared" si="18"/>
        <v>201711</v>
      </c>
      <c r="AL517" s="12"/>
    </row>
    <row r="518" spans="1:38" x14ac:dyDescent="0.25">
      <c r="A518" s="6">
        <f>ReturnData!A529</f>
        <v>201712</v>
      </c>
      <c r="S518">
        <f t="shared" si="19"/>
        <v>201712</v>
      </c>
      <c r="AK518">
        <f t="shared" si="18"/>
        <v>201712</v>
      </c>
      <c r="AL518" s="12"/>
    </row>
    <row r="519" spans="1:38" x14ac:dyDescent="0.25">
      <c r="A519" s="6">
        <f>ReturnData!A530</f>
        <v>201801</v>
      </c>
      <c r="S519">
        <f t="shared" si="19"/>
        <v>201801</v>
      </c>
      <c r="AK519">
        <f t="shared" si="18"/>
        <v>201801</v>
      </c>
      <c r="AL519" s="12"/>
    </row>
    <row r="520" spans="1:38" x14ac:dyDescent="0.25">
      <c r="A520" s="6">
        <f>ReturnData!A531</f>
        <v>201802</v>
      </c>
      <c r="S520">
        <f t="shared" si="19"/>
        <v>201802</v>
      </c>
      <c r="AK520">
        <f t="shared" si="18"/>
        <v>201802</v>
      </c>
      <c r="AL520" s="12"/>
    </row>
    <row r="521" spans="1:38" x14ac:dyDescent="0.25">
      <c r="A521" s="6">
        <f>ReturnData!A532</f>
        <v>201803</v>
      </c>
      <c r="S521">
        <f t="shared" si="19"/>
        <v>201803</v>
      </c>
      <c r="AK521">
        <f t="shared" si="18"/>
        <v>201803</v>
      </c>
      <c r="AL521" s="12"/>
    </row>
    <row r="522" spans="1:38" x14ac:dyDescent="0.25">
      <c r="A522" s="6">
        <f>ReturnData!A533</f>
        <v>201804</v>
      </c>
      <c r="S522">
        <f t="shared" si="19"/>
        <v>201804</v>
      </c>
      <c r="AK522">
        <f t="shared" si="18"/>
        <v>201804</v>
      </c>
      <c r="AL522" s="12"/>
    </row>
    <row r="523" spans="1:38" x14ac:dyDescent="0.25">
      <c r="A523" s="6">
        <f>ReturnData!A534</f>
        <v>201805</v>
      </c>
      <c r="S523">
        <f t="shared" si="19"/>
        <v>201805</v>
      </c>
      <c r="AK523">
        <f t="shared" si="18"/>
        <v>201805</v>
      </c>
      <c r="AL523" s="12"/>
    </row>
    <row r="524" spans="1:38" x14ac:dyDescent="0.25">
      <c r="A524" s="6">
        <f>ReturnData!A535</f>
        <v>201806</v>
      </c>
      <c r="S524">
        <f t="shared" si="19"/>
        <v>201806</v>
      </c>
      <c r="AK524">
        <f t="shared" si="18"/>
        <v>201806</v>
      </c>
      <c r="AL524" s="12"/>
    </row>
    <row r="525" spans="1:38" x14ac:dyDescent="0.25">
      <c r="A525" s="6">
        <f>ReturnData!A536</f>
        <v>201807</v>
      </c>
      <c r="S525">
        <f t="shared" si="19"/>
        <v>201807</v>
      </c>
      <c r="AK525">
        <f t="shared" si="18"/>
        <v>201807</v>
      </c>
      <c r="AL525" s="12"/>
    </row>
    <row r="526" spans="1:38" x14ac:dyDescent="0.25">
      <c r="A526" s="6">
        <f>ReturnData!A537</f>
        <v>201808</v>
      </c>
      <c r="S526">
        <f t="shared" si="19"/>
        <v>201808</v>
      </c>
      <c r="AK526">
        <f t="shared" si="18"/>
        <v>201808</v>
      </c>
      <c r="AL526" s="12"/>
    </row>
    <row r="527" spans="1:38" x14ac:dyDescent="0.25">
      <c r="A527" s="6">
        <f>ReturnData!A538</f>
        <v>201809</v>
      </c>
      <c r="S527">
        <f t="shared" si="19"/>
        <v>201809</v>
      </c>
      <c r="AK527">
        <f t="shared" si="18"/>
        <v>201809</v>
      </c>
      <c r="AL527" s="12"/>
    </row>
    <row r="528" spans="1:38" x14ac:dyDescent="0.25">
      <c r="A528" s="6">
        <f>ReturnData!A539</f>
        <v>201810</v>
      </c>
      <c r="S528">
        <f t="shared" si="19"/>
        <v>201810</v>
      </c>
      <c r="AK528">
        <f t="shared" si="18"/>
        <v>201810</v>
      </c>
      <c r="AL528" s="12"/>
    </row>
    <row r="529" spans="1:38" x14ac:dyDescent="0.25">
      <c r="A529" s="6">
        <f>ReturnData!A540</f>
        <v>201811</v>
      </c>
      <c r="S529">
        <f t="shared" si="19"/>
        <v>201811</v>
      </c>
      <c r="AK529">
        <f t="shared" si="18"/>
        <v>201811</v>
      </c>
      <c r="AL529" s="12"/>
    </row>
    <row r="530" spans="1:38" x14ac:dyDescent="0.25">
      <c r="A530" s="6">
        <f>ReturnData!A541</f>
        <v>201812</v>
      </c>
      <c r="S530">
        <f t="shared" si="19"/>
        <v>201812</v>
      </c>
      <c r="AK530">
        <f t="shared" si="18"/>
        <v>201812</v>
      </c>
      <c r="AL530" s="12"/>
    </row>
    <row r="531" spans="1:38" x14ac:dyDescent="0.25">
      <c r="A531" s="6">
        <f>ReturnData!A542</f>
        <v>201901</v>
      </c>
      <c r="S531">
        <f t="shared" si="19"/>
        <v>201901</v>
      </c>
      <c r="AK531">
        <f t="shared" si="18"/>
        <v>201901</v>
      </c>
      <c r="AL531" s="12"/>
    </row>
    <row r="532" spans="1:38" x14ac:dyDescent="0.25">
      <c r="A532" s="6">
        <f>ReturnData!A543</f>
        <v>201902</v>
      </c>
      <c r="S532">
        <f t="shared" si="19"/>
        <v>201902</v>
      </c>
      <c r="AK532">
        <f t="shared" si="18"/>
        <v>201902</v>
      </c>
      <c r="AL532" s="12"/>
    </row>
    <row r="533" spans="1:38" x14ac:dyDescent="0.25">
      <c r="A533" s="6">
        <f>ReturnData!A544</f>
        <v>201903</v>
      </c>
      <c r="S533">
        <f t="shared" si="19"/>
        <v>201903</v>
      </c>
      <c r="AK533">
        <f t="shared" si="18"/>
        <v>201903</v>
      </c>
      <c r="AL533" s="12"/>
    </row>
    <row r="534" spans="1:38" x14ac:dyDescent="0.25">
      <c r="A534" s="6">
        <f>ReturnData!A545</f>
        <v>201904</v>
      </c>
      <c r="S534">
        <f t="shared" si="19"/>
        <v>201904</v>
      </c>
      <c r="AK534">
        <f t="shared" si="18"/>
        <v>201904</v>
      </c>
      <c r="AL534" s="12"/>
    </row>
    <row r="535" spans="1:38" x14ac:dyDescent="0.25">
      <c r="A535" s="6">
        <f>ReturnData!A546</f>
        <v>201905</v>
      </c>
      <c r="S535">
        <f t="shared" si="19"/>
        <v>201905</v>
      </c>
      <c r="AK535">
        <f t="shared" si="18"/>
        <v>201905</v>
      </c>
      <c r="AL535" s="12"/>
    </row>
    <row r="536" spans="1:38" x14ac:dyDescent="0.25">
      <c r="A536" s="6">
        <f>ReturnData!A547</f>
        <v>201906</v>
      </c>
      <c r="S536">
        <f t="shared" si="19"/>
        <v>201906</v>
      </c>
      <c r="AK536">
        <f t="shared" si="18"/>
        <v>201906</v>
      </c>
      <c r="AL536" s="12"/>
    </row>
    <row r="537" spans="1:38" x14ac:dyDescent="0.25">
      <c r="A537" s="6">
        <f>ReturnData!A548</f>
        <v>201907</v>
      </c>
      <c r="S537">
        <f t="shared" si="19"/>
        <v>201907</v>
      </c>
      <c r="AK537">
        <f t="shared" si="18"/>
        <v>201907</v>
      </c>
      <c r="AL537" s="12"/>
    </row>
    <row r="538" spans="1:38" x14ac:dyDescent="0.25">
      <c r="A538" s="6">
        <f>ReturnData!A549</f>
        <v>201908</v>
      </c>
      <c r="S538">
        <f t="shared" si="19"/>
        <v>201908</v>
      </c>
      <c r="AK538">
        <f t="shared" si="18"/>
        <v>201908</v>
      </c>
      <c r="AL538" s="12"/>
    </row>
    <row r="539" spans="1:38" x14ac:dyDescent="0.25">
      <c r="A539" s="6">
        <f>ReturnData!A550</f>
        <v>201909</v>
      </c>
      <c r="S539">
        <f t="shared" si="19"/>
        <v>201909</v>
      </c>
      <c r="AK539">
        <f t="shared" si="18"/>
        <v>201909</v>
      </c>
      <c r="AL539" s="12"/>
    </row>
    <row r="540" spans="1:38" x14ac:dyDescent="0.25">
      <c r="A540" s="6">
        <f>ReturnData!A551</f>
        <v>201910</v>
      </c>
      <c r="S540">
        <f t="shared" si="19"/>
        <v>201910</v>
      </c>
      <c r="AK540">
        <f t="shared" si="18"/>
        <v>201910</v>
      </c>
      <c r="AL540" s="12"/>
    </row>
    <row r="541" spans="1:38" x14ac:dyDescent="0.25">
      <c r="A541" s="6">
        <f>ReturnData!A552</f>
        <v>201911</v>
      </c>
      <c r="S541">
        <f t="shared" si="19"/>
        <v>201911</v>
      </c>
      <c r="AK541">
        <f t="shared" si="18"/>
        <v>201911</v>
      </c>
      <c r="AL541" s="12"/>
    </row>
    <row r="542" spans="1:38" x14ac:dyDescent="0.25">
      <c r="A542" s="6">
        <f>ReturnData!A553</f>
        <v>201912</v>
      </c>
      <c r="S542">
        <f t="shared" si="19"/>
        <v>201912</v>
      </c>
      <c r="AK542">
        <f t="shared" si="18"/>
        <v>201912</v>
      </c>
      <c r="AL542" s="12"/>
    </row>
    <row r="543" spans="1:38" x14ac:dyDescent="0.25">
      <c r="A543" s="6">
        <f>ReturnData!A554</f>
        <v>202001</v>
      </c>
      <c r="S543">
        <f t="shared" si="19"/>
        <v>202001</v>
      </c>
      <c r="AK543">
        <f t="shared" si="18"/>
        <v>202001</v>
      </c>
      <c r="AL543" s="12"/>
    </row>
    <row r="544" spans="1:38" x14ac:dyDescent="0.25">
      <c r="A544" s="6">
        <f>ReturnData!A555</f>
        <v>202002</v>
      </c>
      <c r="S544">
        <f t="shared" si="19"/>
        <v>202002</v>
      </c>
      <c r="AK544">
        <f t="shared" si="18"/>
        <v>202002</v>
      </c>
      <c r="AL544" s="12"/>
    </row>
    <row r="545" spans="1:38" x14ac:dyDescent="0.25">
      <c r="A545" s="6">
        <f>ReturnData!A556</f>
        <v>202003</v>
      </c>
      <c r="S545">
        <f t="shared" si="19"/>
        <v>202003</v>
      </c>
      <c r="AK545">
        <f t="shared" si="18"/>
        <v>202003</v>
      </c>
      <c r="AL545" s="12"/>
    </row>
    <row r="546" spans="1:38" x14ac:dyDescent="0.25">
      <c r="A546" s="6">
        <f>ReturnData!A557</f>
        <v>202004</v>
      </c>
      <c r="S546">
        <f t="shared" si="19"/>
        <v>202004</v>
      </c>
      <c r="AK546">
        <f t="shared" si="18"/>
        <v>202004</v>
      </c>
      <c r="AL546" s="12"/>
    </row>
    <row r="547" spans="1:38" x14ac:dyDescent="0.25">
      <c r="A547" s="6">
        <f>ReturnData!A558</f>
        <v>202005</v>
      </c>
      <c r="S547">
        <f t="shared" si="19"/>
        <v>202005</v>
      </c>
      <c r="AK547">
        <f t="shared" ref="AK547:AK602" si="20">S547</f>
        <v>202005</v>
      </c>
      <c r="AL547" s="12"/>
    </row>
    <row r="548" spans="1:38" x14ac:dyDescent="0.25">
      <c r="A548" s="6">
        <f>ReturnData!A559</f>
        <v>202006</v>
      </c>
      <c r="S548">
        <f t="shared" si="19"/>
        <v>202006</v>
      </c>
      <c r="AK548">
        <f t="shared" si="20"/>
        <v>202006</v>
      </c>
      <c r="AL548" s="12"/>
    </row>
    <row r="549" spans="1:38" x14ac:dyDescent="0.25">
      <c r="A549" s="6">
        <f>ReturnData!A560</f>
        <v>202007</v>
      </c>
      <c r="S549">
        <f t="shared" si="19"/>
        <v>202007</v>
      </c>
      <c r="AK549">
        <f t="shared" si="20"/>
        <v>202007</v>
      </c>
      <c r="AL549" s="12"/>
    </row>
    <row r="550" spans="1:38" x14ac:dyDescent="0.25">
      <c r="A550" s="6">
        <f>ReturnData!A561</f>
        <v>202008</v>
      </c>
      <c r="S550">
        <f t="shared" si="19"/>
        <v>202008</v>
      </c>
      <c r="AK550">
        <f t="shared" si="20"/>
        <v>202008</v>
      </c>
      <c r="AL550" s="12"/>
    </row>
    <row r="551" spans="1:38" x14ac:dyDescent="0.25">
      <c r="A551" s="6">
        <f>ReturnData!A562</f>
        <v>202009</v>
      </c>
      <c r="S551">
        <f t="shared" si="19"/>
        <v>202009</v>
      </c>
      <c r="AK551">
        <f t="shared" si="20"/>
        <v>202009</v>
      </c>
      <c r="AL551" s="12"/>
    </row>
    <row r="552" spans="1:38" x14ac:dyDescent="0.25">
      <c r="A552" s="6">
        <f>ReturnData!A563</f>
        <v>202010</v>
      </c>
      <c r="S552">
        <f t="shared" si="19"/>
        <v>202010</v>
      </c>
      <c r="AK552">
        <f t="shared" si="20"/>
        <v>202010</v>
      </c>
      <c r="AL552" s="12"/>
    </row>
    <row r="553" spans="1:38" x14ac:dyDescent="0.25">
      <c r="A553" s="6">
        <f>ReturnData!A564</f>
        <v>202011</v>
      </c>
      <c r="S553">
        <f t="shared" si="19"/>
        <v>202011</v>
      </c>
      <c r="AK553">
        <f t="shared" si="20"/>
        <v>202011</v>
      </c>
      <c r="AL553" s="12"/>
    </row>
    <row r="554" spans="1:38" x14ac:dyDescent="0.25">
      <c r="A554" s="6">
        <f>ReturnData!A565</f>
        <v>202012</v>
      </c>
      <c r="S554">
        <f t="shared" si="19"/>
        <v>202012</v>
      </c>
      <c r="AK554">
        <f t="shared" si="20"/>
        <v>202012</v>
      </c>
      <c r="AL554" s="12"/>
    </row>
    <row r="555" spans="1:38" x14ac:dyDescent="0.25">
      <c r="A555" s="6">
        <f>ReturnData!A566</f>
        <v>202101</v>
      </c>
      <c r="S555">
        <f t="shared" si="19"/>
        <v>202101</v>
      </c>
      <c r="AK555">
        <f t="shared" si="20"/>
        <v>202101</v>
      </c>
      <c r="AL555" s="12"/>
    </row>
    <row r="556" spans="1:38" x14ac:dyDescent="0.25">
      <c r="A556" s="6">
        <f>ReturnData!A567</f>
        <v>202102</v>
      </c>
      <c r="S556">
        <f t="shared" si="19"/>
        <v>202102</v>
      </c>
      <c r="AK556">
        <f t="shared" si="20"/>
        <v>202102</v>
      </c>
      <c r="AL556" s="12"/>
    </row>
    <row r="557" spans="1:38" x14ac:dyDescent="0.25">
      <c r="A557" s="6">
        <f>ReturnData!A568</f>
        <v>202103</v>
      </c>
      <c r="S557">
        <f t="shared" si="19"/>
        <v>202103</v>
      </c>
      <c r="AK557">
        <f t="shared" si="20"/>
        <v>202103</v>
      </c>
      <c r="AL557" s="12"/>
    </row>
    <row r="558" spans="1:38" x14ac:dyDescent="0.25">
      <c r="A558" s="6">
        <f>ReturnData!A569</f>
        <v>202104</v>
      </c>
      <c r="S558">
        <f t="shared" si="19"/>
        <v>202104</v>
      </c>
      <c r="AK558">
        <f t="shared" si="20"/>
        <v>202104</v>
      </c>
      <c r="AL558" s="12"/>
    </row>
    <row r="559" spans="1:38" x14ac:dyDescent="0.25">
      <c r="A559" s="6">
        <f>ReturnData!A570</f>
        <v>202105</v>
      </c>
      <c r="S559">
        <f t="shared" si="19"/>
        <v>202105</v>
      </c>
      <c r="AK559">
        <f t="shared" si="20"/>
        <v>202105</v>
      </c>
      <c r="AL559" s="12"/>
    </row>
    <row r="560" spans="1:38" x14ac:dyDescent="0.25">
      <c r="A560" s="6">
        <f>ReturnData!A571</f>
        <v>202106</v>
      </c>
      <c r="S560">
        <f t="shared" si="19"/>
        <v>202106</v>
      </c>
      <c r="AK560">
        <f t="shared" si="20"/>
        <v>202106</v>
      </c>
      <c r="AL560" s="12"/>
    </row>
    <row r="561" spans="1:38" x14ac:dyDescent="0.25">
      <c r="A561" s="6">
        <f>ReturnData!A572</f>
        <v>202107</v>
      </c>
      <c r="S561">
        <f t="shared" si="19"/>
        <v>202107</v>
      </c>
      <c r="AK561">
        <f t="shared" si="20"/>
        <v>202107</v>
      </c>
      <c r="AL561" s="12"/>
    </row>
    <row r="562" spans="1:38" x14ac:dyDescent="0.25">
      <c r="A562" s="6">
        <f>ReturnData!A573</f>
        <v>202108</v>
      </c>
      <c r="S562">
        <f t="shared" si="19"/>
        <v>202108</v>
      </c>
      <c r="AK562">
        <f t="shared" si="20"/>
        <v>202108</v>
      </c>
      <c r="AL562" s="12"/>
    </row>
    <row r="563" spans="1:38" x14ac:dyDescent="0.25">
      <c r="A563" s="6">
        <f>ReturnData!A574</f>
        <v>202109</v>
      </c>
      <c r="S563">
        <f t="shared" si="19"/>
        <v>202109</v>
      </c>
      <c r="AK563">
        <f t="shared" si="20"/>
        <v>202109</v>
      </c>
      <c r="AL563" s="12"/>
    </row>
    <row r="564" spans="1:38" x14ac:dyDescent="0.25">
      <c r="A564" s="6">
        <f>ReturnData!A575</f>
        <v>202110</v>
      </c>
      <c r="S564">
        <f t="shared" si="19"/>
        <v>202110</v>
      </c>
      <c r="AK564">
        <f t="shared" si="20"/>
        <v>202110</v>
      </c>
      <c r="AL564" s="12"/>
    </row>
    <row r="565" spans="1:38" x14ac:dyDescent="0.25">
      <c r="A565" s="6">
        <f>ReturnData!A576</f>
        <v>202111</v>
      </c>
      <c r="S565">
        <f t="shared" si="19"/>
        <v>202111</v>
      </c>
      <c r="AK565">
        <f t="shared" si="20"/>
        <v>202111</v>
      </c>
      <c r="AL565" s="12"/>
    </row>
    <row r="566" spans="1:38" x14ac:dyDescent="0.25">
      <c r="A566" s="6">
        <f>ReturnData!A577</f>
        <v>202112</v>
      </c>
      <c r="S566">
        <f t="shared" si="19"/>
        <v>202112</v>
      </c>
      <c r="AK566">
        <f t="shared" si="20"/>
        <v>202112</v>
      </c>
      <c r="AL566" s="12"/>
    </row>
    <row r="567" spans="1:38" x14ac:dyDescent="0.25">
      <c r="A567" s="6">
        <f>ReturnData!A578</f>
        <v>202201</v>
      </c>
      <c r="S567">
        <f t="shared" si="19"/>
        <v>202201</v>
      </c>
      <c r="AK567">
        <f t="shared" si="20"/>
        <v>202201</v>
      </c>
      <c r="AL567" s="12"/>
    </row>
    <row r="568" spans="1:38" x14ac:dyDescent="0.25">
      <c r="A568" s="6">
        <f>ReturnData!A579</f>
        <v>202202</v>
      </c>
      <c r="S568">
        <f t="shared" si="19"/>
        <v>202202</v>
      </c>
      <c r="AK568">
        <f t="shared" si="20"/>
        <v>202202</v>
      </c>
      <c r="AL568" s="12"/>
    </row>
    <row r="569" spans="1:38" x14ac:dyDescent="0.25">
      <c r="A569" s="6">
        <f>ReturnData!A580</f>
        <v>202203</v>
      </c>
      <c r="S569">
        <f t="shared" si="19"/>
        <v>202203</v>
      </c>
      <c r="AK569">
        <f t="shared" si="20"/>
        <v>202203</v>
      </c>
      <c r="AL569" s="12"/>
    </row>
    <row r="570" spans="1:38" x14ac:dyDescent="0.25">
      <c r="A570" s="6">
        <f>ReturnData!A581</f>
        <v>202204</v>
      </c>
      <c r="S570">
        <f t="shared" si="19"/>
        <v>202204</v>
      </c>
      <c r="AK570">
        <f t="shared" si="20"/>
        <v>202204</v>
      </c>
      <c r="AL570" s="12"/>
    </row>
    <row r="571" spans="1:38" x14ac:dyDescent="0.25">
      <c r="A571" s="6">
        <f>ReturnData!A582</f>
        <v>202205</v>
      </c>
      <c r="S571">
        <f t="shared" si="19"/>
        <v>202205</v>
      </c>
      <c r="AK571">
        <f t="shared" si="20"/>
        <v>202205</v>
      </c>
      <c r="AL571" s="12"/>
    </row>
    <row r="572" spans="1:38" x14ac:dyDescent="0.25">
      <c r="A572" s="6">
        <f>ReturnData!A583</f>
        <v>202206</v>
      </c>
      <c r="S572">
        <f t="shared" si="19"/>
        <v>202206</v>
      </c>
      <c r="AK572">
        <f t="shared" si="20"/>
        <v>202206</v>
      </c>
      <c r="AL572" s="12"/>
    </row>
    <row r="573" spans="1:38" x14ac:dyDescent="0.25">
      <c r="A573" s="6">
        <f>ReturnData!A584</f>
        <v>202207</v>
      </c>
      <c r="S573">
        <f t="shared" si="19"/>
        <v>202207</v>
      </c>
      <c r="AK573">
        <f t="shared" si="20"/>
        <v>202207</v>
      </c>
      <c r="AL573" s="12"/>
    </row>
    <row r="574" spans="1:38" x14ac:dyDescent="0.25">
      <c r="A574" s="6">
        <f>ReturnData!A585</f>
        <v>202208</v>
      </c>
      <c r="S574">
        <f t="shared" si="19"/>
        <v>202208</v>
      </c>
      <c r="AK574">
        <f t="shared" si="20"/>
        <v>202208</v>
      </c>
      <c r="AL574" s="12"/>
    </row>
    <row r="575" spans="1:38" x14ac:dyDescent="0.25">
      <c r="A575" s="6">
        <f>ReturnData!A586</f>
        <v>202209</v>
      </c>
      <c r="S575">
        <f t="shared" si="19"/>
        <v>202209</v>
      </c>
      <c r="AK575">
        <f t="shared" si="20"/>
        <v>202209</v>
      </c>
      <c r="AL575" s="12"/>
    </row>
    <row r="576" spans="1:38" x14ac:dyDescent="0.25">
      <c r="A576" s="6">
        <f>ReturnData!A587</f>
        <v>202210</v>
      </c>
      <c r="S576">
        <f t="shared" si="19"/>
        <v>202210</v>
      </c>
      <c r="AK576">
        <f t="shared" si="20"/>
        <v>202210</v>
      </c>
      <c r="AL576" s="12"/>
    </row>
    <row r="577" spans="1:38" x14ac:dyDescent="0.25">
      <c r="A577" s="6">
        <f>ReturnData!A588</f>
        <v>202211</v>
      </c>
      <c r="S577">
        <f t="shared" si="19"/>
        <v>202211</v>
      </c>
      <c r="AK577">
        <f t="shared" si="20"/>
        <v>202211</v>
      </c>
      <c r="AL577" s="12"/>
    </row>
    <row r="578" spans="1:38" x14ac:dyDescent="0.25">
      <c r="A578" s="6">
        <f>ReturnData!A589</f>
        <v>202212</v>
      </c>
      <c r="S578">
        <f t="shared" ref="S578:S602" si="21">A578</f>
        <v>202212</v>
      </c>
      <c r="AK578">
        <f t="shared" si="20"/>
        <v>202212</v>
      </c>
      <c r="AL578" s="12"/>
    </row>
    <row r="579" spans="1:38" x14ac:dyDescent="0.25">
      <c r="A579" s="6">
        <f>ReturnData!A590</f>
        <v>202301</v>
      </c>
      <c r="S579">
        <f t="shared" si="21"/>
        <v>202301</v>
      </c>
      <c r="AK579">
        <f t="shared" si="20"/>
        <v>202301</v>
      </c>
      <c r="AL579" s="12"/>
    </row>
    <row r="580" spans="1:38" x14ac:dyDescent="0.25">
      <c r="A580" s="6">
        <f>ReturnData!A591</f>
        <v>202302</v>
      </c>
      <c r="S580">
        <f t="shared" si="21"/>
        <v>202302</v>
      </c>
      <c r="AK580">
        <f t="shared" si="20"/>
        <v>202302</v>
      </c>
      <c r="AL580" s="12"/>
    </row>
    <row r="581" spans="1:38" x14ac:dyDescent="0.25">
      <c r="A581" s="6">
        <f>ReturnData!A592</f>
        <v>202303</v>
      </c>
      <c r="S581">
        <f t="shared" si="21"/>
        <v>202303</v>
      </c>
      <c r="AK581">
        <f t="shared" si="20"/>
        <v>202303</v>
      </c>
      <c r="AL581" s="12"/>
    </row>
    <row r="582" spans="1:38" x14ac:dyDescent="0.25">
      <c r="A582" s="6">
        <f>ReturnData!A593</f>
        <v>202304</v>
      </c>
      <c r="S582">
        <f t="shared" si="21"/>
        <v>202304</v>
      </c>
      <c r="AK582">
        <f t="shared" si="20"/>
        <v>202304</v>
      </c>
      <c r="AL582" s="12"/>
    </row>
    <row r="583" spans="1:38" x14ac:dyDescent="0.25">
      <c r="A583" s="6">
        <f>ReturnData!A594</f>
        <v>202305</v>
      </c>
      <c r="S583">
        <f t="shared" si="21"/>
        <v>202305</v>
      </c>
      <c r="AK583">
        <f t="shared" si="20"/>
        <v>202305</v>
      </c>
      <c r="AL583" s="12"/>
    </row>
    <row r="584" spans="1:38" x14ac:dyDescent="0.25">
      <c r="A584" s="6">
        <f>ReturnData!A595</f>
        <v>202306</v>
      </c>
      <c r="S584">
        <f t="shared" si="21"/>
        <v>202306</v>
      </c>
      <c r="AK584">
        <f t="shared" si="20"/>
        <v>202306</v>
      </c>
      <c r="AL584" s="12"/>
    </row>
    <row r="585" spans="1:38" x14ac:dyDescent="0.25">
      <c r="A585" s="6">
        <f>ReturnData!A596</f>
        <v>202307</v>
      </c>
      <c r="S585">
        <f t="shared" si="21"/>
        <v>202307</v>
      </c>
      <c r="AK585">
        <f t="shared" si="20"/>
        <v>202307</v>
      </c>
      <c r="AL585" s="12"/>
    </row>
    <row r="586" spans="1:38" x14ac:dyDescent="0.25">
      <c r="A586" s="6">
        <f>ReturnData!A597</f>
        <v>202308</v>
      </c>
      <c r="S586">
        <f t="shared" si="21"/>
        <v>202308</v>
      </c>
      <c r="AK586">
        <f t="shared" si="20"/>
        <v>202308</v>
      </c>
      <c r="AL586" s="12"/>
    </row>
    <row r="587" spans="1:38" x14ac:dyDescent="0.25">
      <c r="A587" s="6">
        <f>ReturnData!A598</f>
        <v>202309</v>
      </c>
      <c r="S587">
        <f t="shared" si="21"/>
        <v>202309</v>
      </c>
      <c r="AK587">
        <f t="shared" si="20"/>
        <v>202309</v>
      </c>
      <c r="AL587" s="12"/>
    </row>
    <row r="588" spans="1:38" x14ac:dyDescent="0.25">
      <c r="A588" s="6">
        <f>ReturnData!A599</f>
        <v>202310</v>
      </c>
      <c r="S588">
        <f t="shared" si="21"/>
        <v>202310</v>
      </c>
      <c r="AK588">
        <f t="shared" si="20"/>
        <v>202310</v>
      </c>
      <c r="AL588" s="12"/>
    </row>
    <row r="589" spans="1:38" x14ac:dyDescent="0.25">
      <c r="A589" s="6">
        <f>ReturnData!A600</f>
        <v>202311</v>
      </c>
      <c r="S589">
        <f t="shared" si="21"/>
        <v>202311</v>
      </c>
      <c r="AK589">
        <f t="shared" si="20"/>
        <v>202311</v>
      </c>
      <c r="AL589" s="12"/>
    </row>
    <row r="590" spans="1:38" x14ac:dyDescent="0.25">
      <c r="A590" s="6">
        <f>ReturnData!A601</f>
        <v>202312</v>
      </c>
      <c r="S590">
        <f t="shared" si="21"/>
        <v>202312</v>
      </c>
      <c r="AK590">
        <f t="shared" si="20"/>
        <v>202312</v>
      </c>
      <c r="AL590" s="12"/>
    </row>
    <row r="591" spans="1:38" x14ac:dyDescent="0.25">
      <c r="A591" s="6">
        <f>ReturnData!A602</f>
        <v>202401</v>
      </c>
      <c r="S591">
        <f t="shared" si="21"/>
        <v>202401</v>
      </c>
      <c r="AK591">
        <f t="shared" si="20"/>
        <v>202401</v>
      </c>
      <c r="AL591" s="12"/>
    </row>
    <row r="592" spans="1:38" x14ac:dyDescent="0.25">
      <c r="A592" s="6">
        <f>ReturnData!A603</f>
        <v>202402</v>
      </c>
      <c r="S592">
        <f t="shared" si="21"/>
        <v>202402</v>
      </c>
      <c r="AK592">
        <f t="shared" si="20"/>
        <v>202402</v>
      </c>
      <c r="AL592" s="12"/>
    </row>
    <row r="593" spans="1:38" x14ac:dyDescent="0.25">
      <c r="A593" s="6">
        <f>ReturnData!A604</f>
        <v>202403</v>
      </c>
      <c r="S593">
        <f t="shared" si="21"/>
        <v>202403</v>
      </c>
      <c r="AK593">
        <f t="shared" si="20"/>
        <v>202403</v>
      </c>
      <c r="AL593" s="12"/>
    </row>
    <row r="594" spans="1:38" x14ac:dyDescent="0.25">
      <c r="A594" s="6">
        <f>ReturnData!A605</f>
        <v>202404</v>
      </c>
      <c r="S594">
        <f t="shared" si="21"/>
        <v>202404</v>
      </c>
      <c r="AK594">
        <f t="shared" si="20"/>
        <v>202404</v>
      </c>
      <c r="AL594" s="12"/>
    </row>
    <row r="595" spans="1:38" x14ac:dyDescent="0.25">
      <c r="A595" s="6">
        <f>ReturnData!A606</f>
        <v>202405</v>
      </c>
      <c r="S595">
        <f t="shared" si="21"/>
        <v>202405</v>
      </c>
      <c r="AK595">
        <f t="shared" si="20"/>
        <v>202405</v>
      </c>
      <c r="AL595" s="12"/>
    </row>
    <row r="596" spans="1:38" x14ac:dyDescent="0.25">
      <c r="A596" s="6">
        <f>ReturnData!A607</f>
        <v>202406</v>
      </c>
      <c r="S596">
        <f t="shared" si="21"/>
        <v>202406</v>
      </c>
      <c r="AK596">
        <f t="shared" si="20"/>
        <v>202406</v>
      </c>
      <c r="AL596" s="12"/>
    </row>
    <row r="597" spans="1:38" x14ac:dyDescent="0.25">
      <c r="A597" s="6">
        <f>ReturnData!A608</f>
        <v>202407</v>
      </c>
      <c r="S597">
        <f t="shared" si="21"/>
        <v>202407</v>
      </c>
      <c r="AK597">
        <f t="shared" si="20"/>
        <v>202407</v>
      </c>
      <c r="AL597" s="12"/>
    </row>
    <row r="598" spans="1:38" x14ac:dyDescent="0.25">
      <c r="A598" s="6">
        <f>ReturnData!A609</f>
        <v>202408</v>
      </c>
      <c r="S598">
        <f t="shared" si="21"/>
        <v>202408</v>
      </c>
      <c r="AK598">
        <f t="shared" si="20"/>
        <v>202408</v>
      </c>
      <c r="AL598" s="12"/>
    </row>
    <row r="599" spans="1:38" x14ac:dyDescent="0.25">
      <c r="A599" s="6">
        <f>ReturnData!A610</f>
        <v>202409</v>
      </c>
      <c r="S599">
        <f t="shared" si="21"/>
        <v>202409</v>
      </c>
      <c r="AK599">
        <f t="shared" si="20"/>
        <v>202409</v>
      </c>
      <c r="AL599" s="12"/>
    </row>
    <row r="600" spans="1:38" x14ac:dyDescent="0.25">
      <c r="A600" s="6">
        <f>ReturnData!A611</f>
        <v>202410</v>
      </c>
      <c r="S600">
        <f t="shared" si="21"/>
        <v>202410</v>
      </c>
      <c r="AK600">
        <f t="shared" si="20"/>
        <v>202410</v>
      </c>
      <c r="AL600" s="12"/>
    </row>
    <row r="601" spans="1:38" x14ac:dyDescent="0.25">
      <c r="A601" s="6">
        <f>ReturnData!A612</f>
        <v>202411</v>
      </c>
      <c r="S601">
        <f t="shared" si="21"/>
        <v>202411</v>
      </c>
      <c r="AK601">
        <f t="shared" si="20"/>
        <v>202411</v>
      </c>
      <c r="AL601" s="12"/>
    </row>
    <row r="602" spans="1:38" x14ac:dyDescent="0.25">
      <c r="A602" s="6">
        <f>ReturnData!A613</f>
        <v>202412</v>
      </c>
      <c r="S602">
        <f t="shared" si="21"/>
        <v>202412</v>
      </c>
      <c r="AK602">
        <f t="shared" si="20"/>
        <v>202412</v>
      </c>
      <c r="AL602" s="12"/>
    </row>
    <row r="603" spans="1:38" x14ac:dyDescent="0.25">
      <c r="A603" s="6"/>
      <c r="AL603" s="12"/>
    </row>
    <row r="604" spans="1:38" x14ac:dyDescent="0.25">
      <c r="A604" s="6"/>
      <c r="AL604" s="12"/>
    </row>
    <row r="605" spans="1:38" x14ac:dyDescent="0.25">
      <c r="A605" s="6"/>
      <c r="AL605" s="12"/>
    </row>
    <row r="606" spans="1:38" x14ac:dyDescent="0.25">
      <c r="A606" s="6"/>
      <c r="AL606" s="12"/>
    </row>
    <row r="607" spans="1:38" x14ac:dyDescent="0.25">
      <c r="A607" s="6"/>
      <c r="AL607" s="12"/>
    </row>
    <row r="608" spans="1:38" x14ac:dyDescent="0.25">
      <c r="A608" s="6"/>
      <c r="AL608" s="12"/>
    </row>
    <row r="609" spans="1:38" x14ac:dyDescent="0.25">
      <c r="A609" s="6"/>
      <c r="AL609" s="12"/>
    </row>
    <row r="610" spans="1:38" x14ac:dyDescent="0.25">
      <c r="A610" s="6"/>
      <c r="AL610" s="12"/>
    </row>
    <row r="611" spans="1:38" x14ac:dyDescent="0.25">
      <c r="A611" s="6"/>
      <c r="AL611" s="12"/>
    </row>
    <row r="612" spans="1:38" x14ac:dyDescent="0.25">
      <c r="A612" s="6"/>
      <c r="AL612" s="12"/>
    </row>
    <row r="613" spans="1:38" x14ac:dyDescent="0.25">
      <c r="A613" s="6"/>
      <c r="AL613" s="12"/>
    </row>
    <row r="614" spans="1:38" x14ac:dyDescent="0.25">
      <c r="A614" s="6"/>
      <c r="AL614" s="12"/>
    </row>
    <row r="615" spans="1:38" x14ac:dyDescent="0.25">
      <c r="A615" s="6"/>
      <c r="AL615" s="12"/>
    </row>
    <row r="616" spans="1:38" x14ac:dyDescent="0.25">
      <c r="A616" s="6"/>
      <c r="AL616" s="12"/>
    </row>
    <row r="617" spans="1:38" x14ac:dyDescent="0.25">
      <c r="A617" s="6"/>
      <c r="AL617" s="12"/>
    </row>
    <row r="618" spans="1:38" x14ac:dyDescent="0.25">
      <c r="A618" s="6"/>
      <c r="AL618" s="12"/>
    </row>
    <row r="619" spans="1:38" x14ac:dyDescent="0.25">
      <c r="A619" s="6"/>
      <c r="AL619" s="12"/>
    </row>
    <row r="620" spans="1:38" x14ac:dyDescent="0.25">
      <c r="A620" s="6"/>
      <c r="AL620" s="12"/>
    </row>
    <row r="621" spans="1:38" x14ac:dyDescent="0.25">
      <c r="A621" s="6"/>
      <c r="AL621" s="12"/>
    </row>
    <row r="622" spans="1:38" x14ac:dyDescent="0.25">
      <c r="A622" s="6"/>
      <c r="AL622" s="12"/>
    </row>
    <row r="623" spans="1:38" x14ac:dyDescent="0.25">
      <c r="A623" s="6"/>
      <c r="AL623" s="12"/>
    </row>
    <row r="624" spans="1:38" x14ac:dyDescent="0.25">
      <c r="A624" s="6"/>
      <c r="AL624" s="12"/>
    </row>
    <row r="625" spans="1:38" x14ac:dyDescent="0.25">
      <c r="A625" s="6"/>
      <c r="AL625" s="12"/>
    </row>
    <row r="626" spans="1:38" x14ac:dyDescent="0.25">
      <c r="A626" s="6"/>
      <c r="AL626" s="12"/>
    </row>
    <row r="627" spans="1:38" x14ac:dyDescent="0.25">
      <c r="A627" s="6"/>
      <c r="AL627" s="12"/>
    </row>
    <row r="628" spans="1:38" x14ac:dyDescent="0.25">
      <c r="A628" s="6"/>
      <c r="AL628" s="12"/>
    </row>
    <row r="629" spans="1:38" x14ac:dyDescent="0.25">
      <c r="A629" s="6"/>
      <c r="AL629" s="12"/>
    </row>
    <row r="630" spans="1:38" x14ac:dyDescent="0.25">
      <c r="A630" s="6"/>
      <c r="AL630" s="12"/>
    </row>
    <row r="631" spans="1:38" x14ac:dyDescent="0.25">
      <c r="A631" s="6"/>
      <c r="AL631" s="12"/>
    </row>
    <row r="632" spans="1:38" x14ac:dyDescent="0.25">
      <c r="A632" s="6"/>
      <c r="AL632" s="12"/>
    </row>
    <row r="633" spans="1:38" x14ac:dyDescent="0.25">
      <c r="A633" s="6"/>
      <c r="AL633" s="12"/>
    </row>
    <row r="634" spans="1:38" x14ac:dyDescent="0.25">
      <c r="A634" s="6"/>
      <c r="AL634" s="12"/>
    </row>
    <row r="635" spans="1:38" x14ac:dyDescent="0.25">
      <c r="A635" s="6"/>
      <c r="AL635" s="12"/>
    </row>
    <row r="636" spans="1:38" x14ac:dyDescent="0.25">
      <c r="A636" s="6"/>
      <c r="AL636" s="12"/>
    </row>
    <row r="637" spans="1:38" x14ac:dyDescent="0.25">
      <c r="A637" s="6"/>
      <c r="AL637" s="12"/>
    </row>
    <row r="638" spans="1:38" x14ac:dyDescent="0.25">
      <c r="A638" s="6"/>
      <c r="AL638" s="12"/>
    </row>
    <row r="639" spans="1:38" x14ac:dyDescent="0.25">
      <c r="A639" s="6"/>
      <c r="AL639" s="12"/>
    </row>
    <row r="640" spans="1:38" x14ac:dyDescent="0.25">
      <c r="A640" s="6"/>
      <c r="AL640" s="12"/>
    </row>
    <row r="641" spans="1:38" x14ac:dyDescent="0.25">
      <c r="A641" s="6"/>
      <c r="AL641" s="12"/>
    </row>
    <row r="642" spans="1:38" x14ac:dyDescent="0.25">
      <c r="A642" s="6"/>
      <c r="AL642" s="12"/>
    </row>
    <row r="643" spans="1:38" x14ac:dyDescent="0.25">
      <c r="A643" s="6"/>
      <c r="AL643" s="12"/>
    </row>
    <row r="644" spans="1:38" x14ac:dyDescent="0.25">
      <c r="A644" s="6"/>
      <c r="AL644" s="12"/>
    </row>
    <row r="645" spans="1:38" x14ac:dyDescent="0.25">
      <c r="A645" s="6"/>
      <c r="AL645" s="12"/>
    </row>
    <row r="646" spans="1:38" x14ac:dyDescent="0.25">
      <c r="A646" s="6"/>
      <c r="AL646" s="12"/>
    </row>
    <row r="647" spans="1:38" x14ac:dyDescent="0.25">
      <c r="A647" s="6"/>
      <c r="AL647" s="12"/>
    </row>
    <row r="648" spans="1:38" x14ac:dyDescent="0.25">
      <c r="A648" s="6"/>
      <c r="AL648" s="12"/>
    </row>
    <row r="649" spans="1:38" x14ac:dyDescent="0.25">
      <c r="A649" s="6"/>
      <c r="AL649" s="12"/>
    </row>
    <row r="650" spans="1:38" x14ac:dyDescent="0.25">
      <c r="A650" s="6"/>
      <c r="AL650" s="12"/>
    </row>
    <row r="651" spans="1:38" x14ac:dyDescent="0.25">
      <c r="A651" s="6"/>
      <c r="AL651" s="12"/>
    </row>
    <row r="652" spans="1:38" x14ac:dyDescent="0.25">
      <c r="A652" s="6"/>
      <c r="AL652" s="12"/>
    </row>
    <row r="653" spans="1:38" x14ac:dyDescent="0.25">
      <c r="A653" s="6"/>
      <c r="AL653" s="12"/>
    </row>
    <row r="654" spans="1:38" x14ac:dyDescent="0.25">
      <c r="A654" s="6"/>
      <c r="AL654" s="12"/>
    </row>
    <row r="655" spans="1:38" x14ac:dyDescent="0.25">
      <c r="A655" s="6"/>
      <c r="AL655" s="12"/>
    </row>
    <row r="656" spans="1:38" x14ac:dyDescent="0.25">
      <c r="A656" s="6"/>
      <c r="AL656" s="12"/>
    </row>
    <row r="657" spans="1:38" x14ac:dyDescent="0.25">
      <c r="A657" s="6"/>
      <c r="AL657" s="12"/>
    </row>
    <row r="658" spans="1:38" x14ac:dyDescent="0.25">
      <c r="A658" s="6"/>
      <c r="AL658" s="12"/>
    </row>
    <row r="659" spans="1:38" x14ac:dyDescent="0.25">
      <c r="A659" s="6"/>
      <c r="AL659" s="12"/>
    </row>
    <row r="660" spans="1:38" x14ac:dyDescent="0.25">
      <c r="A660" s="6"/>
      <c r="AL660" s="12"/>
    </row>
    <row r="661" spans="1:38" x14ac:dyDescent="0.25">
      <c r="A661" s="6"/>
      <c r="AL661" s="12"/>
    </row>
    <row r="662" spans="1:38" x14ac:dyDescent="0.25">
      <c r="A662" s="6"/>
      <c r="AL662" s="12"/>
    </row>
    <row r="663" spans="1:38" x14ac:dyDescent="0.25">
      <c r="A663" s="6"/>
      <c r="AL663" s="12"/>
    </row>
    <row r="664" spans="1:38" x14ac:dyDescent="0.25">
      <c r="A664" s="6"/>
      <c r="AL664" s="12"/>
    </row>
    <row r="665" spans="1:38" x14ac:dyDescent="0.25">
      <c r="A665" s="6"/>
      <c r="AL665" s="12"/>
    </row>
    <row r="666" spans="1:38" x14ac:dyDescent="0.25">
      <c r="A666" s="6"/>
      <c r="AL666" s="12"/>
    </row>
    <row r="667" spans="1:38" x14ac:dyDescent="0.25">
      <c r="A667" s="6"/>
      <c r="AL667" s="12"/>
    </row>
    <row r="668" spans="1:38" x14ac:dyDescent="0.25">
      <c r="A668" s="6"/>
      <c r="AL668" s="12"/>
    </row>
    <row r="669" spans="1:38" x14ac:dyDescent="0.25">
      <c r="A669" s="6"/>
      <c r="AL669" s="12"/>
    </row>
    <row r="670" spans="1:38" x14ac:dyDescent="0.25">
      <c r="A670" s="6"/>
      <c r="AL670" s="12"/>
    </row>
    <row r="671" spans="1:38" x14ac:dyDescent="0.25">
      <c r="A671" s="6"/>
      <c r="AL671" s="12"/>
    </row>
    <row r="672" spans="1:38" x14ac:dyDescent="0.25">
      <c r="A672" s="6"/>
      <c r="AL672" s="12"/>
    </row>
    <row r="673" spans="1:38" x14ac:dyDescent="0.25">
      <c r="A673" s="6"/>
      <c r="AL673" s="12"/>
    </row>
    <row r="674" spans="1:38" x14ac:dyDescent="0.25">
      <c r="A674" s="6"/>
      <c r="AL674" s="12"/>
    </row>
    <row r="675" spans="1:38" x14ac:dyDescent="0.25">
      <c r="A675" s="6"/>
      <c r="AL675" s="12"/>
    </row>
    <row r="676" spans="1:38" x14ac:dyDescent="0.25">
      <c r="A676" s="6"/>
      <c r="AL676" s="12"/>
    </row>
    <row r="677" spans="1:38" x14ac:dyDescent="0.25">
      <c r="A677" s="6"/>
      <c r="AL677" s="12"/>
    </row>
    <row r="678" spans="1:38" x14ac:dyDescent="0.25">
      <c r="A678" s="6"/>
      <c r="AL678" s="12"/>
    </row>
    <row r="679" spans="1:38" x14ac:dyDescent="0.25">
      <c r="A679" s="6"/>
      <c r="AL679" s="12"/>
    </row>
    <row r="680" spans="1:38" x14ac:dyDescent="0.25">
      <c r="A680" s="6"/>
      <c r="AL680" s="12"/>
    </row>
    <row r="681" spans="1:38" x14ac:dyDescent="0.25">
      <c r="A681" s="6"/>
      <c r="AL681" s="12"/>
    </row>
    <row r="682" spans="1:38" x14ac:dyDescent="0.25">
      <c r="A682" s="6"/>
      <c r="AL682" s="12"/>
    </row>
    <row r="683" spans="1:38" x14ac:dyDescent="0.25">
      <c r="A683" s="6"/>
      <c r="AL683" s="12"/>
    </row>
    <row r="684" spans="1:38" x14ac:dyDescent="0.25">
      <c r="A684" s="6"/>
      <c r="AL684" s="12"/>
    </row>
    <row r="685" spans="1:38" x14ac:dyDescent="0.25">
      <c r="A685" s="6"/>
      <c r="AL685" s="12"/>
    </row>
    <row r="686" spans="1:38" x14ac:dyDescent="0.25">
      <c r="A686" s="6"/>
      <c r="AL686" s="12"/>
    </row>
    <row r="687" spans="1:38" x14ac:dyDescent="0.25">
      <c r="A687" s="6"/>
      <c r="AL687" s="12"/>
    </row>
    <row r="688" spans="1:38" x14ac:dyDescent="0.25">
      <c r="A688" s="6"/>
      <c r="AL688" s="12"/>
    </row>
    <row r="689" spans="1:38" x14ac:dyDescent="0.25">
      <c r="A689" s="6"/>
      <c r="AL689" s="12"/>
    </row>
    <row r="690" spans="1:38" x14ac:dyDescent="0.25">
      <c r="A690" s="6"/>
      <c r="AL690" s="12"/>
    </row>
    <row r="691" spans="1:38" x14ac:dyDescent="0.25">
      <c r="A691" s="6"/>
      <c r="AL691" s="12"/>
    </row>
    <row r="692" spans="1:38" x14ac:dyDescent="0.25">
      <c r="A692" s="6"/>
      <c r="AL692" s="12"/>
    </row>
    <row r="693" spans="1:38" x14ac:dyDescent="0.25">
      <c r="A693" s="6"/>
      <c r="AL693" s="12"/>
    </row>
    <row r="694" spans="1:38" x14ac:dyDescent="0.25">
      <c r="A694" s="6"/>
      <c r="AL694" s="12"/>
    </row>
    <row r="695" spans="1:38" x14ac:dyDescent="0.25">
      <c r="A695" s="6"/>
      <c r="AL695" s="12"/>
    </row>
    <row r="696" spans="1:38" x14ac:dyDescent="0.25">
      <c r="A696" s="6"/>
      <c r="AL696" s="12"/>
    </row>
    <row r="697" spans="1:38" x14ac:dyDescent="0.25">
      <c r="A697" s="6"/>
      <c r="AL697" s="12"/>
    </row>
    <row r="698" spans="1:38" x14ac:dyDescent="0.25">
      <c r="A698" s="6"/>
      <c r="AL698" s="12"/>
    </row>
    <row r="699" spans="1:38" x14ac:dyDescent="0.25">
      <c r="A699" s="6"/>
      <c r="AL699" s="12"/>
    </row>
    <row r="700" spans="1:38" x14ac:dyDescent="0.25">
      <c r="A700" s="6"/>
      <c r="AL700" s="12"/>
    </row>
    <row r="701" spans="1:38" x14ac:dyDescent="0.25">
      <c r="A701" s="6"/>
      <c r="AL701" s="12"/>
    </row>
    <row r="702" spans="1:38" x14ac:dyDescent="0.25">
      <c r="A702" s="6"/>
      <c r="AL702" s="12"/>
    </row>
    <row r="703" spans="1:38" x14ac:dyDescent="0.25">
      <c r="A703" s="6"/>
      <c r="AL703" s="12"/>
    </row>
    <row r="704" spans="1:38" x14ac:dyDescent="0.25">
      <c r="A704" s="6"/>
      <c r="AL704" s="12"/>
    </row>
    <row r="705" spans="1:38" x14ac:dyDescent="0.25">
      <c r="A705" s="6"/>
      <c r="AL705" s="12"/>
    </row>
    <row r="706" spans="1:38" x14ac:dyDescent="0.25">
      <c r="A706" s="6"/>
      <c r="AL706" s="12"/>
    </row>
    <row r="707" spans="1:38" x14ac:dyDescent="0.25">
      <c r="A707" s="6"/>
      <c r="AL707" s="12"/>
    </row>
    <row r="708" spans="1:38" x14ac:dyDescent="0.25">
      <c r="A708" s="6"/>
      <c r="AL708" s="12"/>
    </row>
    <row r="709" spans="1:38" x14ac:dyDescent="0.25">
      <c r="A709" s="6"/>
      <c r="AL709" s="12"/>
    </row>
    <row r="710" spans="1:38" ht="15.75" thickBot="1" x14ac:dyDescent="0.3">
      <c r="A710" s="6"/>
      <c r="AL710" s="13"/>
    </row>
    <row r="711" spans="1:38" x14ac:dyDescent="0.25">
      <c r="A711" s="6"/>
    </row>
    <row r="712" spans="1:38" x14ac:dyDescent="0.25">
      <c r="A712" s="6"/>
    </row>
    <row r="713" spans="1:38" x14ac:dyDescent="0.25">
      <c r="A713" s="6"/>
    </row>
    <row r="714" spans="1:38" x14ac:dyDescent="0.25">
      <c r="A714" s="6"/>
    </row>
    <row r="715" spans="1:38" x14ac:dyDescent="0.25">
      <c r="A715" s="6"/>
    </row>
    <row r="716" spans="1:38" x14ac:dyDescent="0.25">
      <c r="A716" s="6"/>
    </row>
    <row r="717" spans="1:38" x14ac:dyDescent="0.25">
      <c r="A717" s="6"/>
    </row>
    <row r="718" spans="1:38" x14ac:dyDescent="0.25">
      <c r="A718" s="6"/>
    </row>
    <row r="719" spans="1:38" x14ac:dyDescent="0.25">
      <c r="A719" s="6"/>
    </row>
    <row r="720" spans="1:38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DF6C-CFE0-4A98-B584-C7A5B7A0DF94}">
  <dimension ref="A1:I601"/>
  <sheetViews>
    <sheetView workbookViewId="0"/>
  </sheetViews>
  <sheetFormatPr defaultColWidth="8.85546875" defaultRowHeight="15" x14ac:dyDescent="0.25"/>
  <cols>
    <col min="1" max="1" width="7" bestFit="1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9" x14ac:dyDescent="0.25">
      <c r="A2">
        <v>197501</v>
      </c>
      <c r="B2">
        <v>0.1366</v>
      </c>
      <c r="C2">
        <v>0.1114</v>
      </c>
      <c r="D2">
        <v>8.2799999999999999E-2</v>
      </c>
      <c r="E2">
        <v>-0.13819999999999999</v>
      </c>
    </row>
    <row r="3" spans="1:9" x14ac:dyDescent="0.25">
      <c r="A3">
        <v>197502</v>
      </c>
      <c r="B3">
        <v>5.5599999999999997E-2</v>
      </c>
      <c r="C3">
        <v>1.6000000000000001E-3</v>
      </c>
      <c r="D3">
        <v>-4.4500000000000005E-2</v>
      </c>
      <c r="E3">
        <v>-6.0999999999999995E-3</v>
      </c>
    </row>
    <row r="4" spans="1:9" x14ac:dyDescent="0.25">
      <c r="A4">
        <v>197503</v>
      </c>
      <c r="B4">
        <v>2.6600000000000002E-2</v>
      </c>
      <c r="C4">
        <v>3.7900000000000003E-2</v>
      </c>
      <c r="D4">
        <v>2.3799999999999998E-2</v>
      </c>
      <c r="E4">
        <v>-2.0400000000000001E-2</v>
      </c>
    </row>
    <row r="5" spans="1:9" x14ac:dyDescent="0.25">
      <c r="A5">
        <v>197504</v>
      </c>
      <c r="B5">
        <v>4.2300000000000004E-2</v>
      </c>
      <c r="C5">
        <v>-6.5000000000000006E-3</v>
      </c>
      <c r="D5">
        <v>-1.1399999999999999E-2</v>
      </c>
      <c r="E5">
        <v>1.38E-2</v>
      </c>
    </row>
    <row r="6" spans="1:9" x14ac:dyDescent="0.25">
      <c r="A6">
        <v>197505</v>
      </c>
      <c r="B6">
        <v>5.1900000000000002E-2</v>
      </c>
      <c r="C6">
        <v>3.8300000000000001E-2</v>
      </c>
      <c r="D6">
        <v>-4.0999999999999995E-2</v>
      </c>
      <c r="E6">
        <v>-5.7999999999999996E-3</v>
      </c>
    </row>
    <row r="7" spans="1:9" x14ac:dyDescent="0.25">
      <c r="A7">
        <v>197506</v>
      </c>
      <c r="B7">
        <v>4.8300000000000003E-2</v>
      </c>
      <c r="C7">
        <v>8.6999999999999994E-3</v>
      </c>
      <c r="D7">
        <v>1.38E-2</v>
      </c>
      <c r="E7">
        <v>4.0000000000000002E-4</v>
      </c>
    </row>
    <row r="8" spans="1:9" x14ac:dyDescent="0.25">
      <c r="A8">
        <v>197507</v>
      </c>
      <c r="B8">
        <v>-6.59E-2</v>
      </c>
      <c r="C8">
        <v>2.7000000000000003E-2</v>
      </c>
      <c r="D8">
        <v>1.6899999999999998E-2</v>
      </c>
      <c r="E8">
        <v>4.1999999999999997E-3</v>
      </c>
    </row>
    <row r="9" spans="1:9" x14ac:dyDescent="0.25">
      <c r="A9">
        <v>197508</v>
      </c>
      <c r="B9">
        <v>-2.8500000000000001E-2</v>
      </c>
      <c r="C9">
        <v>-3.2500000000000001E-2</v>
      </c>
      <c r="D9">
        <v>-9.4999999999999998E-3</v>
      </c>
      <c r="E9">
        <v>-1E-3</v>
      </c>
    </row>
    <row r="10" spans="1:9" x14ac:dyDescent="0.25">
      <c r="A10">
        <v>197509</v>
      </c>
      <c r="B10">
        <v>-4.2599999999999999E-2</v>
      </c>
      <c r="C10">
        <v>-1E-3</v>
      </c>
      <c r="D10">
        <v>3.9000000000000003E-3</v>
      </c>
      <c r="E10">
        <v>4.0999999999999995E-3</v>
      </c>
    </row>
    <row r="11" spans="1:9" x14ac:dyDescent="0.25">
      <c r="A11">
        <v>197510</v>
      </c>
      <c r="B11">
        <v>5.3099999999999994E-2</v>
      </c>
      <c r="C11">
        <v>-4.0300000000000002E-2</v>
      </c>
      <c r="D11">
        <v>2.8000000000000004E-3</v>
      </c>
      <c r="E11">
        <v>-1.6000000000000001E-3</v>
      </c>
    </row>
    <row r="12" spans="1:9" x14ac:dyDescent="0.25">
      <c r="A12">
        <v>197511</v>
      </c>
      <c r="B12">
        <v>2.64E-2</v>
      </c>
      <c r="C12">
        <v>-1.2E-2</v>
      </c>
      <c r="D12">
        <v>2.0299999999999999E-2</v>
      </c>
      <c r="E12">
        <v>-4.5000000000000005E-3</v>
      </c>
    </row>
    <row r="13" spans="1:9" x14ac:dyDescent="0.25">
      <c r="A13">
        <v>197512</v>
      </c>
      <c r="B13">
        <v>-1.6E-2</v>
      </c>
      <c r="C13">
        <v>-7.8000000000000005E-3</v>
      </c>
      <c r="D13">
        <v>1.6899999999999998E-2</v>
      </c>
      <c r="E13">
        <v>-1.1000000000000001E-3</v>
      </c>
    </row>
    <row r="14" spans="1:9" x14ac:dyDescent="0.25">
      <c r="A14">
        <v>197601</v>
      </c>
      <c r="B14">
        <v>0.1216</v>
      </c>
      <c r="C14">
        <v>4.8099999999999997E-2</v>
      </c>
      <c r="D14">
        <v>8.6300000000000002E-2</v>
      </c>
      <c r="E14">
        <v>4.4500000000000005E-2</v>
      </c>
      <c r="H14" s="7"/>
      <c r="I14" s="7"/>
    </row>
    <row r="15" spans="1:9" x14ac:dyDescent="0.25">
      <c r="A15">
        <v>197602</v>
      </c>
      <c r="B15">
        <v>3.2000000000000002E-3</v>
      </c>
      <c r="C15">
        <v>7.0599999999999996E-2</v>
      </c>
      <c r="D15">
        <v>5.8700000000000002E-2</v>
      </c>
      <c r="E15">
        <v>3.8E-3</v>
      </c>
      <c r="H15" s="7"/>
      <c r="I15" s="7"/>
    </row>
    <row r="16" spans="1:9" x14ac:dyDescent="0.25">
      <c r="A16">
        <v>197603</v>
      </c>
      <c r="B16">
        <v>2.3199999999999998E-2</v>
      </c>
      <c r="C16">
        <v>-1.1599999999999999E-2</v>
      </c>
      <c r="D16">
        <v>-1.1999999999999999E-3</v>
      </c>
      <c r="E16">
        <v>1.5E-3</v>
      </c>
      <c r="H16" s="7"/>
      <c r="I16" s="7"/>
    </row>
    <row r="17" spans="1:9" x14ac:dyDescent="0.25">
      <c r="A17">
        <v>197604</v>
      </c>
      <c r="B17">
        <v>-1.49E-2</v>
      </c>
      <c r="C17">
        <v>-1.1000000000000001E-3</v>
      </c>
      <c r="D17">
        <v>-1.6000000000000001E-3</v>
      </c>
      <c r="E17">
        <v>5.8999999999999999E-3</v>
      </c>
      <c r="H17" s="7"/>
      <c r="I17" s="7"/>
    </row>
    <row r="18" spans="1:9" x14ac:dyDescent="0.25">
      <c r="A18">
        <v>197605</v>
      </c>
      <c r="B18">
        <v>-1.34E-2</v>
      </c>
      <c r="C18">
        <v>-1.23E-2</v>
      </c>
      <c r="D18">
        <v>-1.3600000000000001E-2</v>
      </c>
      <c r="E18">
        <v>-1.1200000000000002E-2</v>
      </c>
      <c r="H18" s="7"/>
      <c r="I18" s="7"/>
    </row>
    <row r="19" spans="1:9" x14ac:dyDescent="0.25">
      <c r="A19">
        <v>197606</v>
      </c>
      <c r="B19">
        <v>4.0500000000000001E-2</v>
      </c>
      <c r="C19">
        <v>-1.32E-2</v>
      </c>
      <c r="D19">
        <v>7.0999999999999995E-3</v>
      </c>
      <c r="E19">
        <v>-4.1999999999999997E-3</v>
      </c>
      <c r="H19" s="7"/>
      <c r="I19" s="7"/>
    </row>
    <row r="20" spans="1:9" x14ac:dyDescent="0.25">
      <c r="A20">
        <v>197607</v>
      </c>
      <c r="B20">
        <v>-1.0700000000000001E-2</v>
      </c>
      <c r="C20">
        <v>2.8999999999999998E-3</v>
      </c>
      <c r="D20">
        <v>1.7299999999999999E-2</v>
      </c>
      <c r="E20">
        <v>-1.2999999999999999E-3</v>
      </c>
      <c r="H20" s="7"/>
      <c r="I20" s="7"/>
    </row>
    <row r="21" spans="1:9" x14ac:dyDescent="0.25">
      <c r="A21">
        <v>197608</v>
      </c>
      <c r="B21">
        <v>-5.6000000000000008E-3</v>
      </c>
      <c r="C21">
        <v>-0.02</v>
      </c>
      <c r="D21">
        <v>8.1000000000000013E-3</v>
      </c>
      <c r="E21">
        <v>-8.5000000000000006E-3</v>
      </c>
      <c r="H21" s="7"/>
      <c r="I21" s="7"/>
    </row>
    <row r="22" spans="1:9" x14ac:dyDescent="0.25">
      <c r="A22">
        <v>197609</v>
      </c>
      <c r="B22">
        <v>2.07E-2</v>
      </c>
      <c r="C22">
        <v>-2.0000000000000001E-4</v>
      </c>
      <c r="D22">
        <v>-2.8999999999999998E-3</v>
      </c>
      <c r="E22">
        <v>2.2000000000000001E-3</v>
      </c>
      <c r="H22" s="7"/>
      <c r="I22" s="7"/>
    </row>
    <row r="23" spans="1:9" x14ac:dyDescent="0.25">
      <c r="A23">
        <v>197610</v>
      </c>
      <c r="B23">
        <v>-2.4199999999999999E-2</v>
      </c>
      <c r="C23">
        <v>2.2000000000000001E-3</v>
      </c>
      <c r="D23">
        <v>-1.8E-3</v>
      </c>
      <c r="E23">
        <v>-4.4000000000000003E-3</v>
      </c>
      <c r="H23" s="7"/>
      <c r="I23" s="7"/>
    </row>
    <row r="24" spans="1:9" x14ac:dyDescent="0.25">
      <c r="A24">
        <v>197611</v>
      </c>
      <c r="B24">
        <v>3.5999999999999999E-3</v>
      </c>
      <c r="C24">
        <v>2.3199999999999998E-2</v>
      </c>
      <c r="D24">
        <v>1.5100000000000001E-2</v>
      </c>
      <c r="E24">
        <v>2.9100000000000001E-2</v>
      </c>
      <c r="H24" s="7"/>
      <c r="I24" s="7"/>
    </row>
    <row r="25" spans="1:9" x14ac:dyDescent="0.25">
      <c r="A25">
        <v>197612</v>
      </c>
      <c r="B25">
        <v>5.6500000000000002E-2</v>
      </c>
      <c r="C25">
        <v>3.0299999999999997E-2</v>
      </c>
      <c r="D25">
        <v>2.2700000000000001E-2</v>
      </c>
      <c r="E25">
        <v>7.3000000000000001E-3</v>
      </c>
      <c r="H25" s="7"/>
      <c r="I25" s="7"/>
    </row>
    <row r="26" spans="1:9" x14ac:dyDescent="0.25">
      <c r="A26">
        <v>197701</v>
      </c>
      <c r="B26">
        <v>-4.0500000000000001E-2</v>
      </c>
      <c r="C26">
        <v>4.7599999999999996E-2</v>
      </c>
      <c r="D26">
        <v>4.2699999999999995E-2</v>
      </c>
      <c r="E26">
        <v>0.04</v>
      </c>
      <c r="H26" s="7"/>
      <c r="I26" s="7"/>
    </row>
    <row r="27" spans="1:9" x14ac:dyDescent="0.25">
      <c r="A27">
        <v>197702</v>
      </c>
      <c r="B27">
        <v>-1.9400000000000001E-2</v>
      </c>
      <c r="C27">
        <v>1.04E-2</v>
      </c>
      <c r="D27">
        <v>4.6999999999999993E-3</v>
      </c>
      <c r="E27">
        <v>3.5999999999999999E-3</v>
      </c>
      <c r="H27" s="7"/>
      <c r="I27" s="7"/>
    </row>
    <row r="28" spans="1:9" x14ac:dyDescent="0.25">
      <c r="A28">
        <v>197703</v>
      </c>
      <c r="B28">
        <v>-1.37E-2</v>
      </c>
      <c r="C28">
        <v>0.01</v>
      </c>
      <c r="D28">
        <v>1.09E-2</v>
      </c>
      <c r="E28">
        <v>5.5000000000000005E-3</v>
      </c>
      <c r="H28" s="7"/>
      <c r="I28" s="7"/>
    </row>
    <row r="29" spans="1:9" x14ac:dyDescent="0.25">
      <c r="A29">
        <v>197704</v>
      </c>
      <c r="B29">
        <v>1.5E-3</v>
      </c>
      <c r="C29">
        <v>-1.1999999999999999E-3</v>
      </c>
      <c r="D29">
        <v>3.3799999999999997E-2</v>
      </c>
      <c r="E29">
        <v>4.2099999999999999E-2</v>
      </c>
      <c r="H29" s="7"/>
      <c r="I29" s="7"/>
    </row>
    <row r="30" spans="1:9" x14ac:dyDescent="0.25">
      <c r="A30">
        <v>197705</v>
      </c>
      <c r="B30">
        <v>-1.4499999999999999E-2</v>
      </c>
      <c r="C30">
        <v>1.18E-2</v>
      </c>
      <c r="D30">
        <v>8.5000000000000006E-3</v>
      </c>
      <c r="E30">
        <v>2.0299999999999999E-2</v>
      </c>
      <c r="H30" s="7"/>
      <c r="I30" s="7"/>
    </row>
    <row r="31" spans="1:9" x14ac:dyDescent="0.25">
      <c r="A31">
        <v>197706</v>
      </c>
      <c r="B31">
        <v>4.7100000000000003E-2</v>
      </c>
      <c r="C31">
        <v>2.0899999999999998E-2</v>
      </c>
      <c r="D31">
        <v>-7.4000000000000003E-3</v>
      </c>
      <c r="E31">
        <v>1.66E-2</v>
      </c>
      <c r="H31" s="7"/>
      <c r="I31" s="7"/>
    </row>
    <row r="32" spans="1:9" x14ac:dyDescent="0.25">
      <c r="A32">
        <v>197707</v>
      </c>
      <c r="B32">
        <v>-1.6899999999999998E-2</v>
      </c>
      <c r="C32">
        <v>2.1600000000000001E-2</v>
      </c>
      <c r="D32">
        <v>-5.6000000000000008E-3</v>
      </c>
      <c r="E32">
        <v>3.2000000000000002E-3</v>
      </c>
      <c r="H32" s="7"/>
      <c r="I32" s="7"/>
    </row>
    <row r="33" spans="1:9" x14ac:dyDescent="0.25">
      <c r="A33">
        <v>197708</v>
      </c>
      <c r="B33">
        <v>-1.7500000000000002E-2</v>
      </c>
      <c r="C33">
        <v>1.4800000000000001E-2</v>
      </c>
      <c r="D33">
        <v>-2.7000000000000003E-2</v>
      </c>
      <c r="E33">
        <v>-1.7000000000000001E-2</v>
      </c>
      <c r="H33" s="7"/>
      <c r="I33" s="7"/>
    </row>
    <row r="34" spans="1:9" x14ac:dyDescent="0.25">
      <c r="A34">
        <v>197709</v>
      </c>
      <c r="B34">
        <v>-2.7000000000000001E-3</v>
      </c>
      <c r="C34">
        <v>1.34E-2</v>
      </c>
      <c r="D34">
        <v>-5.1999999999999998E-3</v>
      </c>
      <c r="E34">
        <v>0.02</v>
      </c>
      <c r="H34" s="7"/>
      <c r="I34" s="7"/>
    </row>
    <row r="35" spans="1:9" x14ac:dyDescent="0.25">
      <c r="A35">
        <v>197710</v>
      </c>
      <c r="B35">
        <v>-4.3799999999999999E-2</v>
      </c>
      <c r="C35">
        <v>1.2500000000000001E-2</v>
      </c>
      <c r="D35">
        <v>1.7500000000000002E-2</v>
      </c>
      <c r="E35">
        <v>-8.0000000000000004E-4</v>
      </c>
      <c r="H35" s="7"/>
      <c r="I35" s="7"/>
    </row>
    <row r="36" spans="1:9" x14ac:dyDescent="0.25">
      <c r="A36">
        <v>197711</v>
      </c>
      <c r="B36">
        <v>0.04</v>
      </c>
      <c r="C36">
        <v>3.73E-2</v>
      </c>
      <c r="D36">
        <v>2.5999999999999999E-3</v>
      </c>
      <c r="E36">
        <v>2.0099999999999996E-2</v>
      </c>
      <c r="H36" s="7"/>
      <c r="I36" s="7"/>
    </row>
    <row r="37" spans="1:9" x14ac:dyDescent="0.25">
      <c r="A37">
        <v>197712</v>
      </c>
      <c r="B37">
        <v>2.7000000000000001E-3</v>
      </c>
      <c r="C37">
        <v>1.32E-2</v>
      </c>
      <c r="D37">
        <v>-2.8999999999999998E-3</v>
      </c>
      <c r="E37">
        <v>1.5800000000000002E-2</v>
      </c>
      <c r="H37" s="7"/>
      <c r="I37" s="7"/>
    </row>
    <row r="38" spans="1:9" x14ac:dyDescent="0.25">
      <c r="A38">
        <v>197801</v>
      </c>
      <c r="B38">
        <v>-6.0100000000000001E-2</v>
      </c>
      <c r="C38">
        <v>2.2400000000000003E-2</v>
      </c>
      <c r="D38">
        <v>3.3599999999999998E-2</v>
      </c>
      <c r="E38">
        <v>-6.6E-3</v>
      </c>
      <c r="H38" s="7"/>
      <c r="I38" s="7"/>
    </row>
    <row r="39" spans="1:9" x14ac:dyDescent="0.25">
      <c r="A39">
        <v>197802</v>
      </c>
      <c r="B39">
        <v>-1.38E-2</v>
      </c>
      <c r="C39">
        <v>3.5900000000000001E-2</v>
      </c>
      <c r="D39">
        <v>8.3000000000000001E-3</v>
      </c>
      <c r="E39">
        <v>1.9699999999999999E-2</v>
      </c>
      <c r="H39" s="7"/>
      <c r="I39" s="7"/>
    </row>
    <row r="40" spans="1:9" x14ac:dyDescent="0.25">
      <c r="A40">
        <v>197803</v>
      </c>
      <c r="B40">
        <v>2.8500000000000001E-2</v>
      </c>
      <c r="C40">
        <v>3.49E-2</v>
      </c>
      <c r="D40">
        <v>1.18E-2</v>
      </c>
      <c r="E40">
        <v>1.37E-2</v>
      </c>
      <c r="H40" s="7"/>
      <c r="I40" s="7"/>
    </row>
    <row r="41" spans="1:9" x14ac:dyDescent="0.25">
      <c r="A41">
        <v>197804</v>
      </c>
      <c r="B41">
        <v>7.8799999999999995E-2</v>
      </c>
      <c r="C41">
        <v>4.5000000000000005E-3</v>
      </c>
      <c r="D41">
        <v>-3.5400000000000001E-2</v>
      </c>
      <c r="E41">
        <v>8.6E-3</v>
      </c>
      <c r="H41" s="7"/>
      <c r="I41" s="7"/>
    </row>
    <row r="42" spans="1:9" x14ac:dyDescent="0.25">
      <c r="A42">
        <v>197805</v>
      </c>
      <c r="B42">
        <v>1.7600000000000001E-2</v>
      </c>
      <c r="C42">
        <v>4.5599999999999995E-2</v>
      </c>
      <c r="D42">
        <v>-5.1999999999999998E-3</v>
      </c>
      <c r="E42">
        <v>2.8300000000000002E-2</v>
      </c>
      <c r="H42" s="7"/>
      <c r="I42" s="7"/>
    </row>
    <row r="43" spans="1:9" x14ac:dyDescent="0.25">
      <c r="A43">
        <v>197806</v>
      </c>
      <c r="B43">
        <v>-1.6899999999999998E-2</v>
      </c>
      <c r="C43">
        <v>1.66E-2</v>
      </c>
      <c r="D43">
        <v>5.6999999999999993E-3</v>
      </c>
      <c r="E43">
        <v>2.7400000000000001E-2</v>
      </c>
      <c r="H43" s="7"/>
      <c r="I43" s="7"/>
    </row>
    <row r="44" spans="1:9" x14ac:dyDescent="0.25">
      <c r="A44">
        <v>197807</v>
      </c>
      <c r="B44">
        <v>5.1100000000000007E-2</v>
      </c>
      <c r="C44">
        <v>2.3E-3</v>
      </c>
      <c r="D44">
        <v>-1.15E-2</v>
      </c>
      <c r="E44">
        <v>4.1700000000000001E-2</v>
      </c>
      <c r="H44" s="7"/>
      <c r="I44" s="7"/>
    </row>
    <row r="45" spans="1:9" x14ac:dyDescent="0.25">
      <c r="A45">
        <v>197808</v>
      </c>
      <c r="B45">
        <v>3.7499999999999999E-2</v>
      </c>
      <c r="C45">
        <v>5.0599999999999999E-2</v>
      </c>
      <c r="D45">
        <v>-5.1000000000000004E-3</v>
      </c>
      <c r="E45">
        <v>2.8300000000000002E-2</v>
      </c>
      <c r="H45" s="7"/>
      <c r="I45" s="7"/>
    </row>
    <row r="46" spans="1:9" x14ac:dyDescent="0.25">
      <c r="A46">
        <v>197809</v>
      </c>
      <c r="B46">
        <v>-1.43E-2</v>
      </c>
      <c r="C46">
        <v>-4.3E-3</v>
      </c>
      <c r="D46">
        <v>1.89E-2</v>
      </c>
      <c r="E46">
        <v>-3.1400000000000004E-2</v>
      </c>
      <c r="H46" s="7"/>
      <c r="I46" s="7"/>
    </row>
    <row r="47" spans="1:9" x14ac:dyDescent="0.25">
      <c r="A47">
        <v>197810</v>
      </c>
      <c r="B47">
        <v>-0.1191</v>
      </c>
      <c r="C47">
        <v>-9.8599999999999993E-2</v>
      </c>
      <c r="D47">
        <v>1.38E-2</v>
      </c>
      <c r="E47">
        <v>-8.4600000000000009E-2</v>
      </c>
      <c r="H47" s="7"/>
      <c r="I47" s="7"/>
    </row>
    <row r="48" spans="1:9" x14ac:dyDescent="0.25">
      <c r="A48">
        <v>197811</v>
      </c>
      <c r="B48">
        <v>2.7099999999999999E-2</v>
      </c>
      <c r="C48">
        <v>2.9700000000000001E-2</v>
      </c>
      <c r="D48">
        <v>-2.1499999999999998E-2</v>
      </c>
      <c r="E48">
        <v>5.45E-2</v>
      </c>
      <c r="H48" s="7"/>
      <c r="I48" s="7"/>
    </row>
    <row r="49" spans="1:9" x14ac:dyDescent="0.25">
      <c r="A49">
        <v>197812</v>
      </c>
      <c r="B49">
        <v>8.8000000000000005E-3</v>
      </c>
      <c r="C49">
        <v>1.29E-2</v>
      </c>
      <c r="D49">
        <v>-2.1299999999999999E-2</v>
      </c>
      <c r="E49">
        <v>3.0299999999999997E-2</v>
      </c>
      <c r="H49" s="7"/>
      <c r="I49" s="7"/>
    </row>
    <row r="50" spans="1:9" x14ac:dyDescent="0.25">
      <c r="A50">
        <v>197901</v>
      </c>
      <c r="B50">
        <v>4.2300000000000004E-2</v>
      </c>
      <c r="C50">
        <v>3.6200000000000003E-2</v>
      </c>
      <c r="D50">
        <v>2.1899999999999999E-2</v>
      </c>
      <c r="E50">
        <v>-1.3600000000000001E-2</v>
      </c>
      <c r="H50" s="7"/>
      <c r="I50" s="7"/>
    </row>
    <row r="51" spans="1:9" x14ac:dyDescent="0.25">
      <c r="A51">
        <v>197902</v>
      </c>
      <c r="B51">
        <v>-3.56E-2</v>
      </c>
      <c r="C51">
        <v>4.5000000000000005E-3</v>
      </c>
      <c r="D51">
        <v>1.1699999999999999E-2</v>
      </c>
      <c r="E51">
        <v>-1.06E-2</v>
      </c>
      <c r="H51" s="7"/>
      <c r="I51" s="7"/>
    </row>
    <row r="52" spans="1:9" x14ac:dyDescent="0.25">
      <c r="A52">
        <v>197903</v>
      </c>
      <c r="B52">
        <v>5.6799999999999996E-2</v>
      </c>
      <c r="C52">
        <v>3.2599999999999997E-2</v>
      </c>
      <c r="D52">
        <v>-7.0999999999999995E-3</v>
      </c>
      <c r="E52">
        <v>2.9300000000000003E-2</v>
      </c>
      <c r="H52" s="7"/>
      <c r="I52" s="7"/>
    </row>
    <row r="53" spans="1:9" x14ac:dyDescent="0.25">
      <c r="A53">
        <v>197904</v>
      </c>
      <c r="B53">
        <v>-5.9999999999999995E-4</v>
      </c>
      <c r="C53">
        <v>2.1499999999999998E-2</v>
      </c>
      <c r="D53">
        <v>1.1200000000000002E-2</v>
      </c>
      <c r="E53">
        <v>8.1000000000000013E-3</v>
      </c>
      <c r="H53" s="7"/>
      <c r="I53" s="7"/>
    </row>
    <row r="54" spans="1:9" x14ac:dyDescent="0.25">
      <c r="A54">
        <v>197905</v>
      </c>
      <c r="B54">
        <v>-2.2099999999999998E-2</v>
      </c>
      <c r="C54">
        <v>2.0999999999999999E-3</v>
      </c>
      <c r="D54">
        <v>1.3100000000000001E-2</v>
      </c>
      <c r="E54">
        <v>-5.4000000000000003E-3</v>
      </c>
      <c r="H54" s="7"/>
      <c r="I54" s="7"/>
    </row>
    <row r="55" spans="1:9" x14ac:dyDescent="0.25">
      <c r="A55">
        <v>197906</v>
      </c>
      <c r="B55">
        <v>3.85E-2</v>
      </c>
      <c r="C55">
        <v>1.1699999999999999E-2</v>
      </c>
      <c r="D55">
        <v>1.44E-2</v>
      </c>
      <c r="E55">
        <v>8.3999999999999995E-3</v>
      </c>
      <c r="H55" s="7"/>
      <c r="I55" s="7"/>
    </row>
    <row r="56" spans="1:9" x14ac:dyDescent="0.25">
      <c r="A56">
        <v>197907</v>
      </c>
      <c r="B56">
        <v>8.199999999999999E-3</v>
      </c>
      <c r="C56">
        <v>1.2800000000000001E-2</v>
      </c>
      <c r="D56">
        <v>1.8600000000000002E-2</v>
      </c>
      <c r="E56">
        <v>-1.0700000000000001E-2</v>
      </c>
      <c r="H56" s="7"/>
      <c r="I56" s="7"/>
    </row>
    <row r="57" spans="1:9" x14ac:dyDescent="0.25">
      <c r="A57">
        <v>197908</v>
      </c>
      <c r="B57">
        <v>5.5300000000000002E-2</v>
      </c>
      <c r="C57">
        <v>2.0499999999999997E-2</v>
      </c>
      <c r="D57">
        <v>-1.5800000000000002E-2</v>
      </c>
      <c r="E57">
        <v>-2E-3</v>
      </c>
      <c r="H57" s="7"/>
      <c r="I57" s="7"/>
    </row>
    <row r="58" spans="1:9" x14ac:dyDescent="0.25">
      <c r="A58">
        <v>197909</v>
      </c>
      <c r="B58">
        <v>-8.199999999999999E-3</v>
      </c>
      <c r="C58">
        <v>-2.7000000000000001E-3</v>
      </c>
      <c r="D58">
        <v>-9.0000000000000011E-3</v>
      </c>
      <c r="E58">
        <v>5.28E-2</v>
      </c>
      <c r="H58" s="7"/>
      <c r="I58" s="7"/>
    </row>
    <row r="59" spans="1:9" x14ac:dyDescent="0.25">
      <c r="A59">
        <v>197910</v>
      </c>
      <c r="B59">
        <v>-8.1000000000000003E-2</v>
      </c>
      <c r="C59">
        <v>-3.3700000000000001E-2</v>
      </c>
      <c r="D59">
        <v>-1.84E-2</v>
      </c>
      <c r="E59">
        <v>2.0099999999999996E-2</v>
      </c>
      <c r="H59" s="7"/>
      <c r="I59" s="7"/>
    </row>
    <row r="60" spans="1:9" x14ac:dyDescent="0.25">
      <c r="A60">
        <v>197911</v>
      </c>
      <c r="B60">
        <v>5.21E-2</v>
      </c>
      <c r="C60">
        <v>2.87E-2</v>
      </c>
      <c r="D60">
        <v>-3.2899999999999999E-2</v>
      </c>
      <c r="E60">
        <v>8.14E-2</v>
      </c>
      <c r="H60" s="7"/>
      <c r="I60" s="7"/>
    </row>
    <row r="61" spans="1:9" x14ac:dyDescent="0.25">
      <c r="A61">
        <v>197912</v>
      </c>
      <c r="B61">
        <v>1.7899999999999999E-2</v>
      </c>
      <c r="C61">
        <v>4.1700000000000001E-2</v>
      </c>
      <c r="D61">
        <v>-2.1000000000000001E-2</v>
      </c>
      <c r="E61">
        <v>4.7800000000000002E-2</v>
      </c>
      <c r="H61" s="7"/>
      <c r="I61" s="7"/>
    </row>
    <row r="62" spans="1:9" x14ac:dyDescent="0.25">
      <c r="A62">
        <v>198001</v>
      </c>
      <c r="B62">
        <v>5.5099999999999996E-2</v>
      </c>
      <c r="C62">
        <v>1.6200000000000003E-2</v>
      </c>
      <c r="D62">
        <v>1.7500000000000002E-2</v>
      </c>
      <c r="E62">
        <v>7.5499999999999998E-2</v>
      </c>
      <c r="H62" s="7"/>
      <c r="I62" s="7"/>
    </row>
    <row r="63" spans="1:9" x14ac:dyDescent="0.25">
      <c r="A63">
        <v>198002</v>
      </c>
      <c r="B63">
        <v>-1.2199999999999999E-2</v>
      </c>
      <c r="C63">
        <v>-1.8500000000000003E-2</v>
      </c>
      <c r="D63">
        <v>6.0999999999999995E-3</v>
      </c>
      <c r="E63">
        <v>7.8799999999999995E-2</v>
      </c>
      <c r="H63" s="7"/>
      <c r="I63" s="7"/>
    </row>
    <row r="64" spans="1:9" x14ac:dyDescent="0.25">
      <c r="A64">
        <v>198003</v>
      </c>
      <c r="B64">
        <v>-0.129</v>
      </c>
      <c r="C64">
        <v>-6.6400000000000001E-2</v>
      </c>
      <c r="D64">
        <v>-1.01E-2</v>
      </c>
      <c r="E64">
        <v>-9.5500000000000002E-2</v>
      </c>
      <c r="H64" s="7"/>
      <c r="I64" s="7"/>
    </row>
    <row r="65" spans="1:9" x14ac:dyDescent="0.25">
      <c r="A65">
        <v>198004</v>
      </c>
      <c r="B65">
        <v>3.9699999999999999E-2</v>
      </c>
      <c r="C65">
        <v>1.0500000000000001E-2</v>
      </c>
      <c r="D65">
        <v>1.06E-2</v>
      </c>
      <c r="E65">
        <v>-4.3E-3</v>
      </c>
      <c r="H65" s="7"/>
      <c r="I65" s="7"/>
    </row>
    <row r="66" spans="1:9" x14ac:dyDescent="0.25">
      <c r="A66">
        <v>198005</v>
      </c>
      <c r="B66">
        <v>5.2600000000000001E-2</v>
      </c>
      <c r="C66">
        <v>2.1299999999999999E-2</v>
      </c>
      <c r="D66">
        <v>3.8E-3</v>
      </c>
      <c r="E66">
        <v>-1.1200000000000002E-2</v>
      </c>
      <c r="H66" s="7"/>
      <c r="I66" s="7"/>
    </row>
    <row r="67" spans="1:9" x14ac:dyDescent="0.25">
      <c r="A67">
        <v>198006</v>
      </c>
      <c r="B67">
        <v>3.0600000000000002E-2</v>
      </c>
      <c r="C67">
        <v>1.66E-2</v>
      </c>
      <c r="D67">
        <v>-7.6E-3</v>
      </c>
      <c r="E67">
        <v>1.6200000000000003E-2</v>
      </c>
      <c r="H67" s="7"/>
      <c r="I67" s="7"/>
    </row>
    <row r="68" spans="1:9" x14ac:dyDescent="0.25">
      <c r="A68">
        <v>198007</v>
      </c>
      <c r="B68">
        <v>6.4899999999999999E-2</v>
      </c>
      <c r="C68">
        <v>4.1399999999999999E-2</v>
      </c>
      <c r="D68">
        <v>-6.4100000000000004E-2</v>
      </c>
      <c r="E68">
        <v>3.9000000000000003E-3</v>
      </c>
      <c r="H68" s="7"/>
      <c r="I68" s="7"/>
    </row>
    <row r="69" spans="1:9" x14ac:dyDescent="0.25">
      <c r="A69">
        <v>198008</v>
      </c>
      <c r="B69">
        <v>1.8000000000000002E-2</v>
      </c>
      <c r="C69">
        <v>3.9199999999999999E-2</v>
      </c>
      <c r="D69">
        <v>-2.6000000000000002E-2</v>
      </c>
      <c r="E69">
        <v>3.2099999999999997E-2</v>
      </c>
      <c r="H69" s="7"/>
      <c r="I69" s="7"/>
    </row>
    <row r="70" spans="1:9" x14ac:dyDescent="0.25">
      <c r="A70">
        <v>198009</v>
      </c>
      <c r="B70">
        <v>2.1899999999999999E-2</v>
      </c>
      <c r="C70">
        <v>9.7999999999999997E-3</v>
      </c>
      <c r="D70">
        <v>-4.5899999999999996E-2</v>
      </c>
      <c r="E70">
        <v>5.3899999999999997E-2</v>
      </c>
      <c r="H70" s="7"/>
      <c r="I70" s="7"/>
    </row>
    <row r="71" spans="1:9" x14ac:dyDescent="0.25">
      <c r="A71">
        <v>198010</v>
      </c>
      <c r="B71">
        <v>1.06E-2</v>
      </c>
      <c r="C71">
        <v>2.4700000000000003E-2</v>
      </c>
      <c r="D71">
        <v>-2.76E-2</v>
      </c>
      <c r="E71">
        <v>7.2999999999999995E-2</v>
      </c>
      <c r="H71" s="7"/>
      <c r="I71" s="7"/>
    </row>
    <row r="72" spans="1:9" x14ac:dyDescent="0.25">
      <c r="A72">
        <v>198011</v>
      </c>
      <c r="B72">
        <v>9.5899999999999999E-2</v>
      </c>
      <c r="C72">
        <v>-3.3599999999999998E-2</v>
      </c>
      <c r="D72">
        <v>-8.3299999999999999E-2</v>
      </c>
      <c r="E72">
        <v>0.1522</v>
      </c>
      <c r="H72" s="7"/>
      <c r="I72" s="7"/>
    </row>
    <row r="73" spans="1:9" x14ac:dyDescent="0.25">
      <c r="A73">
        <v>198012</v>
      </c>
      <c r="B73">
        <v>-4.5199999999999997E-2</v>
      </c>
      <c r="C73">
        <v>-2.5999999999999999E-3</v>
      </c>
      <c r="D73">
        <v>2.7900000000000001E-2</v>
      </c>
      <c r="E73">
        <v>-6.6799999999999998E-2</v>
      </c>
      <c r="H73" s="7"/>
      <c r="I73" s="7"/>
    </row>
    <row r="74" spans="1:9" x14ac:dyDescent="0.25">
      <c r="A74">
        <v>198101</v>
      </c>
      <c r="B74">
        <v>-5.04E-2</v>
      </c>
      <c r="C74">
        <v>2.92E-2</v>
      </c>
      <c r="D74">
        <v>6.7199999999999996E-2</v>
      </c>
      <c r="E74">
        <v>-7.9500000000000001E-2</v>
      </c>
      <c r="H74" s="7"/>
      <c r="I74" s="7"/>
    </row>
    <row r="75" spans="1:9" x14ac:dyDescent="0.25">
      <c r="A75">
        <v>198102</v>
      </c>
      <c r="B75">
        <v>5.6999999999999993E-3</v>
      </c>
      <c r="C75">
        <v>-3.4000000000000002E-3</v>
      </c>
      <c r="D75">
        <v>1.0200000000000001E-2</v>
      </c>
      <c r="E75">
        <v>-1.3500000000000002E-2</v>
      </c>
      <c r="H75" s="7"/>
      <c r="I75" s="7"/>
    </row>
    <row r="76" spans="1:9" x14ac:dyDescent="0.25">
      <c r="A76">
        <v>198103</v>
      </c>
      <c r="B76">
        <v>3.56E-2</v>
      </c>
      <c r="C76">
        <v>3.5400000000000001E-2</v>
      </c>
      <c r="D76">
        <v>6.4000000000000003E-3</v>
      </c>
      <c r="E76">
        <v>7.4000000000000003E-3</v>
      </c>
      <c r="H76" s="7"/>
      <c r="I76" s="7"/>
    </row>
    <row r="77" spans="1:9" x14ac:dyDescent="0.25">
      <c r="A77">
        <v>198104</v>
      </c>
      <c r="B77">
        <v>-2.1099999999999997E-2</v>
      </c>
      <c r="C77">
        <v>4.4000000000000004E-2</v>
      </c>
      <c r="D77">
        <v>2.2799999999999997E-2</v>
      </c>
      <c r="E77">
        <v>-9.1000000000000004E-3</v>
      </c>
      <c r="H77" s="7"/>
      <c r="I77" s="7"/>
    </row>
    <row r="78" spans="1:9" x14ac:dyDescent="0.25">
      <c r="A78">
        <v>198105</v>
      </c>
      <c r="B78">
        <v>1.1000000000000001E-3</v>
      </c>
      <c r="C78">
        <v>0.02</v>
      </c>
      <c r="D78">
        <v>-4.1999999999999997E-3</v>
      </c>
      <c r="E78">
        <v>3.7000000000000005E-2</v>
      </c>
      <c r="H78" s="7"/>
      <c r="I78" s="7"/>
    </row>
    <row r="79" spans="1:9" x14ac:dyDescent="0.25">
      <c r="A79">
        <v>198106</v>
      </c>
      <c r="B79">
        <v>-2.3599999999999999E-2</v>
      </c>
      <c r="C79">
        <v>-8.3000000000000001E-3</v>
      </c>
      <c r="D79">
        <v>5.1299999999999998E-2</v>
      </c>
      <c r="E79">
        <v>-5.8099999999999999E-2</v>
      </c>
      <c r="H79" s="7"/>
      <c r="I79" s="7"/>
    </row>
    <row r="80" spans="1:9" x14ac:dyDescent="0.25">
      <c r="A80">
        <v>198107</v>
      </c>
      <c r="B80">
        <v>-1.54E-2</v>
      </c>
      <c r="C80">
        <v>-2.1899999999999999E-2</v>
      </c>
      <c r="D80">
        <v>-5.0000000000000001E-3</v>
      </c>
      <c r="E80">
        <v>-2.4500000000000001E-2</v>
      </c>
      <c r="H80" s="7"/>
      <c r="I80" s="7"/>
    </row>
    <row r="81" spans="1:9" x14ac:dyDescent="0.25">
      <c r="A81">
        <v>198108</v>
      </c>
      <c r="B81">
        <v>-7.0400000000000004E-2</v>
      </c>
      <c r="C81">
        <v>-1.95E-2</v>
      </c>
      <c r="D81">
        <v>4.7599999999999996E-2</v>
      </c>
      <c r="E81">
        <v>-1.15E-2</v>
      </c>
      <c r="H81" s="7"/>
      <c r="I81" s="7"/>
    </row>
    <row r="82" spans="1:9" x14ac:dyDescent="0.25">
      <c r="A82">
        <v>198109</v>
      </c>
      <c r="B82">
        <v>-7.17E-2</v>
      </c>
      <c r="C82">
        <v>-2.6499999999999999E-2</v>
      </c>
      <c r="D82">
        <v>5.1699999999999996E-2</v>
      </c>
      <c r="E82">
        <v>1.95E-2</v>
      </c>
      <c r="H82" s="7"/>
      <c r="I82" s="7"/>
    </row>
    <row r="83" spans="1:9" x14ac:dyDescent="0.25">
      <c r="A83">
        <v>198110</v>
      </c>
      <c r="B83">
        <v>4.9200000000000001E-2</v>
      </c>
      <c r="C83">
        <v>2.23E-2</v>
      </c>
      <c r="D83">
        <v>-4.2099999999999999E-2</v>
      </c>
      <c r="E83">
        <v>4.0099999999999997E-2</v>
      </c>
      <c r="H83" s="7"/>
      <c r="I83" s="7"/>
    </row>
    <row r="84" spans="1:9" x14ac:dyDescent="0.25">
      <c r="A84">
        <v>198111</v>
      </c>
      <c r="B84">
        <v>3.3599999999999998E-2</v>
      </c>
      <c r="C84">
        <v>-1.03E-2</v>
      </c>
      <c r="D84">
        <v>1.83E-2</v>
      </c>
      <c r="E84">
        <v>-2.7000000000000001E-3</v>
      </c>
      <c r="H84" s="7"/>
      <c r="I84" s="7"/>
    </row>
    <row r="85" spans="1:9" x14ac:dyDescent="0.25">
      <c r="A85">
        <v>198112</v>
      </c>
      <c r="B85">
        <v>-3.6499999999999998E-2</v>
      </c>
      <c r="C85">
        <v>1.2E-2</v>
      </c>
      <c r="D85">
        <v>8.1000000000000013E-3</v>
      </c>
      <c r="E85">
        <v>1.3000000000000001E-2</v>
      </c>
      <c r="H85" s="7"/>
      <c r="I85" s="7"/>
    </row>
    <row r="86" spans="1:9" x14ac:dyDescent="0.25">
      <c r="A86">
        <v>198201</v>
      </c>
      <c r="B86">
        <v>-3.2400000000000005E-2</v>
      </c>
      <c r="C86">
        <v>-1.2800000000000001E-2</v>
      </c>
      <c r="D86">
        <v>3.1899999999999998E-2</v>
      </c>
      <c r="E86">
        <v>1.72E-2</v>
      </c>
      <c r="H86" s="7"/>
      <c r="I86" s="7"/>
    </row>
    <row r="87" spans="1:9" x14ac:dyDescent="0.25">
      <c r="A87">
        <v>198202</v>
      </c>
      <c r="B87">
        <v>-5.8600000000000006E-2</v>
      </c>
      <c r="C87">
        <v>4.4000000000000003E-3</v>
      </c>
      <c r="D87">
        <v>6.0499999999999998E-2</v>
      </c>
      <c r="E87">
        <v>4.8799999999999996E-2</v>
      </c>
      <c r="H87" s="7"/>
      <c r="I87" s="7"/>
    </row>
    <row r="88" spans="1:9" x14ac:dyDescent="0.25">
      <c r="A88">
        <v>198203</v>
      </c>
      <c r="B88">
        <v>-1.8700000000000001E-2</v>
      </c>
      <c r="C88">
        <v>-2.0999999999999999E-3</v>
      </c>
      <c r="D88">
        <v>3.8100000000000002E-2</v>
      </c>
      <c r="E88">
        <v>2.9600000000000001E-2</v>
      </c>
      <c r="H88" s="7"/>
      <c r="I88" s="7"/>
    </row>
    <row r="89" spans="1:9" x14ac:dyDescent="0.25">
      <c r="A89">
        <v>198204</v>
      </c>
      <c r="B89">
        <v>3.27E-2</v>
      </c>
      <c r="C89">
        <v>1.47E-2</v>
      </c>
      <c r="D89">
        <v>-2.7000000000000003E-2</v>
      </c>
      <c r="E89">
        <v>-4.0000000000000001E-3</v>
      </c>
      <c r="H89" s="7"/>
      <c r="I89" s="7"/>
    </row>
    <row r="90" spans="1:9" x14ac:dyDescent="0.25">
      <c r="A90">
        <v>198205</v>
      </c>
      <c r="B90">
        <v>-3.9900000000000005E-2</v>
      </c>
      <c r="C90">
        <v>5.1999999999999998E-3</v>
      </c>
      <c r="D90">
        <v>1.7500000000000002E-2</v>
      </c>
      <c r="E90">
        <v>2.5000000000000001E-2</v>
      </c>
      <c r="H90" s="7"/>
      <c r="I90" s="7"/>
    </row>
    <row r="91" spans="1:9" x14ac:dyDescent="0.25">
      <c r="A91">
        <v>198206</v>
      </c>
      <c r="B91">
        <v>-3.0899999999999997E-2</v>
      </c>
      <c r="C91">
        <v>-4.0000000000000001E-3</v>
      </c>
      <c r="D91">
        <v>1.5300000000000001E-2</v>
      </c>
      <c r="E91">
        <v>4.9599999999999998E-2</v>
      </c>
      <c r="H91" s="7"/>
      <c r="I91" s="7"/>
    </row>
    <row r="92" spans="1:9" x14ac:dyDescent="0.25">
      <c r="A92">
        <v>198207</v>
      </c>
      <c r="B92">
        <v>-3.1899999999999998E-2</v>
      </c>
      <c r="C92">
        <v>8.3000000000000001E-3</v>
      </c>
      <c r="D92">
        <v>8.9999999999999998E-4</v>
      </c>
      <c r="E92">
        <v>4.4500000000000005E-2</v>
      </c>
      <c r="H92" s="7"/>
      <c r="I92" s="7"/>
    </row>
    <row r="93" spans="1:9" x14ac:dyDescent="0.25">
      <c r="A93">
        <v>198208</v>
      </c>
      <c r="B93">
        <v>0.1114</v>
      </c>
      <c r="C93">
        <v>-4.1399999999999999E-2</v>
      </c>
      <c r="D93">
        <v>9.4999999999999998E-3</v>
      </c>
      <c r="E93">
        <v>-3.5200000000000002E-2</v>
      </c>
      <c r="H93" s="7"/>
      <c r="I93" s="7"/>
    </row>
    <row r="94" spans="1:9" x14ac:dyDescent="0.25">
      <c r="A94">
        <v>198209</v>
      </c>
      <c r="B94">
        <v>1.29E-2</v>
      </c>
      <c r="C94">
        <v>2.9500000000000002E-2</v>
      </c>
      <c r="D94">
        <v>2.8000000000000004E-3</v>
      </c>
      <c r="E94">
        <v>4.1900000000000007E-2</v>
      </c>
      <c r="H94" s="7"/>
      <c r="I94" s="7"/>
    </row>
    <row r="95" spans="1:9" x14ac:dyDescent="0.25">
      <c r="A95">
        <v>198210</v>
      </c>
      <c r="B95">
        <v>0.113</v>
      </c>
      <c r="C95">
        <v>2.3399999999999997E-2</v>
      </c>
      <c r="D95">
        <v>-3.6600000000000001E-2</v>
      </c>
      <c r="E95">
        <v>1.8E-3</v>
      </c>
      <c r="H95" s="7"/>
      <c r="I95" s="7"/>
    </row>
    <row r="96" spans="1:9" x14ac:dyDescent="0.25">
      <c r="A96">
        <v>198211</v>
      </c>
      <c r="B96">
        <v>4.6699999999999998E-2</v>
      </c>
      <c r="C96">
        <v>4.6699999999999998E-2</v>
      </c>
      <c r="D96">
        <v>-1.8700000000000001E-2</v>
      </c>
      <c r="E96">
        <v>5.9500000000000004E-2</v>
      </c>
      <c r="H96" s="7"/>
      <c r="I96" s="7"/>
    </row>
    <row r="97" spans="1:9" x14ac:dyDescent="0.25">
      <c r="A97">
        <v>198212</v>
      </c>
      <c r="B97">
        <v>5.5000000000000005E-3</v>
      </c>
      <c r="C97">
        <v>-2.2000000000000001E-3</v>
      </c>
      <c r="D97">
        <v>-2.0000000000000001E-4</v>
      </c>
      <c r="E97">
        <v>4.0000000000000002E-4</v>
      </c>
      <c r="H97" s="7"/>
      <c r="I97" s="7"/>
    </row>
    <row r="98" spans="1:9" x14ac:dyDescent="0.25">
      <c r="A98">
        <v>198301</v>
      </c>
      <c r="B98">
        <v>3.6000000000000004E-2</v>
      </c>
      <c r="C98">
        <v>2.7300000000000001E-2</v>
      </c>
      <c r="D98">
        <v>-7.4999999999999997E-3</v>
      </c>
      <c r="E98">
        <v>-1.7299999999999999E-2</v>
      </c>
      <c r="H98" s="7"/>
      <c r="I98" s="7"/>
    </row>
    <row r="99" spans="1:9" x14ac:dyDescent="0.25">
      <c r="A99">
        <v>198302</v>
      </c>
      <c r="B99">
        <v>2.5899999999999999E-2</v>
      </c>
      <c r="C99">
        <v>3.27E-2</v>
      </c>
      <c r="D99">
        <v>6.9999999999999993E-3</v>
      </c>
      <c r="E99">
        <v>3.7699999999999997E-2</v>
      </c>
      <c r="H99" s="7"/>
      <c r="I99" s="7"/>
    </row>
    <row r="100" spans="1:9" x14ac:dyDescent="0.25">
      <c r="A100">
        <v>198303</v>
      </c>
      <c r="B100">
        <v>2.8199999999999999E-2</v>
      </c>
      <c r="C100">
        <v>1.7299999999999999E-2</v>
      </c>
      <c r="D100">
        <v>2.0199999999999999E-2</v>
      </c>
      <c r="E100">
        <v>9.1999999999999998E-3</v>
      </c>
      <c r="H100" s="7"/>
      <c r="I100" s="7"/>
    </row>
    <row r="101" spans="1:9" x14ac:dyDescent="0.25">
      <c r="A101">
        <v>198304</v>
      </c>
      <c r="B101">
        <v>6.6699999999999995E-2</v>
      </c>
      <c r="C101">
        <v>5.0000000000000001E-3</v>
      </c>
      <c r="D101">
        <v>4.8999999999999998E-3</v>
      </c>
      <c r="E101">
        <v>1.72E-2</v>
      </c>
      <c r="H101" s="7"/>
      <c r="I101" s="7"/>
    </row>
    <row r="102" spans="1:9" x14ac:dyDescent="0.25">
      <c r="A102">
        <v>198305</v>
      </c>
      <c r="B102">
        <v>5.1999999999999998E-3</v>
      </c>
      <c r="C102">
        <v>6.2400000000000004E-2</v>
      </c>
      <c r="D102">
        <v>-1.3999999999999999E-2</v>
      </c>
      <c r="E102">
        <v>-1.5600000000000001E-2</v>
      </c>
      <c r="H102" s="7"/>
      <c r="I102" s="7"/>
    </row>
    <row r="103" spans="1:9" x14ac:dyDescent="0.25">
      <c r="A103">
        <v>198306</v>
      </c>
      <c r="B103">
        <v>3.0699999999999998E-2</v>
      </c>
      <c r="C103">
        <v>9.4999999999999998E-3</v>
      </c>
      <c r="D103">
        <v>-3.9E-2</v>
      </c>
      <c r="E103">
        <v>1.8000000000000002E-2</v>
      </c>
      <c r="H103" s="7"/>
      <c r="I103" s="7"/>
    </row>
    <row r="104" spans="1:9" x14ac:dyDescent="0.25">
      <c r="A104">
        <v>198307</v>
      </c>
      <c r="B104">
        <v>-4.07E-2</v>
      </c>
      <c r="C104">
        <v>1.4999999999999999E-2</v>
      </c>
      <c r="D104">
        <v>5.62E-2</v>
      </c>
      <c r="E104">
        <v>-3.1300000000000001E-2</v>
      </c>
      <c r="H104" s="7"/>
      <c r="I104" s="7"/>
    </row>
    <row r="105" spans="1:9" x14ac:dyDescent="0.25">
      <c r="A105">
        <v>198308</v>
      </c>
      <c r="B105">
        <v>-5.0000000000000001E-3</v>
      </c>
      <c r="C105">
        <v>-4.2800000000000005E-2</v>
      </c>
      <c r="D105">
        <v>5.5399999999999998E-2</v>
      </c>
      <c r="E105">
        <v>-5.8799999999999998E-2</v>
      </c>
      <c r="H105" s="7"/>
      <c r="I105" s="7"/>
    </row>
    <row r="106" spans="1:9" x14ac:dyDescent="0.25">
      <c r="A106">
        <v>198309</v>
      </c>
      <c r="B106">
        <v>9.1000000000000004E-3</v>
      </c>
      <c r="C106">
        <v>6.0999999999999995E-3</v>
      </c>
      <c r="D106">
        <v>1.01E-2</v>
      </c>
      <c r="E106">
        <v>-2.9999999999999997E-4</v>
      </c>
      <c r="H106" s="7"/>
      <c r="I106" s="7"/>
    </row>
    <row r="107" spans="1:9" x14ac:dyDescent="0.25">
      <c r="A107">
        <v>198310</v>
      </c>
      <c r="B107">
        <v>-3.44E-2</v>
      </c>
      <c r="C107">
        <v>-3.5699999999999996E-2</v>
      </c>
      <c r="D107">
        <v>4.9699999999999994E-2</v>
      </c>
      <c r="E107">
        <v>-4.5199999999999997E-2</v>
      </c>
      <c r="H107" s="7"/>
      <c r="I107" s="7"/>
    </row>
    <row r="108" spans="1:9" x14ac:dyDescent="0.25">
      <c r="A108">
        <v>198311</v>
      </c>
      <c r="B108">
        <v>2.1600000000000001E-2</v>
      </c>
      <c r="C108">
        <v>2.0099999999999996E-2</v>
      </c>
      <c r="D108">
        <v>-7.1999999999999998E-3</v>
      </c>
      <c r="E108">
        <v>-1.2999999999999999E-3</v>
      </c>
      <c r="H108" s="7"/>
      <c r="I108" s="7"/>
    </row>
    <row r="109" spans="1:9" x14ac:dyDescent="0.25">
      <c r="A109">
        <v>198312</v>
      </c>
      <c r="B109">
        <v>-1.78E-2</v>
      </c>
      <c r="C109">
        <v>-2.7000000000000001E-3</v>
      </c>
      <c r="D109">
        <v>1.7299999999999999E-2</v>
      </c>
      <c r="E109">
        <v>8.3999999999999995E-3</v>
      </c>
      <c r="H109" s="7"/>
      <c r="I109" s="7"/>
    </row>
    <row r="110" spans="1:9" x14ac:dyDescent="0.25">
      <c r="A110">
        <v>198401</v>
      </c>
      <c r="B110">
        <v>-1.9199999999999998E-2</v>
      </c>
      <c r="C110">
        <v>-3.8E-3</v>
      </c>
      <c r="D110">
        <v>7.5800000000000006E-2</v>
      </c>
      <c r="E110">
        <v>-2.5600000000000001E-2</v>
      </c>
      <c r="H110" s="7"/>
      <c r="I110" s="7"/>
    </row>
    <row r="111" spans="1:9" x14ac:dyDescent="0.25">
      <c r="A111">
        <v>198402</v>
      </c>
      <c r="B111">
        <v>-4.82E-2</v>
      </c>
      <c r="C111">
        <v>-1.6899999999999998E-2</v>
      </c>
      <c r="D111">
        <v>3.3300000000000003E-2</v>
      </c>
      <c r="E111">
        <v>2.2000000000000001E-3</v>
      </c>
      <c r="H111" s="7"/>
      <c r="I111" s="7"/>
    </row>
    <row r="112" spans="1:9" x14ac:dyDescent="0.25">
      <c r="A112">
        <v>198403</v>
      </c>
      <c r="B112">
        <v>6.3E-3</v>
      </c>
      <c r="C112">
        <v>7.000000000000001E-4</v>
      </c>
      <c r="D112">
        <v>4.5999999999999999E-3</v>
      </c>
      <c r="E112">
        <v>1.0700000000000001E-2</v>
      </c>
      <c r="H112" s="7"/>
      <c r="I112" s="7"/>
    </row>
    <row r="113" spans="1:9" x14ac:dyDescent="0.25">
      <c r="A113">
        <v>198404</v>
      </c>
      <c r="B113">
        <v>-5.1000000000000004E-3</v>
      </c>
      <c r="C113">
        <v>-1.1599999999999999E-2</v>
      </c>
      <c r="D113">
        <v>1.2E-2</v>
      </c>
      <c r="E113">
        <v>2.07E-2</v>
      </c>
      <c r="H113" s="7"/>
      <c r="I113" s="7"/>
    </row>
    <row r="114" spans="1:9" x14ac:dyDescent="0.25">
      <c r="A114">
        <v>198405</v>
      </c>
      <c r="B114">
        <v>-5.9699999999999996E-2</v>
      </c>
      <c r="C114">
        <v>5.9999999999999995E-4</v>
      </c>
      <c r="D114">
        <v>3.0999999999999999E-3</v>
      </c>
      <c r="E114">
        <v>1.5100000000000001E-2</v>
      </c>
      <c r="H114" s="7"/>
      <c r="I114" s="7"/>
    </row>
    <row r="115" spans="1:9" x14ac:dyDescent="0.25">
      <c r="A115">
        <v>198406</v>
      </c>
      <c r="B115">
        <v>1.8200000000000001E-2</v>
      </c>
      <c r="C115">
        <v>-3.0000000000000001E-3</v>
      </c>
      <c r="D115">
        <v>-2.6600000000000002E-2</v>
      </c>
      <c r="E115">
        <v>-6.9999999999999993E-3</v>
      </c>
      <c r="H115" s="7"/>
      <c r="I115" s="7"/>
    </row>
    <row r="116" spans="1:9" x14ac:dyDescent="0.25">
      <c r="A116">
        <v>198407</v>
      </c>
      <c r="B116">
        <v>-2.7400000000000001E-2</v>
      </c>
      <c r="C116">
        <v>-2.2099999999999998E-2</v>
      </c>
      <c r="D116">
        <v>3.5999999999999999E-3</v>
      </c>
      <c r="E116">
        <v>2.8500000000000001E-2</v>
      </c>
      <c r="H116" s="7"/>
      <c r="I116" s="7"/>
    </row>
    <row r="117" spans="1:9" x14ac:dyDescent="0.25">
      <c r="A117">
        <v>198408</v>
      </c>
      <c r="B117">
        <v>0.10279999999999999</v>
      </c>
      <c r="C117">
        <v>-2.3999999999999998E-3</v>
      </c>
      <c r="D117">
        <v>-1.8200000000000001E-2</v>
      </c>
      <c r="E117">
        <v>-5.5899999999999998E-2</v>
      </c>
      <c r="H117" s="7"/>
      <c r="I117" s="7"/>
    </row>
    <row r="118" spans="1:9" x14ac:dyDescent="0.25">
      <c r="A118">
        <v>198409</v>
      </c>
      <c r="B118">
        <v>-8.0000000000000002E-3</v>
      </c>
      <c r="C118">
        <v>1.7000000000000001E-3</v>
      </c>
      <c r="D118">
        <v>5.28E-2</v>
      </c>
      <c r="E118">
        <v>3.6200000000000003E-2</v>
      </c>
      <c r="H118" s="7"/>
      <c r="I118" s="7"/>
    </row>
    <row r="119" spans="1:9" x14ac:dyDescent="0.25">
      <c r="A119">
        <v>198410</v>
      </c>
      <c r="B119">
        <v>-8.3999999999999995E-3</v>
      </c>
      <c r="C119">
        <v>-1.23E-2</v>
      </c>
      <c r="D119">
        <v>4.5000000000000005E-3</v>
      </c>
      <c r="E119">
        <v>3.1600000000000003E-2</v>
      </c>
      <c r="H119" s="7"/>
      <c r="I119" s="7"/>
    </row>
    <row r="120" spans="1:9" x14ac:dyDescent="0.25">
      <c r="A120">
        <v>198411</v>
      </c>
      <c r="B120">
        <v>-1.7600000000000001E-2</v>
      </c>
      <c r="C120">
        <v>-6.5000000000000006E-3</v>
      </c>
      <c r="D120">
        <v>4.0599999999999997E-2</v>
      </c>
      <c r="E120">
        <v>1.6399999999999998E-2</v>
      </c>
      <c r="H120" s="7"/>
      <c r="I120" s="7"/>
    </row>
    <row r="121" spans="1:9" x14ac:dyDescent="0.25">
      <c r="A121">
        <v>198412</v>
      </c>
      <c r="B121">
        <v>1.84E-2</v>
      </c>
      <c r="C121">
        <v>-5.6000000000000008E-3</v>
      </c>
      <c r="D121">
        <v>-2.5999999999999999E-3</v>
      </c>
      <c r="E121">
        <v>1.49E-2</v>
      </c>
      <c r="H121" s="7"/>
      <c r="I121" s="7"/>
    </row>
    <row r="122" spans="1:9" x14ac:dyDescent="0.25">
      <c r="A122">
        <v>198501</v>
      </c>
      <c r="B122">
        <v>7.9899999999999999E-2</v>
      </c>
      <c r="C122">
        <v>3.3099999999999997E-2</v>
      </c>
      <c r="D122">
        <v>-5.3499999999999999E-2</v>
      </c>
      <c r="E122">
        <v>-6.8199999999999997E-2</v>
      </c>
      <c r="H122" s="7"/>
      <c r="I122" s="7"/>
    </row>
    <row r="123" spans="1:9" x14ac:dyDescent="0.25">
      <c r="A123">
        <v>198502</v>
      </c>
      <c r="B123">
        <v>1.2199999999999999E-2</v>
      </c>
      <c r="C123">
        <v>7.9000000000000008E-3</v>
      </c>
      <c r="D123">
        <v>-1E-3</v>
      </c>
      <c r="E123">
        <v>1.8799999999999997E-2</v>
      </c>
      <c r="H123" s="7"/>
      <c r="I123" s="7"/>
    </row>
    <row r="124" spans="1:9" x14ac:dyDescent="0.25">
      <c r="A124">
        <v>198503</v>
      </c>
      <c r="B124">
        <v>-8.3999999999999995E-3</v>
      </c>
      <c r="C124">
        <v>-1.0800000000000001E-2</v>
      </c>
      <c r="D124">
        <v>4.07E-2</v>
      </c>
      <c r="E124">
        <v>1.5800000000000002E-2</v>
      </c>
      <c r="H124" s="7"/>
      <c r="I124" s="7"/>
    </row>
    <row r="125" spans="1:9" x14ac:dyDescent="0.25">
      <c r="A125">
        <v>198504</v>
      </c>
      <c r="B125">
        <v>-9.5999999999999992E-3</v>
      </c>
      <c r="C125">
        <v>1.4000000000000002E-3</v>
      </c>
      <c r="D125">
        <v>3.7200000000000004E-2</v>
      </c>
      <c r="E125">
        <v>3.04E-2</v>
      </c>
      <c r="H125" s="7"/>
      <c r="I125" s="7"/>
    </row>
    <row r="126" spans="1:9" x14ac:dyDescent="0.25">
      <c r="A126">
        <v>198505</v>
      </c>
      <c r="B126">
        <v>5.0900000000000001E-2</v>
      </c>
      <c r="C126">
        <v>-2.2200000000000001E-2</v>
      </c>
      <c r="D126">
        <v>-9.5999999999999992E-3</v>
      </c>
      <c r="E126">
        <v>3.9900000000000005E-2</v>
      </c>
      <c r="H126" s="7"/>
      <c r="I126" s="7"/>
    </row>
    <row r="127" spans="1:9" x14ac:dyDescent="0.25">
      <c r="A127">
        <v>198506</v>
      </c>
      <c r="B127">
        <v>1.2699999999999999E-2</v>
      </c>
      <c r="C127">
        <v>5.1999999999999998E-3</v>
      </c>
      <c r="D127">
        <v>3.8E-3</v>
      </c>
      <c r="E127">
        <v>3.5699999999999996E-2</v>
      </c>
      <c r="H127" s="7"/>
      <c r="I127" s="7"/>
    </row>
    <row r="128" spans="1:9" x14ac:dyDescent="0.25">
      <c r="A128">
        <v>198507</v>
      </c>
      <c r="B128">
        <v>-7.4000000000000003E-3</v>
      </c>
      <c r="C128">
        <v>2.8399999999999998E-2</v>
      </c>
      <c r="D128">
        <v>-1.6200000000000003E-2</v>
      </c>
      <c r="E128">
        <v>-3.9100000000000003E-2</v>
      </c>
      <c r="H128" s="7"/>
      <c r="I128" s="7"/>
    </row>
    <row r="129" spans="1:9" x14ac:dyDescent="0.25">
      <c r="A129">
        <v>198508</v>
      </c>
      <c r="B129">
        <v>-1.0200000000000001E-2</v>
      </c>
      <c r="C129">
        <v>-3.0000000000000001E-3</v>
      </c>
      <c r="D129">
        <v>2.3199999999999998E-2</v>
      </c>
      <c r="E129">
        <v>1.8500000000000003E-2</v>
      </c>
      <c r="H129" s="7"/>
      <c r="I129" s="7"/>
    </row>
    <row r="130" spans="1:9" x14ac:dyDescent="0.25">
      <c r="A130">
        <v>198509</v>
      </c>
      <c r="B130">
        <v>-4.5400000000000003E-2</v>
      </c>
      <c r="C130">
        <v>-1.5900000000000001E-2</v>
      </c>
      <c r="D130">
        <v>1.29E-2</v>
      </c>
      <c r="E130">
        <v>1.5100000000000001E-2</v>
      </c>
      <c r="H130" s="7"/>
      <c r="I130" s="7"/>
    </row>
    <row r="131" spans="1:9" x14ac:dyDescent="0.25">
      <c r="A131">
        <v>198510</v>
      </c>
      <c r="B131">
        <v>4.0199999999999993E-2</v>
      </c>
      <c r="C131">
        <v>-1.5100000000000001E-2</v>
      </c>
      <c r="D131">
        <v>7.4999999999999997E-3</v>
      </c>
      <c r="E131">
        <v>4.8799999999999996E-2</v>
      </c>
      <c r="H131" s="7"/>
      <c r="I131" s="7"/>
    </row>
    <row r="132" spans="1:9" x14ac:dyDescent="0.25">
      <c r="A132">
        <v>198511</v>
      </c>
      <c r="B132">
        <v>6.480000000000001E-2</v>
      </c>
      <c r="C132">
        <v>2.5000000000000001E-3</v>
      </c>
      <c r="D132">
        <v>-2.8500000000000001E-2</v>
      </c>
      <c r="E132">
        <v>-4.6999999999999993E-3</v>
      </c>
      <c r="H132" s="7"/>
      <c r="I132" s="7"/>
    </row>
    <row r="133" spans="1:9" x14ac:dyDescent="0.25">
      <c r="A133">
        <v>198512</v>
      </c>
      <c r="B133">
        <v>3.8800000000000001E-2</v>
      </c>
      <c r="C133">
        <v>-5.1000000000000004E-3</v>
      </c>
      <c r="D133">
        <v>-1.54E-2</v>
      </c>
      <c r="E133">
        <v>-2.3E-3</v>
      </c>
      <c r="H133" s="7"/>
      <c r="I133" s="7"/>
    </row>
    <row r="134" spans="1:9" x14ac:dyDescent="0.25">
      <c r="A134">
        <v>198601</v>
      </c>
      <c r="B134">
        <v>6.5000000000000006E-3</v>
      </c>
      <c r="C134">
        <v>1.21E-2</v>
      </c>
      <c r="D134">
        <v>4.4000000000000003E-3</v>
      </c>
      <c r="E134">
        <v>0.03</v>
      </c>
      <c r="H134" s="7"/>
      <c r="I134" s="7"/>
    </row>
    <row r="135" spans="1:9" x14ac:dyDescent="0.25">
      <c r="A135">
        <v>198602</v>
      </c>
      <c r="B135">
        <v>7.1300000000000002E-2</v>
      </c>
      <c r="C135">
        <v>-5.4000000000000003E-3</v>
      </c>
      <c r="D135">
        <v>-7.1999999999999998E-3</v>
      </c>
      <c r="E135">
        <v>2.76E-2</v>
      </c>
      <c r="H135" s="7"/>
      <c r="I135" s="7"/>
    </row>
    <row r="136" spans="1:9" x14ac:dyDescent="0.25">
      <c r="A136">
        <v>198603</v>
      </c>
      <c r="B136">
        <v>4.8799999999999996E-2</v>
      </c>
      <c r="C136">
        <v>-5.8999999999999999E-3</v>
      </c>
      <c r="D136">
        <v>-3.9000000000000003E-3</v>
      </c>
      <c r="E136">
        <v>2.41E-2</v>
      </c>
      <c r="H136" s="7"/>
      <c r="I136" s="7"/>
    </row>
    <row r="137" spans="1:9" x14ac:dyDescent="0.25">
      <c r="A137">
        <v>198604</v>
      </c>
      <c r="B137">
        <v>-1.3100000000000001E-2</v>
      </c>
      <c r="C137">
        <v>2.7799999999999998E-2</v>
      </c>
      <c r="D137">
        <v>-2.87E-2</v>
      </c>
      <c r="E137">
        <v>-3.7000000000000002E-3</v>
      </c>
      <c r="H137" s="7"/>
      <c r="I137" s="7"/>
    </row>
    <row r="138" spans="1:9" x14ac:dyDescent="0.25">
      <c r="A138">
        <v>198605</v>
      </c>
      <c r="B138">
        <v>4.6199999999999998E-2</v>
      </c>
      <c r="C138">
        <v>-1.3500000000000002E-2</v>
      </c>
      <c r="D138">
        <v>-2.0999999999999999E-3</v>
      </c>
      <c r="E138">
        <v>2.0499999999999997E-2</v>
      </c>
      <c r="H138" s="7"/>
      <c r="I138" s="7"/>
    </row>
    <row r="139" spans="1:9" x14ac:dyDescent="0.25">
      <c r="A139">
        <v>198606</v>
      </c>
      <c r="B139">
        <v>1.03E-2</v>
      </c>
      <c r="C139">
        <v>-9.5999999999999992E-3</v>
      </c>
      <c r="D139">
        <v>1.2800000000000001E-2</v>
      </c>
      <c r="E139">
        <v>5.0700000000000002E-2</v>
      </c>
      <c r="H139" s="7"/>
      <c r="I139" s="7"/>
    </row>
    <row r="140" spans="1:9" x14ac:dyDescent="0.25">
      <c r="A140">
        <v>198607</v>
      </c>
      <c r="B140">
        <v>-6.4500000000000002E-2</v>
      </c>
      <c r="C140">
        <v>-3.3599999999999998E-2</v>
      </c>
      <c r="D140">
        <v>4.7E-2</v>
      </c>
      <c r="E140">
        <v>1.83E-2</v>
      </c>
      <c r="H140" s="7"/>
      <c r="I140" s="7"/>
    </row>
    <row r="141" spans="1:9" x14ac:dyDescent="0.25">
      <c r="A141">
        <v>198608</v>
      </c>
      <c r="B141">
        <v>6.0700000000000004E-2</v>
      </c>
      <c r="C141">
        <v>-4.1700000000000001E-2</v>
      </c>
      <c r="D141">
        <v>3.5099999999999999E-2</v>
      </c>
      <c r="E141">
        <v>-5.28E-2</v>
      </c>
      <c r="H141" s="7"/>
      <c r="I141" s="7"/>
    </row>
    <row r="142" spans="1:9" x14ac:dyDescent="0.25">
      <c r="A142">
        <v>198609</v>
      </c>
      <c r="B142">
        <v>-8.5999999999999993E-2</v>
      </c>
      <c r="C142">
        <v>2.3599999999999999E-2</v>
      </c>
      <c r="D142">
        <v>3.2199999999999999E-2</v>
      </c>
      <c r="E142">
        <v>-5.79E-2</v>
      </c>
      <c r="H142" s="7"/>
      <c r="I142" s="7"/>
    </row>
    <row r="143" spans="1:9" x14ac:dyDescent="0.25">
      <c r="A143">
        <v>198610</v>
      </c>
      <c r="B143">
        <v>4.6600000000000003E-2</v>
      </c>
      <c r="C143">
        <v>-2.5000000000000001E-2</v>
      </c>
      <c r="D143">
        <v>-1.4199999999999999E-2</v>
      </c>
      <c r="E143">
        <v>4.4600000000000001E-2</v>
      </c>
      <c r="H143" s="7"/>
      <c r="I143" s="7"/>
    </row>
    <row r="144" spans="1:9" x14ac:dyDescent="0.25">
      <c r="A144">
        <v>198611</v>
      </c>
      <c r="B144">
        <v>1.1699999999999999E-2</v>
      </c>
      <c r="C144">
        <v>-1.9099999999999999E-2</v>
      </c>
      <c r="D144">
        <v>-7.000000000000001E-4</v>
      </c>
      <c r="E144">
        <v>-2.5999999999999999E-3</v>
      </c>
      <c r="H144" s="7"/>
      <c r="I144" s="7"/>
    </row>
    <row r="145" spans="1:9" x14ac:dyDescent="0.25">
      <c r="A145">
        <v>198612</v>
      </c>
      <c r="B145">
        <v>-3.27E-2</v>
      </c>
      <c r="C145">
        <v>1.2999999999999999E-3</v>
      </c>
      <c r="D145">
        <v>3.5999999999999999E-3</v>
      </c>
      <c r="E145">
        <v>3.4999999999999996E-3</v>
      </c>
      <c r="H145" s="7"/>
      <c r="I145" s="7"/>
    </row>
    <row r="146" spans="1:9" x14ac:dyDescent="0.25">
      <c r="A146">
        <v>198701</v>
      </c>
      <c r="B146">
        <v>0.12470000000000001</v>
      </c>
      <c r="C146">
        <v>-1.8100000000000002E-2</v>
      </c>
      <c r="D146">
        <v>-3.1600000000000003E-2</v>
      </c>
      <c r="E146">
        <v>2.2000000000000002E-2</v>
      </c>
      <c r="H146" s="7"/>
      <c r="I146" s="7"/>
    </row>
    <row r="147" spans="1:9" x14ac:dyDescent="0.25">
      <c r="A147">
        <v>198702</v>
      </c>
      <c r="B147">
        <v>4.3899999999999995E-2</v>
      </c>
      <c r="C147">
        <v>3.49E-2</v>
      </c>
      <c r="D147">
        <v>-5.91E-2</v>
      </c>
      <c r="E147">
        <v>-2.07E-2</v>
      </c>
      <c r="H147" s="7"/>
      <c r="I147" s="7"/>
    </row>
    <row r="148" spans="1:9" x14ac:dyDescent="0.25">
      <c r="A148">
        <v>198703</v>
      </c>
      <c r="B148">
        <v>1.6399999999999998E-2</v>
      </c>
      <c r="C148">
        <v>4.5000000000000005E-3</v>
      </c>
      <c r="D148">
        <v>1.61E-2</v>
      </c>
      <c r="E148">
        <v>1.6799999999999999E-2</v>
      </c>
      <c r="H148" s="7"/>
      <c r="I148" s="7"/>
    </row>
    <row r="149" spans="1:9" x14ac:dyDescent="0.25">
      <c r="A149">
        <v>198704</v>
      </c>
      <c r="B149">
        <v>-2.1099999999999997E-2</v>
      </c>
      <c r="C149">
        <v>-1.6899999999999998E-2</v>
      </c>
      <c r="D149">
        <v>-3.9000000000000003E-3</v>
      </c>
      <c r="E149">
        <v>2.2000000000000001E-3</v>
      </c>
      <c r="H149" s="7"/>
      <c r="I149" s="7"/>
    </row>
    <row r="150" spans="1:9" x14ac:dyDescent="0.25">
      <c r="A150">
        <v>198705</v>
      </c>
      <c r="B150">
        <v>1.1000000000000001E-3</v>
      </c>
      <c r="C150">
        <v>-5.0000000000000001E-3</v>
      </c>
      <c r="D150">
        <v>2.3E-3</v>
      </c>
      <c r="E150">
        <v>-7.4000000000000003E-3</v>
      </c>
      <c r="H150" s="7"/>
      <c r="I150" s="7"/>
    </row>
    <row r="151" spans="1:9" x14ac:dyDescent="0.25">
      <c r="A151">
        <v>198706</v>
      </c>
      <c r="B151">
        <v>3.9399999999999998E-2</v>
      </c>
      <c r="C151">
        <v>-2.12E-2</v>
      </c>
      <c r="D151">
        <v>1.04E-2</v>
      </c>
      <c r="E151">
        <v>-2.5000000000000001E-3</v>
      </c>
      <c r="H151" s="7"/>
      <c r="I151" s="7"/>
    </row>
    <row r="152" spans="1:9" x14ac:dyDescent="0.25">
      <c r="A152">
        <v>198707</v>
      </c>
      <c r="B152">
        <v>3.85E-2</v>
      </c>
      <c r="C152">
        <v>-6.8999999999999999E-3</v>
      </c>
      <c r="D152">
        <v>6.8000000000000005E-3</v>
      </c>
      <c r="E152">
        <v>2.7200000000000002E-2</v>
      </c>
      <c r="H152" s="7"/>
      <c r="I152" s="7"/>
    </row>
    <row r="153" spans="1:9" x14ac:dyDescent="0.25">
      <c r="A153">
        <v>198708</v>
      </c>
      <c r="B153">
        <v>3.5200000000000002E-2</v>
      </c>
      <c r="C153">
        <v>-7.7000000000000002E-3</v>
      </c>
      <c r="D153">
        <v>-9.300000000000001E-3</v>
      </c>
      <c r="E153">
        <v>-8.6E-3</v>
      </c>
      <c r="H153" s="7"/>
      <c r="I153" s="7"/>
    </row>
    <row r="154" spans="1:9" x14ac:dyDescent="0.25">
      <c r="A154">
        <v>198709</v>
      </c>
      <c r="B154">
        <v>-2.5899999999999999E-2</v>
      </c>
      <c r="C154">
        <v>5.4000000000000003E-3</v>
      </c>
      <c r="D154">
        <v>2.7000000000000001E-3</v>
      </c>
      <c r="E154">
        <v>7.7000000000000002E-3</v>
      </c>
      <c r="H154" s="7"/>
      <c r="I154" s="7"/>
    </row>
    <row r="155" spans="1:9" x14ac:dyDescent="0.25">
      <c r="A155">
        <v>198710</v>
      </c>
      <c r="B155">
        <v>-0.2324</v>
      </c>
      <c r="C155">
        <v>-8.43E-2</v>
      </c>
      <c r="D155">
        <v>4.24E-2</v>
      </c>
      <c r="E155">
        <v>-7.8600000000000003E-2</v>
      </c>
      <c r="H155" s="7"/>
      <c r="I155" s="7"/>
    </row>
    <row r="156" spans="1:9" x14ac:dyDescent="0.25">
      <c r="A156">
        <v>198711</v>
      </c>
      <c r="B156">
        <v>-7.7699999999999991E-2</v>
      </c>
      <c r="C156">
        <v>2.7200000000000002E-2</v>
      </c>
      <c r="D156">
        <v>2.9500000000000002E-2</v>
      </c>
      <c r="E156">
        <v>-1.1699999999999999E-2</v>
      </c>
      <c r="H156" s="7"/>
      <c r="I156" s="7"/>
    </row>
    <row r="157" spans="1:9" x14ac:dyDescent="0.25">
      <c r="A157">
        <v>198712</v>
      </c>
      <c r="B157">
        <v>6.8099999999999994E-2</v>
      </c>
      <c r="C157">
        <v>1.2999999999999999E-3</v>
      </c>
      <c r="D157">
        <v>-4.4299999999999999E-2</v>
      </c>
      <c r="E157">
        <v>5.8700000000000002E-2</v>
      </c>
      <c r="H157" s="7"/>
      <c r="I157" s="7"/>
    </row>
    <row r="158" spans="1:9" x14ac:dyDescent="0.25">
      <c r="A158">
        <v>198801</v>
      </c>
      <c r="B158">
        <v>4.2099999999999999E-2</v>
      </c>
      <c r="C158">
        <v>-7.1999999999999998E-3</v>
      </c>
      <c r="D158">
        <v>5.0099999999999999E-2</v>
      </c>
      <c r="E158">
        <v>-7.2400000000000006E-2</v>
      </c>
      <c r="H158" s="7"/>
      <c r="I158" s="7"/>
    </row>
    <row r="159" spans="1:9" x14ac:dyDescent="0.25">
      <c r="A159">
        <v>198802</v>
      </c>
      <c r="B159">
        <v>4.7500000000000001E-2</v>
      </c>
      <c r="C159">
        <v>3.3399999999999999E-2</v>
      </c>
      <c r="D159">
        <v>-1.7100000000000001E-2</v>
      </c>
      <c r="E159">
        <v>-1.47E-2</v>
      </c>
      <c r="H159" s="7"/>
      <c r="I159" s="7"/>
    </row>
    <row r="160" spans="1:9" x14ac:dyDescent="0.25">
      <c r="A160">
        <v>198803</v>
      </c>
      <c r="B160">
        <v>-2.2700000000000001E-2</v>
      </c>
      <c r="C160">
        <v>6.1500000000000006E-2</v>
      </c>
      <c r="D160">
        <v>7.3000000000000001E-3</v>
      </c>
      <c r="E160">
        <v>5.7999999999999996E-3</v>
      </c>
      <c r="H160" s="7"/>
      <c r="I160" s="7"/>
    </row>
    <row r="161" spans="1:9" x14ac:dyDescent="0.25">
      <c r="A161">
        <v>198804</v>
      </c>
      <c r="B161">
        <v>5.6000000000000008E-3</v>
      </c>
      <c r="C161">
        <v>0.01</v>
      </c>
      <c r="D161">
        <v>1.67E-2</v>
      </c>
      <c r="E161">
        <v>2.2400000000000003E-2</v>
      </c>
      <c r="H161" s="7"/>
      <c r="I161" s="7"/>
    </row>
    <row r="162" spans="1:9" x14ac:dyDescent="0.25">
      <c r="A162">
        <v>198805</v>
      </c>
      <c r="B162">
        <v>-2.8999999999999998E-3</v>
      </c>
      <c r="C162">
        <v>-2.6000000000000002E-2</v>
      </c>
      <c r="D162">
        <v>2.4199999999999999E-2</v>
      </c>
      <c r="E162">
        <v>6.3E-3</v>
      </c>
      <c r="H162" s="7"/>
      <c r="I162" s="7"/>
    </row>
    <row r="163" spans="1:9" x14ac:dyDescent="0.25">
      <c r="A163">
        <v>198806</v>
      </c>
      <c r="B163">
        <v>4.7899999999999998E-2</v>
      </c>
      <c r="C163">
        <v>2.1099999999999997E-2</v>
      </c>
      <c r="D163">
        <v>-1.24E-2</v>
      </c>
      <c r="E163">
        <v>-2.9300000000000003E-2</v>
      </c>
      <c r="H163" s="7"/>
      <c r="I163" s="7"/>
    </row>
    <row r="164" spans="1:9" x14ac:dyDescent="0.25">
      <c r="A164">
        <v>198807</v>
      </c>
      <c r="B164">
        <v>-1.2500000000000001E-2</v>
      </c>
      <c r="C164">
        <v>-2.5000000000000001E-3</v>
      </c>
      <c r="D164">
        <v>2.2200000000000001E-2</v>
      </c>
      <c r="E164">
        <v>6.6E-3</v>
      </c>
      <c r="H164" s="7"/>
      <c r="I164" s="7"/>
    </row>
    <row r="165" spans="1:9" x14ac:dyDescent="0.25">
      <c r="A165">
        <v>198808</v>
      </c>
      <c r="B165">
        <v>-3.3099999999999997E-2</v>
      </c>
      <c r="C165">
        <v>4.0000000000000002E-4</v>
      </c>
      <c r="D165">
        <v>2.1499999999999998E-2</v>
      </c>
      <c r="E165">
        <v>3.4999999999999996E-3</v>
      </c>
      <c r="H165" s="7"/>
      <c r="I165" s="7"/>
    </row>
    <row r="166" spans="1:9" x14ac:dyDescent="0.25">
      <c r="A166">
        <v>198809</v>
      </c>
      <c r="B166">
        <v>3.3000000000000002E-2</v>
      </c>
      <c r="C166">
        <v>-1.3100000000000001E-2</v>
      </c>
      <c r="D166">
        <v>-7.4999999999999997E-3</v>
      </c>
      <c r="E166">
        <v>2.7000000000000001E-3</v>
      </c>
      <c r="H166" s="7"/>
      <c r="I166" s="7"/>
    </row>
    <row r="167" spans="1:9" x14ac:dyDescent="0.25">
      <c r="A167">
        <v>198810</v>
      </c>
      <c r="B167">
        <v>1.15E-2</v>
      </c>
      <c r="C167">
        <v>-2.9300000000000003E-2</v>
      </c>
      <c r="D167">
        <v>2.0499999999999997E-2</v>
      </c>
      <c r="E167">
        <v>1.3300000000000001E-2</v>
      </c>
      <c r="H167" s="7"/>
      <c r="I167" s="7"/>
    </row>
    <row r="168" spans="1:9" x14ac:dyDescent="0.25">
      <c r="A168">
        <v>198811</v>
      </c>
      <c r="B168">
        <v>-2.29E-2</v>
      </c>
      <c r="C168">
        <v>-1.72E-2</v>
      </c>
      <c r="D168">
        <v>1.41E-2</v>
      </c>
      <c r="E168">
        <v>3.3E-3</v>
      </c>
      <c r="H168" s="7"/>
      <c r="I168" s="7"/>
    </row>
    <row r="169" spans="1:9" x14ac:dyDescent="0.25">
      <c r="A169">
        <v>198812</v>
      </c>
      <c r="B169">
        <v>1.49E-2</v>
      </c>
      <c r="C169">
        <v>1.95E-2</v>
      </c>
      <c r="D169">
        <v>-1.6899999999999998E-2</v>
      </c>
      <c r="E169">
        <v>4.8999999999999998E-3</v>
      </c>
      <c r="H169" s="7"/>
      <c r="I169" s="7"/>
    </row>
    <row r="170" spans="1:9" x14ac:dyDescent="0.25">
      <c r="A170">
        <v>198901</v>
      </c>
      <c r="B170">
        <v>6.0999999999999999E-2</v>
      </c>
      <c r="C170">
        <v>-2.23E-2</v>
      </c>
      <c r="D170">
        <v>6.0000000000000001E-3</v>
      </c>
      <c r="E170">
        <v>-1.6000000000000001E-3</v>
      </c>
      <c r="H170" s="7"/>
      <c r="I170" s="7"/>
    </row>
    <row r="171" spans="1:9" x14ac:dyDescent="0.25">
      <c r="A171">
        <v>198902</v>
      </c>
      <c r="B171">
        <v>-2.2499999999999999E-2</v>
      </c>
      <c r="C171">
        <v>2.8199999999999999E-2</v>
      </c>
      <c r="D171">
        <v>1.01E-2</v>
      </c>
      <c r="E171">
        <v>9.8999999999999991E-3</v>
      </c>
      <c r="H171" s="7"/>
      <c r="I171" s="7"/>
    </row>
    <row r="172" spans="1:9" x14ac:dyDescent="0.25">
      <c r="A172">
        <v>198903</v>
      </c>
      <c r="B172">
        <v>1.5700000000000002E-2</v>
      </c>
      <c r="C172">
        <v>6.7000000000000002E-3</v>
      </c>
      <c r="D172">
        <v>5.7999999999999996E-3</v>
      </c>
      <c r="E172">
        <v>3.5099999999999999E-2</v>
      </c>
      <c r="H172" s="7"/>
      <c r="I172" s="7"/>
    </row>
    <row r="173" spans="1:9" x14ac:dyDescent="0.25">
      <c r="A173">
        <v>198904</v>
      </c>
      <c r="B173">
        <v>4.3299999999999998E-2</v>
      </c>
      <c r="C173">
        <v>-6.8000000000000005E-3</v>
      </c>
      <c r="D173">
        <v>-1.4199999999999999E-2</v>
      </c>
      <c r="E173">
        <v>1.77E-2</v>
      </c>
      <c r="H173" s="7"/>
      <c r="I173" s="7"/>
    </row>
    <row r="174" spans="1:9" x14ac:dyDescent="0.25">
      <c r="A174">
        <v>198905</v>
      </c>
      <c r="B174">
        <v>3.3500000000000002E-2</v>
      </c>
      <c r="C174">
        <v>-5.0000000000000001E-4</v>
      </c>
      <c r="D174">
        <v>-8.8000000000000005E-3</v>
      </c>
      <c r="E174">
        <v>1.52E-2</v>
      </c>
      <c r="H174" s="7"/>
      <c r="I174" s="7"/>
    </row>
    <row r="175" spans="1:9" x14ac:dyDescent="0.25">
      <c r="A175">
        <v>198906</v>
      </c>
      <c r="B175">
        <v>-1.3500000000000002E-2</v>
      </c>
      <c r="C175">
        <v>-1.0200000000000001E-2</v>
      </c>
      <c r="D175">
        <v>2.2499999999999999E-2</v>
      </c>
      <c r="E175">
        <v>4.3E-3</v>
      </c>
      <c r="H175" s="7"/>
      <c r="I175" s="7"/>
    </row>
    <row r="176" spans="1:9" x14ac:dyDescent="0.25">
      <c r="A176">
        <v>198907</v>
      </c>
      <c r="B176">
        <v>7.2000000000000008E-2</v>
      </c>
      <c r="C176">
        <v>-4.1399999999999999E-2</v>
      </c>
      <c r="D176">
        <v>-2.7900000000000001E-2</v>
      </c>
      <c r="E176">
        <v>5.4100000000000002E-2</v>
      </c>
      <c r="H176" s="7"/>
      <c r="I176" s="7"/>
    </row>
    <row r="177" spans="1:9" x14ac:dyDescent="0.25">
      <c r="A177">
        <v>198908</v>
      </c>
      <c r="B177">
        <v>1.44E-2</v>
      </c>
      <c r="C177">
        <v>5.6000000000000008E-3</v>
      </c>
      <c r="D177">
        <v>6.0000000000000001E-3</v>
      </c>
      <c r="E177">
        <v>-1.1999999999999999E-3</v>
      </c>
      <c r="H177" s="7"/>
      <c r="I177" s="7"/>
    </row>
    <row r="178" spans="1:9" x14ac:dyDescent="0.25">
      <c r="A178">
        <v>198909</v>
      </c>
      <c r="B178">
        <v>-7.6E-3</v>
      </c>
      <c r="C178">
        <v>3.2000000000000002E-3</v>
      </c>
      <c r="D178">
        <v>-1.2699999999999999E-2</v>
      </c>
      <c r="E178">
        <v>3.4000000000000002E-2</v>
      </c>
      <c r="H178" s="7"/>
      <c r="I178" s="7"/>
    </row>
    <row r="179" spans="1:9" x14ac:dyDescent="0.25">
      <c r="A179">
        <v>198910</v>
      </c>
      <c r="B179">
        <v>-3.6699999999999997E-2</v>
      </c>
      <c r="C179">
        <v>-3.2300000000000002E-2</v>
      </c>
      <c r="D179">
        <v>-1.11E-2</v>
      </c>
      <c r="E179">
        <v>1.32E-2</v>
      </c>
      <c r="H179" s="7"/>
      <c r="I179" s="7"/>
    </row>
    <row r="180" spans="1:9" x14ac:dyDescent="0.25">
      <c r="A180">
        <v>198911</v>
      </c>
      <c r="B180">
        <v>1.03E-2</v>
      </c>
      <c r="C180">
        <v>-1.24E-2</v>
      </c>
      <c r="D180">
        <v>-1.09E-2</v>
      </c>
      <c r="E180">
        <v>2.6000000000000002E-2</v>
      </c>
      <c r="H180" s="7"/>
      <c r="I180" s="7"/>
    </row>
    <row r="181" spans="1:9" x14ac:dyDescent="0.25">
      <c r="A181">
        <v>198912</v>
      </c>
      <c r="B181">
        <v>1.1599999999999999E-2</v>
      </c>
      <c r="C181">
        <v>-2.3599999999999999E-2</v>
      </c>
      <c r="D181">
        <v>1.6000000000000001E-3</v>
      </c>
      <c r="E181">
        <v>2.7999999999999997E-2</v>
      </c>
      <c r="H181" s="7"/>
      <c r="I181" s="7"/>
    </row>
    <row r="182" spans="1:9" x14ac:dyDescent="0.25">
      <c r="A182">
        <v>199001</v>
      </c>
      <c r="B182">
        <v>-7.85E-2</v>
      </c>
      <c r="C182">
        <v>-1.24E-2</v>
      </c>
      <c r="D182">
        <v>8.5000000000000006E-3</v>
      </c>
      <c r="E182">
        <v>-3.27E-2</v>
      </c>
      <c r="H182" s="7"/>
      <c r="I182" s="7"/>
    </row>
    <row r="183" spans="1:9" x14ac:dyDescent="0.25">
      <c r="A183">
        <v>199002</v>
      </c>
      <c r="B183">
        <v>1.11E-2</v>
      </c>
      <c r="C183">
        <v>9.8999999999999991E-3</v>
      </c>
      <c r="D183">
        <v>6.4000000000000003E-3</v>
      </c>
      <c r="E183">
        <v>-5.5000000000000005E-3</v>
      </c>
      <c r="H183" s="7"/>
      <c r="I183" s="7"/>
    </row>
    <row r="184" spans="1:9" x14ac:dyDescent="0.25">
      <c r="A184">
        <v>199003</v>
      </c>
      <c r="B184">
        <v>1.83E-2</v>
      </c>
      <c r="C184">
        <v>1.4999999999999999E-2</v>
      </c>
      <c r="D184">
        <v>-2.92E-2</v>
      </c>
      <c r="E184">
        <v>1.8000000000000002E-2</v>
      </c>
      <c r="H184" s="7"/>
      <c r="I184" s="7"/>
    </row>
    <row r="185" spans="1:9" x14ac:dyDescent="0.25">
      <c r="A185">
        <v>199004</v>
      </c>
      <c r="B185">
        <v>-3.3599999999999998E-2</v>
      </c>
      <c r="C185">
        <v>-4.5999999999999999E-3</v>
      </c>
      <c r="D185">
        <v>-2.5899999999999999E-2</v>
      </c>
      <c r="E185">
        <v>2.3900000000000001E-2</v>
      </c>
      <c r="H185" s="7"/>
      <c r="I185" s="7"/>
    </row>
    <row r="186" spans="1:9" x14ac:dyDescent="0.25">
      <c r="A186">
        <v>199005</v>
      </c>
      <c r="B186">
        <v>8.4199999999999997E-2</v>
      </c>
      <c r="C186">
        <v>-2.53E-2</v>
      </c>
      <c r="D186">
        <v>-3.8300000000000001E-2</v>
      </c>
      <c r="E186">
        <v>3.0299999999999997E-2</v>
      </c>
      <c r="H186" s="7"/>
      <c r="I186" s="7"/>
    </row>
    <row r="187" spans="1:9" x14ac:dyDescent="0.25">
      <c r="A187">
        <v>199006</v>
      </c>
      <c r="B187">
        <v>-1.09E-2</v>
      </c>
      <c r="C187">
        <v>1.3999999999999999E-2</v>
      </c>
      <c r="D187">
        <v>-1.9299999999999998E-2</v>
      </c>
      <c r="E187">
        <v>2.4E-2</v>
      </c>
      <c r="H187" s="7"/>
      <c r="I187" s="7"/>
    </row>
    <row r="188" spans="1:9" x14ac:dyDescent="0.25">
      <c r="A188">
        <v>199007</v>
      </c>
      <c r="B188">
        <v>-1.9E-2</v>
      </c>
      <c r="C188">
        <v>-3.1200000000000002E-2</v>
      </c>
      <c r="D188">
        <v>-2.9999999999999997E-4</v>
      </c>
      <c r="E188">
        <v>6.0999999999999999E-2</v>
      </c>
      <c r="H188" s="7"/>
      <c r="I188" s="7"/>
    </row>
    <row r="189" spans="1:9" x14ac:dyDescent="0.25">
      <c r="A189">
        <v>199008</v>
      </c>
      <c r="B189">
        <v>-0.10150000000000001</v>
      </c>
      <c r="C189">
        <v>-3.5699999999999996E-2</v>
      </c>
      <c r="D189">
        <v>1.6399999999999998E-2</v>
      </c>
      <c r="E189">
        <v>1.8799999999999997E-2</v>
      </c>
      <c r="H189" s="7"/>
      <c r="I189" s="7"/>
    </row>
    <row r="190" spans="1:9" x14ac:dyDescent="0.25">
      <c r="A190">
        <v>199009</v>
      </c>
      <c r="B190">
        <v>-6.1200000000000004E-2</v>
      </c>
      <c r="C190">
        <v>-3.6499999999999998E-2</v>
      </c>
      <c r="D190">
        <v>6.4000000000000003E-3</v>
      </c>
      <c r="E190">
        <v>5.7800000000000004E-2</v>
      </c>
      <c r="H190" s="7"/>
      <c r="I190" s="7"/>
    </row>
    <row r="191" spans="1:9" x14ac:dyDescent="0.25">
      <c r="A191">
        <v>199010</v>
      </c>
      <c r="B191">
        <v>-1.9199999999999998E-2</v>
      </c>
      <c r="C191">
        <v>-5.57E-2</v>
      </c>
      <c r="D191">
        <v>1E-3</v>
      </c>
      <c r="E191">
        <v>6.7099999999999993E-2</v>
      </c>
      <c r="H191" s="7"/>
      <c r="I191" s="7"/>
    </row>
    <row r="192" spans="1:9" x14ac:dyDescent="0.25">
      <c r="A192">
        <v>199011</v>
      </c>
      <c r="B192">
        <v>6.3500000000000001E-2</v>
      </c>
      <c r="C192">
        <v>4.3E-3</v>
      </c>
      <c r="D192">
        <v>-3.1E-2</v>
      </c>
      <c r="E192">
        <v>-5.4800000000000001E-2</v>
      </c>
      <c r="H192" s="7"/>
      <c r="I192" s="7"/>
    </row>
    <row r="193" spans="1:9" x14ac:dyDescent="0.25">
      <c r="A193">
        <v>199012</v>
      </c>
      <c r="B193">
        <v>2.46E-2</v>
      </c>
      <c r="C193">
        <v>8.1000000000000013E-3</v>
      </c>
      <c r="D193">
        <v>-1.7000000000000001E-2</v>
      </c>
      <c r="E193">
        <v>2.8999999999999998E-3</v>
      </c>
      <c r="H193" s="7"/>
      <c r="I193" s="7"/>
    </row>
    <row r="194" spans="1:9" x14ac:dyDescent="0.25">
      <c r="A194">
        <v>199101</v>
      </c>
      <c r="B194">
        <v>4.6900000000000004E-2</v>
      </c>
      <c r="C194">
        <v>3.8100000000000002E-2</v>
      </c>
      <c r="D194">
        <v>-1.6E-2</v>
      </c>
      <c r="E194">
        <v>-6.4500000000000002E-2</v>
      </c>
      <c r="H194" s="7"/>
      <c r="I194" s="7"/>
    </row>
    <row r="195" spans="1:9" x14ac:dyDescent="0.25">
      <c r="A195">
        <v>199102</v>
      </c>
      <c r="B195">
        <v>7.1900000000000006E-2</v>
      </c>
      <c r="C195">
        <v>3.95E-2</v>
      </c>
      <c r="D195">
        <v>-5.7999999999999996E-3</v>
      </c>
      <c r="E195">
        <v>-4.6100000000000002E-2</v>
      </c>
      <c r="H195" s="7"/>
      <c r="I195" s="7"/>
    </row>
    <row r="196" spans="1:9" x14ac:dyDescent="0.25">
      <c r="A196">
        <v>199103</v>
      </c>
      <c r="B196">
        <v>2.6499999999999999E-2</v>
      </c>
      <c r="C196">
        <v>3.9300000000000002E-2</v>
      </c>
      <c r="D196">
        <v>-1.3899999999999999E-2</v>
      </c>
      <c r="E196">
        <v>2.87E-2</v>
      </c>
      <c r="H196" s="7"/>
      <c r="I196" s="7"/>
    </row>
    <row r="197" spans="1:9" x14ac:dyDescent="0.25">
      <c r="A197">
        <v>199104</v>
      </c>
      <c r="B197">
        <v>-2.8000000000000004E-3</v>
      </c>
      <c r="C197">
        <v>4.7999999999999996E-3</v>
      </c>
      <c r="D197">
        <v>1.4999999999999999E-2</v>
      </c>
      <c r="E197">
        <v>-2.3599999999999999E-2</v>
      </c>
      <c r="H197" s="7"/>
      <c r="I197" s="7"/>
    </row>
    <row r="198" spans="1:9" x14ac:dyDescent="0.25">
      <c r="A198">
        <v>199105</v>
      </c>
      <c r="B198">
        <v>3.6499999999999998E-2</v>
      </c>
      <c r="C198">
        <v>-4.0000000000000001E-3</v>
      </c>
      <c r="D198">
        <v>-5.1999999999999998E-3</v>
      </c>
      <c r="E198">
        <v>-1.1000000000000001E-3</v>
      </c>
      <c r="H198" s="7"/>
      <c r="I198" s="7"/>
    </row>
    <row r="199" spans="1:9" x14ac:dyDescent="0.25">
      <c r="A199">
        <v>199106</v>
      </c>
      <c r="B199">
        <v>-4.9400000000000006E-2</v>
      </c>
      <c r="C199">
        <v>1.2999999999999999E-3</v>
      </c>
      <c r="D199">
        <v>1.15E-2</v>
      </c>
      <c r="E199">
        <v>4.6999999999999993E-3</v>
      </c>
      <c r="H199" s="7"/>
      <c r="I199" s="7"/>
    </row>
    <row r="200" spans="1:9" x14ac:dyDescent="0.25">
      <c r="A200">
        <v>199107</v>
      </c>
      <c r="B200">
        <v>4.24E-2</v>
      </c>
      <c r="C200">
        <v>-9.1999999999999998E-3</v>
      </c>
      <c r="D200">
        <v>-1.32E-2</v>
      </c>
      <c r="E200">
        <v>4.3200000000000002E-2</v>
      </c>
      <c r="H200" s="7"/>
      <c r="I200" s="7"/>
    </row>
    <row r="201" spans="1:9" x14ac:dyDescent="0.25">
      <c r="A201">
        <v>199108</v>
      </c>
      <c r="B201">
        <v>2.3199999999999998E-2</v>
      </c>
      <c r="C201">
        <v>1.5800000000000002E-2</v>
      </c>
      <c r="D201">
        <v>-7.8000000000000005E-3</v>
      </c>
      <c r="E201">
        <v>1.5700000000000002E-2</v>
      </c>
      <c r="H201" s="7"/>
      <c r="I201" s="7"/>
    </row>
    <row r="202" spans="1:9" x14ac:dyDescent="0.25">
      <c r="A202">
        <v>199109</v>
      </c>
      <c r="B202">
        <v>-1.5900000000000001E-2</v>
      </c>
      <c r="C202">
        <v>1.6399999999999998E-2</v>
      </c>
      <c r="D202">
        <v>-1.0800000000000001E-2</v>
      </c>
      <c r="E202">
        <v>1.7899999999999999E-2</v>
      </c>
      <c r="H202" s="7"/>
      <c r="I202" s="7"/>
    </row>
    <row r="203" spans="1:9" x14ac:dyDescent="0.25">
      <c r="A203">
        <v>199110</v>
      </c>
      <c r="B203">
        <v>1.29E-2</v>
      </c>
      <c r="C203">
        <v>8.1000000000000013E-3</v>
      </c>
      <c r="D203">
        <v>-4.6999999999999993E-3</v>
      </c>
      <c r="E203">
        <v>3.0600000000000002E-2</v>
      </c>
      <c r="H203" s="7"/>
      <c r="I203" s="7"/>
    </row>
    <row r="204" spans="1:9" x14ac:dyDescent="0.25">
      <c r="A204">
        <v>199111</v>
      </c>
      <c r="B204">
        <v>-4.1900000000000007E-2</v>
      </c>
      <c r="C204">
        <v>-5.0000000000000001E-3</v>
      </c>
      <c r="D204">
        <v>-1.89E-2</v>
      </c>
      <c r="E204">
        <v>1.1399999999999999E-2</v>
      </c>
      <c r="H204" s="7"/>
      <c r="I204" s="7"/>
    </row>
    <row r="205" spans="1:9" x14ac:dyDescent="0.25">
      <c r="A205">
        <v>199112</v>
      </c>
      <c r="B205">
        <v>0.1084</v>
      </c>
      <c r="C205">
        <v>-2.2400000000000003E-2</v>
      </c>
      <c r="D205">
        <v>-4.1700000000000001E-2</v>
      </c>
      <c r="E205">
        <v>8.1900000000000001E-2</v>
      </c>
      <c r="H205" s="7"/>
      <c r="I205" s="7"/>
    </row>
    <row r="206" spans="1:9" x14ac:dyDescent="0.25">
      <c r="A206">
        <v>199201</v>
      </c>
      <c r="B206">
        <v>-5.8999999999999999E-3</v>
      </c>
      <c r="C206">
        <v>8.4600000000000009E-2</v>
      </c>
      <c r="D206">
        <v>4.7100000000000003E-2</v>
      </c>
      <c r="E206">
        <v>-2.4900000000000002E-2</v>
      </c>
      <c r="H206" s="7"/>
      <c r="I206" s="7"/>
    </row>
    <row r="207" spans="1:9" x14ac:dyDescent="0.25">
      <c r="A207">
        <v>199202</v>
      </c>
      <c r="B207">
        <v>1.09E-2</v>
      </c>
      <c r="C207">
        <v>8.6999999999999994E-3</v>
      </c>
      <c r="D207">
        <v>6.4699999999999994E-2</v>
      </c>
      <c r="E207">
        <v>-5.3E-3</v>
      </c>
      <c r="H207" s="7"/>
      <c r="I207" s="7"/>
    </row>
    <row r="208" spans="1:9" x14ac:dyDescent="0.25">
      <c r="A208">
        <v>199203</v>
      </c>
      <c r="B208">
        <v>-2.6600000000000002E-2</v>
      </c>
      <c r="C208">
        <v>-1.04E-2</v>
      </c>
      <c r="D208">
        <v>3.56E-2</v>
      </c>
      <c r="E208">
        <v>-2.8999999999999998E-3</v>
      </c>
      <c r="H208" s="7"/>
      <c r="I208" s="7"/>
    </row>
    <row r="209" spans="1:9" x14ac:dyDescent="0.25">
      <c r="A209">
        <v>199204</v>
      </c>
      <c r="B209">
        <v>1.0700000000000001E-2</v>
      </c>
      <c r="C209">
        <v>-6.0599999999999994E-2</v>
      </c>
      <c r="D209">
        <v>4.3400000000000001E-2</v>
      </c>
      <c r="E209">
        <v>-2.58E-2</v>
      </c>
      <c r="H209" s="7"/>
      <c r="I209" s="7"/>
    </row>
    <row r="210" spans="1:9" x14ac:dyDescent="0.25">
      <c r="A210">
        <v>199205</v>
      </c>
      <c r="B210">
        <v>3.0000000000000001E-3</v>
      </c>
      <c r="C210">
        <v>4.0999999999999995E-3</v>
      </c>
      <c r="D210">
        <v>1.1899999999999999E-2</v>
      </c>
      <c r="E210">
        <v>2.0999999999999999E-3</v>
      </c>
      <c r="H210" s="7"/>
      <c r="I210" s="7"/>
    </row>
    <row r="211" spans="1:9" x14ac:dyDescent="0.25">
      <c r="A211">
        <v>199206</v>
      </c>
      <c r="B211">
        <v>-2.3399999999999997E-2</v>
      </c>
      <c r="C211">
        <v>-3.0699999999999998E-2</v>
      </c>
      <c r="D211">
        <v>3.2400000000000005E-2</v>
      </c>
      <c r="E211">
        <v>-5.7999999999999996E-3</v>
      </c>
      <c r="H211" s="7"/>
      <c r="I211" s="7"/>
    </row>
    <row r="212" spans="1:9" x14ac:dyDescent="0.25">
      <c r="A212">
        <v>199207</v>
      </c>
      <c r="B212">
        <v>3.7699999999999997E-2</v>
      </c>
      <c r="C212">
        <v>-4.6999999999999993E-3</v>
      </c>
      <c r="D212">
        <v>-5.6000000000000008E-3</v>
      </c>
      <c r="E212">
        <v>1.5600000000000001E-2</v>
      </c>
      <c r="H212" s="7"/>
      <c r="I212" s="7"/>
    </row>
    <row r="213" spans="1:9" x14ac:dyDescent="0.25">
      <c r="A213">
        <v>199208</v>
      </c>
      <c r="B213">
        <v>-2.3799999999999998E-2</v>
      </c>
      <c r="C213">
        <v>-1.2999999999999999E-3</v>
      </c>
      <c r="D213">
        <v>-1.1000000000000001E-2</v>
      </c>
      <c r="E213">
        <v>-5.1000000000000004E-3</v>
      </c>
      <c r="H213" s="7"/>
      <c r="I213" s="7"/>
    </row>
    <row r="214" spans="1:9" x14ac:dyDescent="0.25">
      <c r="A214">
        <v>199209</v>
      </c>
      <c r="B214">
        <v>1.1899999999999999E-2</v>
      </c>
      <c r="C214">
        <v>5.4000000000000003E-3</v>
      </c>
      <c r="D214">
        <v>-2.5999999999999999E-3</v>
      </c>
      <c r="E214">
        <v>1.49E-2</v>
      </c>
      <c r="H214" s="7"/>
      <c r="I214" s="7"/>
    </row>
    <row r="215" spans="1:9" x14ac:dyDescent="0.25">
      <c r="A215">
        <v>199210</v>
      </c>
      <c r="B215">
        <v>1.0200000000000001E-2</v>
      </c>
      <c r="C215">
        <v>2.0899999999999998E-2</v>
      </c>
      <c r="D215">
        <v>-1.9799999999999998E-2</v>
      </c>
      <c r="E215">
        <v>2.4799999999999999E-2</v>
      </c>
      <c r="H215" s="7"/>
      <c r="I215" s="7"/>
    </row>
    <row r="216" spans="1:9" x14ac:dyDescent="0.25">
      <c r="A216">
        <v>199211</v>
      </c>
      <c r="B216">
        <v>4.1299999999999996E-2</v>
      </c>
      <c r="C216">
        <v>3.7599999999999995E-2</v>
      </c>
      <c r="D216">
        <v>-1.3500000000000002E-2</v>
      </c>
      <c r="E216">
        <v>-1.5E-3</v>
      </c>
      <c r="H216" s="7"/>
      <c r="I216" s="7"/>
    </row>
    <row r="217" spans="1:9" x14ac:dyDescent="0.25">
      <c r="A217">
        <v>199212</v>
      </c>
      <c r="B217">
        <v>1.5300000000000001E-2</v>
      </c>
      <c r="C217">
        <v>1.6899999999999998E-2</v>
      </c>
      <c r="D217">
        <v>2.6200000000000001E-2</v>
      </c>
      <c r="E217">
        <v>4.3099999999999999E-2</v>
      </c>
      <c r="H217" s="7"/>
      <c r="I217" s="7"/>
    </row>
    <row r="218" spans="1:9" x14ac:dyDescent="0.25">
      <c r="A218">
        <v>199301</v>
      </c>
      <c r="B218">
        <v>9.300000000000001E-3</v>
      </c>
      <c r="C218">
        <v>1.89E-2</v>
      </c>
      <c r="D218">
        <v>5.9400000000000001E-2</v>
      </c>
      <c r="E218">
        <v>4.8300000000000003E-2</v>
      </c>
      <c r="H218" s="7"/>
      <c r="I218" s="7"/>
    </row>
    <row r="219" spans="1:9" x14ac:dyDescent="0.25">
      <c r="A219">
        <v>199302</v>
      </c>
      <c r="B219">
        <v>1.1999999999999999E-3</v>
      </c>
      <c r="C219">
        <v>-3.4799999999999998E-2</v>
      </c>
      <c r="D219">
        <v>6.4199999999999993E-2</v>
      </c>
      <c r="E219">
        <v>3.1400000000000004E-2</v>
      </c>
      <c r="H219" s="7"/>
      <c r="I219" s="7"/>
    </row>
    <row r="220" spans="1:9" x14ac:dyDescent="0.25">
      <c r="A220">
        <v>199303</v>
      </c>
      <c r="B220">
        <v>2.3E-2</v>
      </c>
      <c r="C220">
        <v>2.3999999999999998E-3</v>
      </c>
      <c r="D220">
        <v>1.18E-2</v>
      </c>
      <c r="E220">
        <v>3.73E-2</v>
      </c>
      <c r="H220" s="7"/>
      <c r="I220" s="7"/>
    </row>
    <row r="221" spans="1:9" x14ac:dyDescent="0.25">
      <c r="A221">
        <v>199304</v>
      </c>
      <c r="B221">
        <v>-3.0499999999999999E-2</v>
      </c>
      <c r="C221">
        <v>-6.7000000000000002E-3</v>
      </c>
      <c r="D221">
        <v>2.4900000000000002E-2</v>
      </c>
      <c r="E221">
        <v>3.8E-3</v>
      </c>
      <c r="H221" s="7"/>
      <c r="I221" s="7"/>
    </row>
    <row r="222" spans="1:9" x14ac:dyDescent="0.25">
      <c r="A222">
        <v>199305</v>
      </c>
      <c r="B222">
        <v>2.8900000000000002E-2</v>
      </c>
      <c r="C222">
        <v>2.0400000000000001E-2</v>
      </c>
      <c r="D222">
        <v>-3.4200000000000001E-2</v>
      </c>
      <c r="E222">
        <v>2.2000000000000001E-3</v>
      </c>
      <c r="H222" s="7"/>
      <c r="I222" s="7"/>
    </row>
    <row r="223" spans="1:9" x14ac:dyDescent="0.25">
      <c r="A223">
        <v>199306</v>
      </c>
      <c r="B223">
        <v>3.0999999999999999E-3</v>
      </c>
      <c r="C223">
        <v>-2.8999999999999998E-3</v>
      </c>
      <c r="D223">
        <v>2.75E-2</v>
      </c>
      <c r="E223">
        <v>4.5499999999999999E-2</v>
      </c>
      <c r="H223" s="7"/>
      <c r="I223" s="7"/>
    </row>
    <row r="224" spans="1:9" x14ac:dyDescent="0.25">
      <c r="A224">
        <v>199307</v>
      </c>
      <c r="B224">
        <v>-3.4000000000000002E-3</v>
      </c>
      <c r="C224">
        <v>9.5999999999999992E-3</v>
      </c>
      <c r="D224">
        <v>2.8500000000000001E-2</v>
      </c>
      <c r="E224">
        <v>3.1600000000000003E-2</v>
      </c>
      <c r="H224" s="7"/>
      <c r="I224" s="7"/>
    </row>
    <row r="225" spans="1:9" x14ac:dyDescent="0.25">
      <c r="A225">
        <v>199308</v>
      </c>
      <c r="B225">
        <v>3.7100000000000001E-2</v>
      </c>
      <c r="C225">
        <v>1.2999999999999999E-3</v>
      </c>
      <c r="D225">
        <v>1.2999999999999999E-3</v>
      </c>
      <c r="E225">
        <v>2.6499999999999999E-2</v>
      </c>
      <c r="H225" s="7"/>
      <c r="I225" s="7"/>
    </row>
    <row r="226" spans="1:9" x14ac:dyDescent="0.25">
      <c r="A226">
        <v>199309</v>
      </c>
      <c r="B226">
        <v>-1.1999999999999999E-3</v>
      </c>
      <c r="C226">
        <v>3.04E-2</v>
      </c>
      <c r="D226">
        <v>-3.0999999999999999E-3</v>
      </c>
      <c r="E226">
        <v>3.3700000000000001E-2</v>
      </c>
      <c r="H226" s="7"/>
      <c r="I226" s="7"/>
    </row>
    <row r="227" spans="1:9" x14ac:dyDescent="0.25">
      <c r="A227">
        <v>199310</v>
      </c>
      <c r="B227">
        <v>1.41E-2</v>
      </c>
      <c r="C227">
        <v>2.0299999999999999E-2</v>
      </c>
      <c r="D227">
        <v>-2.76E-2</v>
      </c>
      <c r="E227">
        <v>-2.7200000000000002E-2</v>
      </c>
      <c r="H227" s="7"/>
      <c r="I227" s="7"/>
    </row>
    <row r="228" spans="1:9" x14ac:dyDescent="0.25">
      <c r="A228">
        <v>199311</v>
      </c>
      <c r="B228">
        <v>-1.89E-2</v>
      </c>
      <c r="C228">
        <v>-1.2500000000000001E-2</v>
      </c>
      <c r="D228">
        <v>-7.4000000000000003E-3</v>
      </c>
      <c r="E228">
        <v>-4.7400000000000005E-2</v>
      </c>
      <c r="H228" s="7"/>
      <c r="I228" s="7"/>
    </row>
    <row r="229" spans="1:9" x14ac:dyDescent="0.25">
      <c r="A229">
        <v>199312</v>
      </c>
      <c r="B229">
        <v>1.6500000000000001E-2</v>
      </c>
      <c r="C229">
        <v>1.23E-2</v>
      </c>
      <c r="D229">
        <v>3.2000000000000002E-3</v>
      </c>
      <c r="E229">
        <v>2.3599999999999999E-2</v>
      </c>
      <c r="H229" s="7"/>
      <c r="I229" s="7"/>
    </row>
    <row r="230" spans="1:9" x14ac:dyDescent="0.25">
      <c r="A230">
        <v>199401</v>
      </c>
      <c r="B230">
        <v>2.87E-2</v>
      </c>
      <c r="C230">
        <v>3.4000000000000002E-3</v>
      </c>
      <c r="D230">
        <v>1.15E-2</v>
      </c>
      <c r="E230">
        <v>0</v>
      </c>
      <c r="H230" s="7"/>
      <c r="I230" s="7"/>
    </row>
    <row r="231" spans="1:9" x14ac:dyDescent="0.25">
      <c r="A231">
        <v>199402</v>
      </c>
      <c r="B231">
        <v>-2.5499999999999998E-2</v>
      </c>
      <c r="C231">
        <v>2.7999999999999997E-2</v>
      </c>
      <c r="D231">
        <v>-1.54E-2</v>
      </c>
      <c r="E231">
        <v>-3.0000000000000001E-3</v>
      </c>
      <c r="H231" s="7"/>
      <c r="I231" s="7"/>
    </row>
    <row r="232" spans="1:9" x14ac:dyDescent="0.25">
      <c r="A232">
        <v>199403</v>
      </c>
      <c r="B232">
        <v>-4.7800000000000002E-2</v>
      </c>
      <c r="C232">
        <v>-1.0800000000000001E-2</v>
      </c>
      <c r="D232">
        <v>1.6E-2</v>
      </c>
      <c r="E232">
        <v>-1.2699999999999999E-2</v>
      </c>
      <c r="H232" s="7"/>
      <c r="I232" s="7"/>
    </row>
    <row r="233" spans="1:9" x14ac:dyDescent="0.25">
      <c r="A233">
        <v>199404</v>
      </c>
      <c r="B233">
        <v>6.8000000000000005E-3</v>
      </c>
      <c r="C233">
        <v>-9.300000000000001E-3</v>
      </c>
      <c r="D233">
        <v>1.66E-2</v>
      </c>
      <c r="E233">
        <v>3.9000000000000003E-3</v>
      </c>
      <c r="H233" s="7"/>
      <c r="I233" s="7"/>
    </row>
    <row r="234" spans="1:9" x14ac:dyDescent="0.25">
      <c r="A234">
        <v>199405</v>
      </c>
      <c r="B234">
        <v>5.7999999999999996E-3</v>
      </c>
      <c r="C234">
        <v>-2.1499999999999998E-2</v>
      </c>
      <c r="D234">
        <v>6.7000000000000002E-3</v>
      </c>
      <c r="E234">
        <v>-2.1899999999999999E-2</v>
      </c>
      <c r="H234" s="7"/>
      <c r="I234" s="7"/>
    </row>
    <row r="235" spans="1:9" x14ac:dyDescent="0.25">
      <c r="A235">
        <v>199406</v>
      </c>
      <c r="B235">
        <v>-3.0299999999999997E-2</v>
      </c>
      <c r="C235">
        <v>-4.0999999999999995E-3</v>
      </c>
      <c r="D235">
        <v>1.67E-2</v>
      </c>
      <c r="E235">
        <v>-8.6999999999999994E-3</v>
      </c>
      <c r="H235" s="7"/>
      <c r="I235" s="7"/>
    </row>
    <row r="236" spans="1:9" x14ac:dyDescent="0.25">
      <c r="A236">
        <v>199407</v>
      </c>
      <c r="B236">
        <v>2.8199999999999999E-2</v>
      </c>
      <c r="C236">
        <v>-1.8100000000000002E-2</v>
      </c>
      <c r="D236">
        <v>5.7999999999999996E-3</v>
      </c>
      <c r="E236">
        <v>1.8E-3</v>
      </c>
      <c r="H236" s="7"/>
      <c r="I236" s="7"/>
    </row>
    <row r="237" spans="1:9" x14ac:dyDescent="0.25">
      <c r="A237">
        <v>199408</v>
      </c>
      <c r="B237">
        <v>4.0099999999999997E-2</v>
      </c>
      <c r="C237">
        <v>1.4499999999999999E-2</v>
      </c>
      <c r="D237">
        <v>-2.5099999999999997E-2</v>
      </c>
      <c r="E237">
        <v>1.55E-2</v>
      </c>
      <c r="H237" s="7"/>
      <c r="I237" s="7"/>
    </row>
    <row r="238" spans="1:9" x14ac:dyDescent="0.25">
      <c r="A238">
        <v>199409</v>
      </c>
      <c r="B238">
        <v>-2.3099999999999999E-2</v>
      </c>
      <c r="C238">
        <v>3.1400000000000004E-2</v>
      </c>
      <c r="D238">
        <v>-1.89E-2</v>
      </c>
      <c r="E238">
        <v>1.3100000000000001E-2</v>
      </c>
      <c r="H238" s="7"/>
      <c r="I238" s="7"/>
    </row>
    <row r="239" spans="1:9" x14ac:dyDescent="0.25">
      <c r="A239">
        <v>199410</v>
      </c>
      <c r="B239">
        <v>1.34E-2</v>
      </c>
      <c r="C239">
        <v>-2.2400000000000003E-2</v>
      </c>
      <c r="D239">
        <v>-1.6200000000000003E-2</v>
      </c>
      <c r="E239">
        <v>1.49E-2</v>
      </c>
      <c r="H239" s="7"/>
      <c r="I239" s="7"/>
    </row>
    <row r="240" spans="1:9" x14ac:dyDescent="0.25">
      <c r="A240">
        <v>199411</v>
      </c>
      <c r="B240">
        <v>-4.0399999999999998E-2</v>
      </c>
      <c r="C240">
        <v>2.5000000000000001E-3</v>
      </c>
      <c r="D240">
        <v>-6.9999999999999993E-3</v>
      </c>
      <c r="E240">
        <v>-1.8E-3</v>
      </c>
      <c r="H240" s="7"/>
      <c r="I240" s="7"/>
    </row>
    <row r="241" spans="1:9" x14ac:dyDescent="0.25">
      <c r="A241">
        <v>199412</v>
      </c>
      <c r="B241">
        <v>8.6E-3</v>
      </c>
      <c r="C241">
        <v>2.2000000000000001E-3</v>
      </c>
      <c r="D241">
        <v>-1.2999999999999999E-3</v>
      </c>
      <c r="E241">
        <v>3.4799999999999998E-2</v>
      </c>
      <c r="H241" s="7"/>
      <c r="I241" s="7"/>
    </row>
    <row r="242" spans="1:9" x14ac:dyDescent="0.25">
      <c r="A242">
        <v>199501</v>
      </c>
      <c r="B242">
        <v>1.8000000000000002E-2</v>
      </c>
      <c r="C242">
        <v>-3.5000000000000003E-2</v>
      </c>
      <c r="D242">
        <v>2.5699999999999997E-2</v>
      </c>
      <c r="E242">
        <v>-1.8100000000000002E-2</v>
      </c>
      <c r="H242" s="7"/>
      <c r="I242" s="7"/>
    </row>
    <row r="243" spans="1:9" x14ac:dyDescent="0.25">
      <c r="A243">
        <v>199502</v>
      </c>
      <c r="B243">
        <v>3.6299999999999999E-2</v>
      </c>
      <c r="C243">
        <v>-6.6E-3</v>
      </c>
      <c r="D243">
        <v>1.0800000000000001E-2</v>
      </c>
      <c r="E243">
        <v>-3.9000000000000003E-3</v>
      </c>
      <c r="H243" s="7"/>
      <c r="I243" s="7"/>
    </row>
    <row r="244" spans="1:9" x14ac:dyDescent="0.25">
      <c r="A244">
        <v>199503</v>
      </c>
      <c r="B244">
        <v>2.1899999999999999E-2</v>
      </c>
      <c r="C244">
        <v>-1.6000000000000001E-3</v>
      </c>
      <c r="D244">
        <v>-2.1499999999999998E-2</v>
      </c>
      <c r="E244">
        <v>4.3E-3</v>
      </c>
      <c r="H244" s="7"/>
      <c r="I244" s="7"/>
    </row>
    <row r="245" spans="1:9" x14ac:dyDescent="0.25">
      <c r="A245">
        <v>199504</v>
      </c>
      <c r="B245">
        <v>2.1099999999999997E-2</v>
      </c>
      <c r="C245">
        <v>-4.8999999999999998E-3</v>
      </c>
      <c r="D245">
        <v>1.7100000000000001E-2</v>
      </c>
      <c r="E245">
        <v>1.7899999999999999E-2</v>
      </c>
      <c r="H245" s="7"/>
      <c r="I245" s="7"/>
    </row>
    <row r="246" spans="1:9" x14ac:dyDescent="0.25">
      <c r="A246">
        <v>199505</v>
      </c>
      <c r="B246">
        <v>2.8999999999999998E-2</v>
      </c>
      <c r="C246">
        <v>-2.5499999999999998E-2</v>
      </c>
      <c r="D246">
        <v>2.29E-2</v>
      </c>
      <c r="E246">
        <v>-4.1999999999999997E-3</v>
      </c>
      <c r="H246" s="7"/>
      <c r="I246" s="7"/>
    </row>
    <row r="247" spans="1:9" x14ac:dyDescent="0.25">
      <c r="A247">
        <v>199506</v>
      </c>
      <c r="B247">
        <v>2.7200000000000002E-2</v>
      </c>
      <c r="C247">
        <v>3.1800000000000002E-2</v>
      </c>
      <c r="D247">
        <v>-2.5399999999999999E-2</v>
      </c>
      <c r="E247">
        <v>2.9300000000000003E-2</v>
      </c>
      <c r="H247" s="7"/>
      <c r="I247" s="7"/>
    </row>
    <row r="248" spans="1:9" x14ac:dyDescent="0.25">
      <c r="A248">
        <v>199507</v>
      </c>
      <c r="B248">
        <v>3.7200000000000004E-2</v>
      </c>
      <c r="C248">
        <v>2.07E-2</v>
      </c>
      <c r="D248">
        <v>-1.6200000000000003E-2</v>
      </c>
      <c r="E248">
        <v>2.5600000000000001E-2</v>
      </c>
      <c r="H248" s="7"/>
      <c r="I248" s="7"/>
    </row>
    <row r="249" spans="1:9" x14ac:dyDescent="0.25">
      <c r="A249">
        <v>199508</v>
      </c>
      <c r="B249">
        <v>5.5000000000000005E-3</v>
      </c>
      <c r="C249">
        <v>1.3500000000000002E-2</v>
      </c>
      <c r="D249">
        <v>2.7900000000000001E-2</v>
      </c>
      <c r="E249">
        <v>1.6000000000000001E-3</v>
      </c>
      <c r="H249" s="7"/>
      <c r="I249" s="7"/>
    </row>
    <row r="250" spans="1:9" x14ac:dyDescent="0.25">
      <c r="A250">
        <v>199509</v>
      </c>
      <c r="B250">
        <v>3.3500000000000002E-2</v>
      </c>
      <c r="C250">
        <v>-2.2000000000000002E-2</v>
      </c>
      <c r="D250">
        <v>-4.0000000000000002E-4</v>
      </c>
      <c r="E250">
        <v>2.8999999999999998E-2</v>
      </c>
      <c r="H250" s="7"/>
      <c r="I250" s="7"/>
    </row>
    <row r="251" spans="1:9" x14ac:dyDescent="0.25">
      <c r="A251">
        <v>199510</v>
      </c>
      <c r="B251">
        <v>-1.52E-2</v>
      </c>
      <c r="C251">
        <v>-3.78E-2</v>
      </c>
      <c r="D251">
        <v>-5.0000000000000001E-3</v>
      </c>
      <c r="E251">
        <v>4.1599999999999998E-2</v>
      </c>
      <c r="H251" s="7"/>
      <c r="I251" s="7"/>
    </row>
    <row r="252" spans="1:9" x14ac:dyDescent="0.25">
      <c r="A252">
        <v>199511</v>
      </c>
      <c r="B252">
        <v>3.9599999999999996E-2</v>
      </c>
      <c r="C252">
        <v>-1.09E-2</v>
      </c>
      <c r="D252">
        <v>5.1000000000000004E-3</v>
      </c>
      <c r="E252">
        <v>-6.8000000000000005E-3</v>
      </c>
      <c r="H252" s="7"/>
      <c r="I252" s="7"/>
    </row>
    <row r="253" spans="1:9" x14ac:dyDescent="0.25">
      <c r="A253">
        <v>199512</v>
      </c>
      <c r="B253">
        <v>1.03E-2</v>
      </c>
      <c r="C253">
        <v>6.9999999999999993E-3</v>
      </c>
      <c r="D253">
        <v>2.2000000000000001E-3</v>
      </c>
      <c r="E253">
        <v>2.52E-2</v>
      </c>
      <c r="H253" s="7"/>
      <c r="I253" s="7"/>
    </row>
    <row r="254" spans="1:9" x14ac:dyDescent="0.25">
      <c r="A254">
        <v>199601</v>
      </c>
      <c r="B254">
        <v>2.2599999999999999E-2</v>
      </c>
      <c r="C254">
        <v>-2.7300000000000001E-2</v>
      </c>
      <c r="D254">
        <v>3.8E-3</v>
      </c>
      <c r="E254">
        <v>5.4000000000000003E-3</v>
      </c>
      <c r="H254" s="7"/>
      <c r="I254" s="7"/>
    </row>
    <row r="255" spans="1:9" x14ac:dyDescent="0.25">
      <c r="A255">
        <v>199602</v>
      </c>
      <c r="B255">
        <v>1.3300000000000001E-2</v>
      </c>
      <c r="C255">
        <v>1.7899999999999999E-2</v>
      </c>
      <c r="D255">
        <v>-1.0800000000000001E-2</v>
      </c>
      <c r="E255">
        <v>5.8999999999999999E-3</v>
      </c>
      <c r="H255" s="7"/>
      <c r="I255" s="7"/>
    </row>
    <row r="256" spans="1:9" x14ac:dyDescent="0.25">
      <c r="A256">
        <v>199603</v>
      </c>
      <c r="B256">
        <v>7.3000000000000001E-3</v>
      </c>
      <c r="C256">
        <v>1.49E-2</v>
      </c>
      <c r="D256">
        <v>3.4999999999999996E-3</v>
      </c>
      <c r="E256">
        <v>-1.84E-2</v>
      </c>
      <c r="H256" s="7"/>
      <c r="I256" s="7"/>
    </row>
    <row r="257" spans="1:9" x14ac:dyDescent="0.25">
      <c r="A257">
        <v>199604</v>
      </c>
      <c r="B257">
        <v>2.06E-2</v>
      </c>
      <c r="C257">
        <v>5.2300000000000006E-2</v>
      </c>
      <c r="D257">
        <v>-4.0199999999999993E-2</v>
      </c>
      <c r="E257">
        <v>-8.8000000000000005E-3</v>
      </c>
      <c r="H257" s="7"/>
      <c r="I257" s="7"/>
    </row>
    <row r="258" spans="1:9" x14ac:dyDescent="0.25">
      <c r="A258">
        <v>199605</v>
      </c>
      <c r="B258">
        <v>2.3599999999999999E-2</v>
      </c>
      <c r="C258">
        <v>3.1699999999999999E-2</v>
      </c>
      <c r="D258">
        <v>-8.3000000000000001E-3</v>
      </c>
      <c r="E258">
        <v>1.54E-2</v>
      </c>
      <c r="H258" s="7"/>
      <c r="I258" s="7"/>
    </row>
    <row r="259" spans="1:9" x14ac:dyDescent="0.25">
      <c r="A259">
        <v>199606</v>
      </c>
      <c r="B259">
        <v>-1.1399999999999999E-2</v>
      </c>
      <c r="C259">
        <v>-4.0099999999999997E-2</v>
      </c>
      <c r="D259">
        <v>2.35E-2</v>
      </c>
      <c r="E259">
        <v>9.7999999999999997E-3</v>
      </c>
      <c r="H259" s="7"/>
      <c r="I259" s="7"/>
    </row>
    <row r="260" spans="1:9" x14ac:dyDescent="0.25">
      <c r="A260">
        <v>199607</v>
      </c>
      <c r="B260">
        <v>-5.9699999999999996E-2</v>
      </c>
      <c r="C260">
        <v>-4.3099999999999999E-2</v>
      </c>
      <c r="D260">
        <v>5.1399999999999994E-2</v>
      </c>
      <c r="E260">
        <v>-1.6000000000000001E-3</v>
      </c>
      <c r="H260" s="7"/>
      <c r="I260" s="7"/>
    </row>
    <row r="261" spans="1:9" x14ac:dyDescent="0.25">
      <c r="A261">
        <v>199608</v>
      </c>
      <c r="B261">
        <v>2.7699999999999999E-2</v>
      </c>
      <c r="C261">
        <v>2.4399999999999998E-2</v>
      </c>
      <c r="D261">
        <v>-7.4000000000000003E-3</v>
      </c>
      <c r="E261">
        <v>1E-4</v>
      </c>
      <c r="H261" s="7"/>
      <c r="I261" s="7"/>
    </row>
    <row r="262" spans="1:9" x14ac:dyDescent="0.25">
      <c r="A262">
        <v>199609</v>
      </c>
      <c r="B262">
        <v>5.0099999999999999E-2</v>
      </c>
      <c r="C262">
        <v>-9.7999999999999997E-3</v>
      </c>
      <c r="D262">
        <v>-2.7200000000000002E-2</v>
      </c>
      <c r="E262">
        <v>2.7000000000000003E-2</v>
      </c>
      <c r="H262" s="7"/>
      <c r="I262" s="7"/>
    </row>
    <row r="263" spans="1:9" x14ac:dyDescent="0.25">
      <c r="A263">
        <v>199610</v>
      </c>
      <c r="B263">
        <v>8.6E-3</v>
      </c>
      <c r="C263">
        <v>-4.4400000000000002E-2</v>
      </c>
      <c r="D263">
        <v>4.9400000000000006E-2</v>
      </c>
      <c r="E263">
        <v>3.7900000000000003E-2</v>
      </c>
      <c r="H263" s="7"/>
      <c r="I263" s="7"/>
    </row>
    <row r="264" spans="1:9" x14ac:dyDescent="0.25">
      <c r="A264">
        <v>199611</v>
      </c>
      <c r="B264">
        <v>6.25E-2</v>
      </c>
      <c r="C264">
        <v>-4.0199999999999993E-2</v>
      </c>
      <c r="D264">
        <v>1.3899999999999999E-2</v>
      </c>
      <c r="E264">
        <v>-2.3700000000000002E-2</v>
      </c>
      <c r="H264" s="7"/>
      <c r="I264" s="7"/>
    </row>
    <row r="265" spans="1:9" x14ac:dyDescent="0.25">
      <c r="A265">
        <v>199612</v>
      </c>
      <c r="B265">
        <v>-1.7000000000000001E-2</v>
      </c>
      <c r="C265">
        <v>3.1600000000000003E-2</v>
      </c>
      <c r="D265">
        <v>1.3100000000000001E-2</v>
      </c>
      <c r="E265">
        <v>6.3E-3</v>
      </c>
      <c r="H265" s="7"/>
      <c r="I265" s="7"/>
    </row>
    <row r="266" spans="1:9" x14ac:dyDescent="0.25">
      <c r="A266">
        <v>199701</v>
      </c>
      <c r="B266">
        <v>4.99E-2</v>
      </c>
      <c r="C266">
        <v>-1.95E-2</v>
      </c>
      <c r="D266">
        <v>-1.4199999999999999E-2</v>
      </c>
      <c r="E266">
        <v>1.9599999999999999E-2</v>
      </c>
      <c r="H266" s="7"/>
      <c r="I266" s="7"/>
    </row>
    <row r="267" spans="1:9" x14ac:dyDescent="0.25">
      <c r="A267">
        <v>199702</v>
      </c>
      <c r="B267">
        <v>-4.8999999999999998E-3</v>
      </c>
      <c r="C267">
        <v>-3.2199999999999999E-2</v>
      </c>
      <c r="D267">
        <v>5.67E-2</v>
      </c>
      <c r="E267">
        <v>-2.1299999999999999E-2</v>
      </c>
      <c r="H267" s="7"/>
      <c r="I267" s="7"/>
    </row>
    <row r="268" spans="1:9" x14ac:dyDescent="0.25">
      <c r="A268">
        <v>199703</v>
      </c>
      <c r="B268">
        <v>-5.0300000000000004E-2</v>
      </c>
      <c r="C268">
        <v>-3.5999999999999999E-3</v>
      </c>
      <c r="D268">
        <v>3.39E-2</v>
      </c>
      <c r="E268">
        <v>9.0000000000000011E-3</v>
      </c>
      <c r="H268" s="7"/>
      <c r="I268" s="7"/>
    </row>
    <row r="269" spans="1:9" x14ac:dyDescent="0.25">
      <c r="A269">
        <v>199704</v>
      </c>
      <c r="B269">
        <v>4.0399999999999998E-2</v>
      </c>
      <c r="C269">
        <v>-5.7699999999999994E-2</v>
      </c>
      <c r="D269">
        <v>7.000000000000001E-4</v>
      </c>
      <c r="E269">
        <v>4.8399999999999999E-2</v>
      </c>
      <c r="H269" s="7"/>
      <c r="I269" s="7"/>
    </row>
    <row r="270" spans="1:9" x14ac:dyDescent="0.25">
      <c r="A270">
        <v>199705</v>
      </c>
      <c r="B270">
        <v>6.7400000000000002E-2</v>
      </c>
      <c r="C270">
        <v>5.1900000000000002E-2</v>
      </c>
      <c r="D270">
        <v>-4.1299999999999996E-2</v>
      </c>
      <c r="E270">
        <v>-5.1699999999999996E-2</v>
      </c>
      <c r="H270" s="7"/>
      <c r="I270" s="7"/>
    </row>
    <row r="271" spans="1:9" x14ac:dyDescent="0.25">
      <c r="A271">
        <v>199706</v>
      </c>
      <c r="B271">
        <v>4.0999999999999995E-2</v>
      </c>
      <c r="C271">
        <v>1.2199999999999999E-2</v>
      </c>
      <c r="D271">
        <v>1.5800000000000002E-2</v>
      </c>
      <c r="E271">
        <v>2.6000000000000002E-2</v>
      </c>
      <c r="H271" s="7"/>
      <c r="I271" s="7"/>
    </row>
    <row r="272" spans="1:9" x14ac:dyDescent="0.25">
      <c r="A272">
        <v>199707</v>
      </c>
      <c r="B272">
        <v>7.3300000000000004E-2</v>
      </c>
      <c r="C272">
        <v>-2.7400000000000001E-2</v>
      </c>
      <c r="D272">
        <v>2.5999999999999999E-3</v>
      </c>
      <c r="E272">
        <v>3.7699999999999997E-2</v>
      </c>
      <c r="H272" s="7"/>
      <c r="I272" s="7"/>
    </row>
    <row r="273" spans="1:9" x14ac:dyDescent="0.25">
      <c r="A273">
        <v>199708</v>
      </c>
      <c r="B273">
        <v>-4.1500000000000002E-2</v>
      </c>
      <c r="C273">
        <v>7.2800000000000004E-2</v>
      </c>
      <c r="D273">
        <v>1.18E-2</v>
      </c>
      <c r="E273">
        <v>-2.5600000000000001E-2</v>
      </c>
      <c r="H273" s="7"/>
      <c r="I273" s="7"/>
    </row>
    <row r="274" spans="1:9" x14ac:dyDescent="0.25">
      <c r="A274">
        <v>199709</v>
      </c>
      <c r="B274">
        <v>5.3499999999999999E-2</v>
      </c>
      <c r="C274">
        <v>2.53E-2</v>
      </c>
      <c r="D274">
        <v>3.7000000000000002E-3</v>
      </c>
      <c r="E274">
        <v>1.47E-2</v>
      </c>
      <c r="H274" s="7"/>
      <c r="I274" s="7"/>
    </row>
    <row r="275" spans="1:9" x14ac:dyDescent="0.25">
      <c r="A275">
        <v>199710</v>
      </c>
      <c r="B275">
        <v>-3.7999999999999999E-2</v>
      </c>
      <c r="C275">
        <v>-7.3000000000000001E-3</v>
      </c>
      <c r="D275">
        <v>2.2700000000000001E-2</v>
      </c>
      <c r="E275">
        <v>-5.6999999999999993E-3</v>
      </c>
      <c r="H275" s="7"/>
      <c r="I275" s="7"/>
    </row>
    <row r="276" spans="1:9" x14ac:dyDescent="0.25">
      <c r="A276">
        <v>199711</v>
      </c>
      <c r="B276">
        <v>2.98E-2</v>
      </c>
      <c r="C276">
        <v>-5.1200000000000002E-2</v>
      </c>
      <c r="D276">
        <v>1.2E-2</v>
      </c>
      <c r="E276">
        <v>3.3E-3</v>
      </c>
      <c r="H276" s="7"/>
      <c r="I276" s="7"/>
    </row>
    <row r="277" spans="1:9" x14ac:dyDescent="0.25">
      <c r="A277">
        <v>199712</v>
      </c>
      <c r="B277">
        <v>1.32E-2</v>
      </c>
      <c r="C277">
        <v>-2.4799999999999999E-2</v>
      </c>
      <c r="D277">
        <v>3.8399999999999997E-2</v>
      </c>
      <c r="E277">
        <v>3.9800000000000002E-2</v>
      </c>
      <c r="H277" s="7"/>
      <c r="I277" s="7"/>
    </row>
    <row r="278" spans="1:9" x14ac:dyDescent="0.25">
      <c r="A278">
        <v>199801</v>
      </c>
      <c r="B278">
        <v>1.5E-3</v>
      </c>
      <c r="C278">
        <v>-1.0700000000000001E-2</v>
      </c>
      <c r="D278">
        <v>-1.6299999999999999E-2</v>
      </c>
      <c r="E278">
        <v>1.4000000000000002E-3</v>
      </c>
      <c r="H278" s="7"/>
      <c r="I278" s="7"/>
    </row>
    <row r="279" spans="1:9" x14ac:dyDescent="0.25">
      <c r="A279">
        <v>199802</v>
      </c>
      <c r="B279">
        <v>7.0400000000000004E-2</v>
      </c>
      <c r="C279">
        <v>3.2000000000000002E-3</v>
      </c>
      <c r="D279">
        <v>-8.5000000000000006E-3</v>
      </c>
      <c r="E279">
        <v>-1.1200000000000002E-2</v>
      </c>
      <c r="H279" s="7"/>
      <c r="I279" s="7"/>
    </row>
    <row r="280" spans="1:9" x14ac:dyDescent="0.25">
      <c r="A280">
        <v>199803</v>
      </c>
      <c r="B280">
        <v>4.7599999999999996E-2</v>
      </c>
      <c r="C280">
        <v>-1.1399999999999999E-2</v>
      </c>
      <c r="D280">
        <v>1.3899999999999999E-2</v>
      </c>
      <c r="E280">
        <v>2.1499999999999998E-2</v>
      </c>
      <c r="H280" s="7"/>
      <c r="I280" s="7"/>
    </row>
    <row r="281" spans="1:9" x14ac:dyDescent="0.25">
      <c r="A281">
        <v>199804</v>
      </c>
      <c r="B281">
        <v>7.3000000000000001E-3</v>
      </c>
      <c r="C281">
        <v>7.000000000000001E-4</v>
      </c>
      <c r="D281">
        <v>9.3999999999999986E-3</v>
      </c>
      <c r="E281">
        <v>7.4000000000000003E-3</v>
      </c>
      <c r="H281" s="7"/>
      <c r="I281" s="7"/>
    </row>
    <row r="282" spans="1:9" x14ac:dyDescent="0.25">
      <c r="A282">
        <v>199805</v>
      </c>
      <c r="B282">
        <v>-3.0699999999999998E-2</v>
      </c>
      <c r="C282">
        <v>-3.3799999999999997E-2</v>
      </c>
      <c r="D282">
        <v>3.44E-2</v>
      </c>
      <c r="E282">
        <v>1.8200000000000001E-2</v>
      </c>
      <c r="H282" s="7"/>
      <c r="I282" s="7"/>
    </row>
    <row r="283" spans="1:9" x14ac:dyDescent="0.25">
      <c r="A283">
        <v>199806</v>
      </c>
      <c r="B283">
        <v>3.1800000000000002E-2</v>
      </c>
      <c r="C283">
        <v>-3.2099999999999997E-2</v>
      </c>
      <c r="D283">
        <v>-1.9599999999999999E-2</v>
      </c>
      <c r="E283">
        <v>7.2800000000000004E-2</v>
      </c>
      <c r="H283" s="7"/>
      <c r="I283" s="7"/>
    </row>
    <row r="284" spans="1:9" x14ac:dyDescent="0.25">
      <c r="A284">
        <v>199807</v>
      </c>
      <c r="B284">
        <v>-2.46E-2</v>
      </c>
      <c r="C284">
        <v>-4.9100000000000005E-2</v>
      </c>
      <c r="D284">
        <v>-1.78E-2</v>
      </c>
      <c r="E284">
        <v>3.6900000000000002E-2</v>
      </c>
      <c r="H284" s="7"/>
      <c r="I284" s="7"/>
    </row>
    <row r="285" spans="1:9" x14ac:dyDescent="0.25">
      <c r="A285">
        <v>199808</v>
      </c>
      <c r="B285">
        <v>-0.16079999999999997</v>
      </c>
      <c r="C285">
        <v>-5.6900000000000006E-2</v>
      </c>
      <c r="D285">
        <v>3.5299999999999998E-2</v>
      </c>
      <c r="E285">
        <v>1.84E-2</v>
      </c>
      <c r="H285" s="7"/>
      <c r="I285" s="7"/>
    </row>
    <row r="286" spans="1:9" x14ac:dyDescent="0.25">
      <c r="A286">
        <v>199809</v>
      </c>
      <c r="B286">
        <v>6.1500000000000006E-2</v>
      </c>
      <c r="C286">
        <v>8.9999999999999998E-4</v>
      </c>
      <c r="D286">
        <v>-3.4200000000000001E-2</v>
      </c>
      <c r="E286">
        <v>-8.1000000000000013E-3</v>
      </c>
      <c r="H286" s="7"/>
      <c r="I286" s="7"/>
    </row>
    <row r="287" spans="1:9" x14ac:dyDescent="0.25">
      <c r="A287">
        <v>199810</v>
      </c>
      <c r="B287">
        <v>7.1300000000000002E-2</v>
      </c>
      <c r="C287">
        <v>-3.1200000000000002E-2</v>
      </c>
      <c r="D287">
        <v>-2.23E-2</v>
      </c>
      <c r="E287">
        <v>-5.3699999999999998E-2</v>
      </c>
      <c r="H287" s="7"/>
      <c r="I287" s="7"/>
    </row>
    <row r="288" spans="1:9" x14ac:dyDescent="0.25">
      <c r="A288">
        <v>199811</v>
      </c>
      <c r="B288">
        <v>6.0999999999999999E-2</v>
      </c>
      <c r="C288">
        <v>1.23E-2</v>
      </c>
      <c r="D288">
        <v>-3.2500000000000001E-2</v>
      </c>
      <c r="E288">
        <v>1.2E-2</v>
      </c>
      <c r="H288" s="7"/>
      <c r="I288" s="7"/>
    </row>
    <row r="289" spans="1:9" x14ac:dyDescent="0.25">
      <c r="A289">
        <v>199812</v>
      </c>
      <c r="B289">
        <v>6.1600000000000002E-2</v>
      </c>
      <c r="C289">
        <v>-5.0000000000000001E-3</v>
      </c>
      <c r="D289">
        <v>-4.1900000000000007E-2</v>
      </c>
      <c r="E289">
        <v>8.9200000000000002E-2</v>
      </c>
      <c r="H289" s="7"/>
      <c r="I289" s="7"/>
    </row>
    <row r="290" spans="1:9" x14ac:dyDescent="0.25">
      <c r="A290">
        <v>199901</v>
      </c>
      <c r="B290">
        <v>3.5000000000000003E-2</v>
      </c>
      <c r="C290">
        <v>7.4999999999999997E-3</v>
      </c>
      <c r="D290">
        <v>-4.5999999999999999E-2</v>
      </c>
      <c r="E290">
        <v>3.0299999999999997E-2</v>
      </c>
      <c r="H290" s="7"/>
      <c r="I290" s="7"/>
    </row>
    <row r="291" spans="1:9" x14ac:dyDescent="0.25">
      <c r="A291">
        <v>199902</v>
      </c>
      <c r="B291">
        <v>-4.0800000000000003E-2</v>
      </c>
      <c r="C291">
        <v>-6.08E-2</v>
      </c>
      <c r="D291">
        <v>1.9199999999999998E-2</v>
      </c>
      <c r="E291">
        <v>-1E-3</v>
      </c>
      <c r="H291" s="7"/>
      <c r="I291" s="7"/>
    </row>
    <row r="292" spans="1:9" x14ac:dyDescent="0.25">
      <c r="A292">
        <v>199903</v>
      </c>
      <c r="B292">
        <v>3.4500000000000003E-2</v>
      </c>
      <c r="C292">
        <v>-3.7999999999999999E-2</v>
      </c>
      <c r="D292">
        <v>-2.7400000000000001E-2</v>
      </c>
      <c r="E292">
        <v>-1.2699999999999999E-2</v>
      </c>
      <c r="H292" s="7"/>
      <c r="I292" s="7"/>
    </row>
    <row r="293" spans="1:9" x14ac:dyDescent="0.25">
      <c r="A293">
        <v>199904</v>
      </c>
      <c r="B293">
        <v>4.3299999999999998E-2</v>
      </c>
      <c r="C293">
        <v>3.9100000000000003E-2</v>
      </c>
      <c r="D293">
        <v>2.46E-2</v>
      </c>
      <c r="E293">
        <v>-9.0399999999999994E-2</v>
      </c>
      <c r="H293" s="7"/>
      <c r="I293" s="7"/>
    </row>
    <row r="294" spans="1:9" x14ac:dyDescent="0.25">
      <c r="A294">
        <v>199905</v>
      </c>
      <c r="B294">
        <v>-2.46E-2</v>
      </c>
      <c r="C294">
        <v>3.3399999999999999E-2</v>
      </c>
      <c r="D294">
        <v>2.35E-2</v>
      </c>
      <c r="E294">
        <v>-5.1900000000000002E-2</v>
      </c>
      <c r="H294" s="7"/>
      <c r="I294" s="7"/>
    </row>
    <row r="295" spans="1:9" x14ac:dyDescent="0.25">
      <c r="A295">
        <v>199906</v>
      </c>
      <c r="B295">
        <v>4.7699999999999992E-2</v>
      </c>
      <c r="C295">
        <v>3.1E-2</v>
      </c>
      <c r="D295">
        <v>-3.1899999999999998E-2</v>
      </c>
      <c r="E295">
        <v>5.0599999999999999E-2</v>
      </c>
      <c r="H295" s="7"/>
      <c r="I295" s="7"/>
    </row>
    <row r="296" spans="1:9" x14ac:dyDescent="0.25">
      <c r="A296">
        <v>199907</v>
      </c>
      <c r="B296">
        <v>-3.49E-2</v>
      </c>
      <c r="C296">
        <v>2.6000000000000002E-2</v>
      </c>
      <c r="D296">
        <v>-4.4000000000000003E-3</v>
      </c>
      <c r="E296">
        <v>1.66E-2</v>
      </c>
      <c r="H296" s="7"/>
      <c r="I296" s="7"/>
    </row>
    <row r="297" spans="1:9" x14ac:dyDescent="0.25">
      <c r="A297">
        <v>199908</v>
      </c>
      <c r="B297">
        <v>-1.38E-2</v>
      </c>
      <c r="C297">
        <v>-9.3999999999999986E-3</v>
      </c>
      <c r="D297">
        <v>-1.8700000000000001E-2</v>
      </c>
      <c r="E297">
        <v>3.1200000000000002E-2</v>
      </c>
      <c r="H297" s="7"/>
      <c r="I297" s="7"/>
    </row>
    <row r="298" spans="1:9" x14ac:dyDescent="0.25">
      <c r="A298">
        <v>199909</v>
      </c>
      <c r="B298">
        <v>-2.7900000000000001E-2</v>
      </c>
      <c r="C298">
        <v>3.4099999999999998E-2</v>
      </c>
      <c r="D298">
        <v>-3.49E-2</v>
      </c>
      <c r="E298">
        <v>6.4699999999999994E-2</v>
      </c>
      <c r="H298" s="7"/>
      <c r="I298" s="7"/>
    </row>
    <row r="299" spans="1:9" x14ac:dyDescent="0.25">
      <c r="A299">
        <v>199910</v>
      </c>
      <c r="B299">
        <v>6.1200000000000004E-2</v>
      </c>
      <c r="C299">
        <v>-6.6400000000000001E-2</v>
      </c>
      <c r="D299">
        <v>-3.3700000000000001E-2</v>
      </c>
      <c r="E299">
        <v>5.5E-2</v>
      </c>
      <c r="H299" s="7"/>
      <c r="I299" s="7"/>
    </row>
    <row r="300" spans="1:9" x14ac:dyDescent="0.25">
      <c r="A300">
        <v>199911</v>
      </c>
      <c r="B300">
        <v>3.3700000000000001E-2</v>
      </c>
      <c r="C300">
        <v>7.2099999999999997E-2</v>
      </c>
      <c r="D300">
        <v>-6.1200000000000004E-2</v>
      </c>
      <c r="E300">
        <v>5.6399999999999999E-2</v>
      </c>
      <c r="H300" s="7"/>
      <c r="I300" s="7"/>
    </row>
    <row r="301" spans="1:9" x14ac:dyDescent="0.25">
      <c r="A301">
        <v>199912</v>
      </c>
      <c r="B301">
        <v>7.7199999999999991E-2</v>
      </c>
      <c r="C301">
        <v>7.0300000000000001E-2</v>
      </c>
      <c r="D301">
        <v>-8.3299999999999999E-2</v>
      </c>
      <c r="E301">
        <v>0.13220000000000001</v>
      </c>
      <c r="H301" s="7"/>
      <c r="I301" s="7"/>
    </row>
    <row r="302" spans="1:9" x14ac:dyDescent="0.25">
      <c r="A302">
        <v>200001</v>
      </c>
      <c r="B302">
        <v>-4.7400000000000005E-2</v>
      </c>
      <c r="C302">
        <v>5.7699999999999994E-2</v>
      </c>
      <c r="D302">
        <v>-1.8799999999999997E-2</v>
      </c>
      <c r="E302">
        <v>1.9199999999999998E-2</v>
      </c>
      <c r="H302" s="7"/>
      <c r="I302" s="7"/>
    </row>
    <row r="303" spans="1:9" x14ac:dyDescent="0.25">
      <c r="A303">
        <v>200002</v>
      </c>
      <c r="B303">
        <v>2.4500000000000001E-2</v>
      </c>
      <c r="C303">
        <v>0.21359999999999998</v>
      </c>
      <c r="D303">
        <v>-9.5899999999999999E-2</v>
      </c>
      <c r="E303">
        <v>0.182</v>
      </c>
      <c r="H303" s="7"/>
      <c r="I303" s="7"/>
    </row>
    <row r="304" spans="1:9" x14ac:dyDescent="0.25">
      <c r="A304">
        <v>200003</v>
      </c>
      <c r="B304">
        <v>5.2000000000000005E-2</v>
      </c>
      <c r="C304">
        <v>-0.17199999999999999</v>
      </c>
      <c r="D304">
        <v>8.1300000000000011E-2</v>
      </c>
      <c r="E304">
        <v>-6.83E-2</v>
      </c>
      <c r="H304" s="7"/>
      <c r="I304" s="7"/>
    </row>
    <row r="305" spans="1:9" x14ac:dyDescent="0.25">
      <c r="A305">
        <v>200004</v>
      </c>
      <c r="B305">
        <v>-6.4000000000000001E-2</v>
      </c>
      <c r="C305">
        <v>-6.6799999999999998E-2</v>
      </c>
      <c r="D305">
        <v>7.2599999999999998E-2</v>
      </c>
      <c r="E305">
        <v>-8.3900000000000002E-2</v>
      </c>
      <c r="H305" s="7"/>
      <c r="I305" s="7"/>
    </row>
    <row r="306" spans="1:9" x14ac:dyDescent="0.25">
      <c r="A306">
        <v>200005</v>
      </c>
      <c r="B306">
        <v>-4.4199999999999996E-2</v>
      </c>
      <c r="C306">
        <v>-6.0499999999999998E-2</v>
      </c>
      <c r="D306">
        <v>4.7500000000000001E-2</v>
      </c>
      <c r="E306">
        <v>-8.9800000000000005E-2</v>
      </c>
      <c r="H306" s="7"/>
      <c r="I306" s="7"/>
    </row>
    <row r="307" spans="1:9" x14ac:dyDescent="0.25">
      <c r="A307">
        <v>200006</v>
      </c>
      <c r="B307">
        <v>4.6399999999999997E-2</v>
      </c>
      <c r="C307">
        <v>0.12839999999999999</v>
      </c>
      <c r="D307">
        <v>-8.4199999999999997E-2</v>
      </c>
      <c r="E307">
        <v>0.16600000000000001</v>
      </c>
      <c r="H307" s="7"/>
      <c r="I307" s="7"/>
    </row>
    <row r="308" spans="1:9" x14ac:dyDescent="0.25">
      <c r="A308">
        <v>200007</v>
      </c>
      <c r="B308">
        <v>-2.5099999999999997E-2</v>
      </c>
      <c r="C308">
        <v>-3.0699999999999998E-2</v>
      </c>
      <c r="D308">
        <v>8.3100000000000007E-2</v>
      </c>
      <c r="E308">
        <v>-5.0000000000000001E-4</v>
      </c>
      <c r="H308" s="7"/>
      <c r="I308" s="7"/>
    </row>
    <row r="309" spans="1:9" x14ac:dyDescent="0.25">
      <c r="A309">
        <v>200008</v>
      </c>
      <c r="B309">
        <v>7.0300000000000001E-2</v>
      </c>
      <c r="C309">
        <v>-6.0999999999999995E-3</v>
      </c>
      <c r="D309">
        <v>-1.3899999999999999E-2</v>
      </c>
      <c r="E309">
        <v>5.7300000000000004E-2</v>
      </c>
      <c r="H309" s="7"/>
      <c r="I309" s="7"/>
    </row>
    <row r="310" spans="1:9" x14ac:dyDescent="0.25">
      <c r="A310">
        <v>200009</v>
      </c>
      <c r="B310">
        <v>-5.45E-2</v>
      </c>
      <c r="C310">
        <v>-1.8200000000000001E-2</v>
      </c>
      <c r="D310">
        <v>7.17E-2</v>
      </c>
      <c r="E310">
        <v>1.9699999999999999E-2</v>
      </c>
      <c r="H310" s="7"/>
      <c r="I310" s="7"/>
    </row>
    <row r="311" spans="1:9" x14ac:dyDescent="0.25">
      <c r="A311">
        <v>200010</v>
      </c>
      <c r="B311">
        <v>-2.76E-2</v>
      </c>
      <c r="C311">
        <v>-3.8800000000000001E-2</v>
      </c>
      <c r="D311">
        <v>5.7099999999999998E-2</v>
      </c>
      <c r="E311">
        <v>-4.4800000000000006E-2</v>
      </c>
      <c r="H311" s="7"/>
      <c r="I311" s="7"/>
    </row>
    <row r="312" spans="1:9" x14ac:dyDescent="0.25">
      <c r="A312">
        <v>200011</v>
      </c>
      <c r="B312">
        <v>-0.1072</v>
      </c>
      <c r="C312">
        <v>-3.4099999999999998E-2</v>
      </c>
      <c r="D312">
        <v>0.12300000000000001</v>
      </c>
      <c r="E312">
        <v>-2.3199999999999998E-2</v>
      </c>
      <c r="H312" s="7"/>
      <c r="I312" s="7"/>
    </row>
    <row r="313" spans="1:9" x14ac:dyDescent="0.25">
      <c r="A313">
        <v>200012</v>
      </c>
      <c r="B313">
        <v>1.1899999999999999E-2</v>
      </c>
      <c r="C313">
        <v>7.3000000000000001E-3</v>
      </c>
      <c r="D313">
        <v>7.6100000000000001E-2</v>
      </c>
      <c r="E313">
        <v>6.7400000000000002E-2</v>
      </c>
      <c r="H313" s="7"/>
      <c r="I313" s="7"/>
    </row>
    <row r="314" spans="1:9" x14ac:dyDescent="0.25">
      <c r="A314">
        <v>200101</v>
      </c>
      <c r="B314">
        <v>3.1300000000000001E-2</v>
      </c>
      <c r="C314">
        <v>6.6799999999999998E-2</v>
      </c>
      <c r="D314">
        <v>-5.0700000000000002E-2</v>
      </c>
      <c r="E314">
        <v>-0.253</v>
      </c>
      <c r="H314" s="7"/>
      <c r="I314" s="7"/>
    </row>
    <row r="315" spans="1:9" x14ac:dyDescent="0.25">
      <c r="A315">
        <v>200102</v>
      </c>
      <c r="B315">
        <v>-0.10050000000000001</v>
      </c>
      <c r="C315">
        <v>-7.8000000000000005E-3</v>
      </c>
      <c r="D315">
        <v>0.12470000000000001</v>
      </c>
      <c r="E315">
        <v>0.12570000000000001</v>
      </c>
      <c r="H315" s="7"/>
      <c r="I315" s="7"/>
    </row>
    <row r="316" spans="1:9" x14ac:dyDescent="0.25">
      <c r="A316">
        <v>200103</v>
      </c>
      <c r="B316">
        <v>-7.2599999999999998E-2</v>
      </c>
      <c r="C316">
        <v>2.5000000000000001E-3</v>
      </c>
      <c r="D316">
        <v>6.4199999999999993E-2</v>
      </c>
      <c r="E316">
        <v>8.5500000000000007E-2</v>
      </c>
      <c r="H316" s="7"/>
      <c r="I316" s="7"/>
    </row>
    <row r="317" spans="1:9" x14ac:dyDescent="0.25">
      <c r="A317">
        <v>200104</v>
      </c>
      <c r="B317">
        <v>7.9399999999999998E-2</v>
      </c>
      <c r="C317">
        <v>5.5000000000000005E-3</v>
      </c>
      <c r="D317">
        <v>-4.6699999999999998E-2</v>
      </c>
      <c r="E317">
        <v>-7.9000000000000001E-2</v>
      </c>
      <c r="H317" s="7"/>
      <c r="I317" s="7"/>
    </row>
    <row r="318" spans="1:9" x14ac:dyDescent="0.25">
      <c r="A318">
        <v>200105</v>
      </c>
      <c r="B318">
        <v>7.1999999999999998E-3</v>
      </c>
      <c r="C318">
        <v>2.5000000000000001E-2</v>
      </c>
      <c r="D318">
        <v>3.3599999999999998E-2</v>
      </c>
      <c r="E318">
        <v>2.2099999999999998E-2</v>
      </c>
      <c r="H318" s="7"/>
      <c r="I318" s="7"/>
    </row>
    <row r="319" spans="1:9" x14ac:dyDescent="0.25">
      <c r="A319">
        <v>200106</v>
      </c>
      <c r="B319">
        <v>-1.9400000000000001E-2</v>
      </c>
      <c r="C319">
        <v>6.2400000000000004E-2</v>
      </c>
      <c r="D319">
        <v>-1.1200000000000002E-2</v>
      </c>
      <c r="E319">
        <v>3.8E-3</v>
      </c>
      <c r="H319" s="7"/>
      <c r="I319" s="7"/>
    </row>
    <row r="320" spans="1:9" x14ac:dyDescent="0.25">
      <c r="A320">
        <v>200107</v>
      </c>
      <c r="B320">
        <v>-2.1299999999999999E-2</v>
      </c>
      <c r="C320">
        <v>-4.1900000000000007E-2</v>
      </c>
      <c r="D320">
        <v>5.21E-2</v>
      </c>
      <c r="E320">
        <v>5.5800000000000002E-2</v>
      </c>
      <c r="H320" s="7"/>
      <c r="I320" s="7"/>
    </row>
    <row r="321" spans="1:9" x14ac:dyDescent="0.25">
      <c r="A321">
        <v>200108</v>
      </c>
      <c r="B321">
        <v>-6.4600000000000005E-2</v>
      </c>
      <c r="C321">
        <v>2.4799999999999999E-2</v>
      </c>
      <c r="D321">
        <v>2.3099999999999999E-2</v>
      </c>
      <c r="E321">
        <v>5.5300000000000002E-2</v>
      </c>
      <c r="H321" s="7"/>
      <c r="I321" s="7"/>
    </row>
    <row r="322" spans="1:9" x14ac:dyDescent="0.25">
      <c r="A322">
        <v>200109</v>
      </c>
      <c r="B322">
        <v>-9.2499999999999999E-2</v>
      </c>
      <c r="C322">
        <v>-6.2300000000000001E-2</v>
      </c>
      <c r="D322">
        <v>1.4499999999999999E-2</v>
      </c>
      <c r="E322">
        <v>0.1148</v>
      </c>
      <c r="H322" s="7"/>
      <c r="I322" s="7"/>
    </row>
    <row r="323" spans="1:9" x14ac:dyDescent="0.25">
      <c r="A323">
        <v>200110</v>
      </c>
      <c r="B323">
        <v>2.46E-2</v>
      </c>
      <c r="C323">
        <v>7.4800000000000005E-2</v>
      </c>
      <c r="D323">
        <v>-7.6499999999999999E-2</v>
      </c>
      <c r="E323">
        <v>-8.4700000000000011E-2</v>
      </c>
      <c r="H323" s="7"/>
      <c r="I323" s="7"/>
    </row>
    <row r="324" spans="1:9" x14ac:dyDescent="0.25">
      <c r="A324">
        <v>200111</v>
      </c>
      <c r="B324">
        <v>7.5399999999999995E-2</v>
      </c>
      <c r="C324">
        <v>-4.6999999999999993E-3</v>
      </c>
      <c r="D324">
        <v>2.2099999999999998E-2</v>
      </c>
      <c r="E324">
        <v>-8.6899999999999991E-2</v>
      </c>
      <c r="H324" s="7"/>
      <c r="I324" s="7"/>
    </row>
    <row r="325" spans="1:9" x14ac:dyDescent="0.25">
      <c r="A325">
        <v>200112</v>
      </c>
      <c r="B325">
        <v>1.6E-2</v>
      </c>
      <c r="C325">
        <v>4.7400000000000005E-2</v>
      </c>
      <c r="D325">
        <v>8.3999999999999995E-3</v>
      </c>
      <c r="E325">
        <v>7.000000000000001E-4</v>
      </c>
      <c r="H325" s="7"/>
      <c r="I325" s="7"/>
    </row>
    <row r="326" spans="1:9" x14ac:dyDescent="0.25">
      <c r="A326">
        <v>200201</v>
      </c>
      <c r="B326">
        <v>-1.44E-2</v>
      </c>
      <c r="C326">
        <v>1.1899999999999999E-2</v>
      </c>
      <c r="D326">
        <v>3.44E-2</v>
      </c>
      <c r="E326">
        <v>3.7499999999999999E-2</v>
      </c>
      <c r="H326" s="7"/>
      <c r="I326" s="7"/>
    </row>
    <row r="327" spans="1:9" x14ac:dyDescent="0.25">
      <c r="A327">
        <v>200202</v>
      </c>
      <c r="B327">
        <v>-2.29E-2</v>
      </c>
      <c r="C327">
        <v>-1.01E-2</v>
      </c>
      <c r="D327">
        <v>2.1600000000000001E-2</v>
      </c>
      <c r="E327">
        <v>6.8199999999999997E-2</v>
      </c>
      <c r="H327" s="7"/>
      <c r="I327" s="7"/>
    </row>
    <row r="328" spans="1:9" x14ac:dyDescent="0.25">
      <c r="A328">
        <v>200203</v>
      </c>
      <c r="B328">
        <v>4.24E-2</v>
      </c>
      <c r="C328">
        <v>4.2099999999999999E-2</v>
      </c>
      <c r="D328">
        <v>1.06E-2</v>
      </c>
      <c r="E328">
        <v>-1.6399999999999998E-2</v>
      </c>
      <c r="H328" s="7"/>
      <c r="I328" s="7"/>
    </row>
    <row r="329" spans="1:9" x14ac:dyDescent="0.25">
      <c r="A329">
        <v>200204</v>
      </c>
      <c r="B329">
        <v>-5.2000000000000005E-2</v>
      </c>
      <c r="C329">
        <v>5.96E-2</v>
      </c>
      <c r="D329">
        <v>3.8800000000000001E-2</v>
      </c>
      <c r="E329">
        <v>7.6299999999999993E-2</v>
      </c>
      <c r="H329" s="7"/>
      <c r="I329" s="7"/>
    </row>
    <row r="330" spans="1:9" x14ac:dyDescent="0.25">
      <c r="A330">
        <v>200205</v>
      </c>
      <c r="B330">
        <v>-1.38E-2</v>
      </c>
      <c r="C330">
        <v>-3.2099999999999997E-2</v>
      </c>
      <c r="D330">
        <v>1.5300000000000001E-2</v>
      </c>
      <c r="E330">
        <v>3.1600000000000003E-2</v>
      </c>
      <c r="H330" s="7"/>
      <c r="I330" s="7"/>
    </row>
    <row r="331" spans="1:9" x14ac:dyDescent="0.25">
      <c r="A331">
        <v>200206</v>
      </c>
      <c r="B331">
        <v>-7.2099999999999997E-2</v>
      </c>
      <c r="C331">
        <v>4.2900000000000001E-2</v>
      </c>
      <c r="D331">
        <v>-5.0000000000000001E-4</v>
      </c>
      <c r="E331">
        <v>6.0299999999999999E-2</v>
      </c>
      <c r="H331" s="7"/>
      <c r="I331" s="7"/>
    </row>
    <row r="332" spans="1:9" x14ac:dyDescent="0.25">
      <c r="A332">
        <v>200207</v>
      </c>
      <c r="B332">
        <v>-8.1799999999999998E-2</v>
      </c>
      <c r="C332">
        <v>-5.28E-2</v>
      </c>
      <c r="D332">
        <v>-3.85E-2</v>
      </c>
      <c r="E332">
        <v>3.7699999999999997E-2</v>
      </c>
      <c r="H332" s="7"/>
      <c r="I332" s="7"/>
    </row>
    <row r="333" spans="1:9" x14ac:dyDescent="0.25">
      <c r="A333">
        <v>200208</v>
      </c>
      <c r="B333">
        <v>5.0000000000000001E-3</v>
      </c>
      <c r="C333">
        <v>-2.86E-2</v>
      </c>
      <c r="D333">
        <v>3.2799999999999996E-2</v>
      </c>
      <c r="E333">
        <v>1.9E-2</v>
      </c>
      <c r="H333" s="7"/>
      <c r="I333" s="7"/>
    </row>
    <row r="334" spans="1:9" x14ac:dyDescent="0.25">
      <c r="A334">
        <v>200209</v>
      </c>
      <c r="B334">
        <v>-0.10349999999999999</v>
      </c>
      <c r="C334">
        <v>2.41E-2</v>
      </c>
      <c r="D334">
        <v>1.4499999999999999E-2</v>
      </c>
      <c r="E334">
        <v>9.1300000000000006E-2</v>
      </c>
      <c r="H334" s="7"/>
      <c r="I334" s="7"/>
    </row>
    <row r="335" spans="1:9" x14ac:dyDescent="0.25">
      <c r="A335">
        <v>200210</v>
      </c>
      <c r="B335">
        <v>7.8399999999999997E-2</v>
      </c>
      <c r="C335">
        <v>-3.4200000000000001E-2</v>
      </c>
      <c r="D335">
        <v>-3.9399999999999998E-2</v>
      </c>
      <c r="E335">
        <v>-5.5800000000000002E-2</v>
      </c>
      <c r="H335" s="7"/>
      <c r="I335" s="7"/>
    </row>
    <row r="336" spans="1:9" x14ac:dyDescent="0.25">
      <c r="A336">
        <v>200211</v>
      </c>
      <c r="B336">
        <v>5.96E-2</v>
      </c>
      <c r="C336">
        <v>3.1899999999999998E-2</v>
      </c>
      <c r="D336">
        <v>-1.26E-2</v>
      </c>
      <c r="E336">
        <v>-0.16329999999999997</v>
      </c>
      <c r="H336" s="7"/>
      <c r="I336" s="7"/>
    </row>
    <row r="337" spans="1:9" x14ac:dyDescent="0.25">
      <c r="A337">
        <v>200212</v>
      </c>
      <c r="B337">
        <v>-5.7599999999999998E-2</v>
      </c>
      <c r="C337">
        <v>8.0000000000000004E-4</v>
      </c>
      <c r="D337">
        <v>2.1400000000000002E-2</v>
      </c>
      <c r="E337">
        <v>9.64E-2</v>
      </c>
      <c r="H337" s="7"/>
      <c r="I337" s="7"/>
    </row>
    <row r="338" spans="1:9" x14ac:dyDescent="0.25">
      <c r="A338">
        <v>200301</v>
      </c>
      <c r="B338">
        <v>-2.5699999999999997E-2</v>
      </c>
      <c r="C338">
        <v>1.32E-2</v>
      </c>
      <c r="D338">
        <v>-8.1000000000000013E-3</v>
      </c>
      <c r="E338">
        <v>1.55E-2</v>
      </c>
      <c r="H338" s="7"/>
      <c r="I338" s="7"/>
    </row>
    <row r="339" spans="1:9" x14ac:dyDescent="0.25">
      <c r="A339">
        <v>200302</v>
      </c>
      <c r="B339">
        <v>-1.8799999999999997E-2</v>
      </c>
      <c r="C339">
        <v>-4.5999999999999999E-3</v>
      </c>
      <c r="D339">
        <v>-1.37E-2</v>
      </c>
      <c r="E339">
        <v>1.1699999999999999E-2</v>
      </c>
      <c r="H339" s="7"/>
      <c r="I339" s="7"/>
    </row>
    <row r="340" spans="1:9" x14ac:dyDescent="0.25">
      <c r="A340">
        <v>200303</v>
      </c>
      <c r="B340">
        <v>1.09E-2</v>
      </c>
      <c r="C340">
        <v>1.0200000000000001E-2</v>
      </c>
      <c r="D340">
        <v>-1.9400000000000001E-2</v>
      </c>
      <c r="E340">
        <v>1.4800000000000001E-2</v>
      </c>
      <c r="H340" s="7"/>
      <c r="I340" s="7"/>
    </row>
    <row r="341" spans="1:9" x14ac:dyDescent="0.25">
      <c r="A341">
        <v>200304</v>
      </c>
      <c r="B341">
        <v>8.2200000000000009E-2</v>
      </c>
      <c r="C341">
        <v>6.1999999999999998E-3</v>
      </c>
      <c r="D341">
        <v>1.15E-2</v>
      </c>
      <c r="E341">
        <v>-9.3299999999999994E-2</v>
      </c>
      <c r="H341" s="7"/>
      <c r="I341" s="7"/>
    </row>
    <row r="342" spans="1:9" x14ac:dyDescent="0.25">
      <c r="A342">
        <v>200305</v>
      </c>
      <c r="B342">
        <v>6.0499999999999998E-2</v>
      </c>
      <c r="C342">
        <v>4.6699999999999998E-2</v>
      </c>
      <c r="D342">
        <v>3.9000000000000003E-3</v>
      </c>
      <c r="E342">
        <v>-0.107</v>
      </c>
      <c r="H342" s="7"/>
      <c r="I342" s="7"/>
    </row>
    <row r="343" spans="1:9" x14ac:dyDescent="0.25">
      <c r="A343">
        <v>200306</v>
      </c>
      <c r="B343">
        <v>1.4199999999999999E-2</v>
      </c>
      <c r="C343">
        <v>1.7399999999999999E-2</v>
      </c>
      <c r="D343">
        <v>1.1000000000000001E-3</v>
      </c>
      <c r="E343">
        <v>-0.01</v>
      </c>
      <c r="H343" s="7"/>
      <c r="I343" s="7"/>
    </row>
    <row r="344" spans="1:9" x14ac:dyDescent="0.25">
      <c r="A344">
        <v>200307</v>
      </c>
      <c r="B344">
        <v>2.35E-2</v>
      </c>
      <c r="C344">
        <v>5.0599999999999999E-2</v>
      </c>
      <c r="D344">
        <v>-1.24E-2</v>
      </c>
      <c r="E344">
        <v>-2.3999999999999998E-3</v>
      </c>
      <c r="H344" s="7"/>
      <c r="I344" s="7"/>
    </row>
    <row r="345" spans="1:9" x14ac:dyDescent="0.25">
      <c r="A345">
        <v>200308</v>
      </c>
      <c r="B345">
        <v>2.3399999999999997E-2</v>
      </c>
      <c r="C345">
        <v>2.5899999999999999E-2</v>
      </c>
      <c r="D345">
        <v>1.5300000000000001E-2</v>
      </c>
      <c r="E345">
        <v>-6.1999999999999998E-3</v>
      </c>
      <c r="H345" s="7"/>
      <c r="I345" s="7"/>
    </row>
    <row r="346" spans="1:9" x14ac:dyDescent="0.25">
      <c r="A346">
        <v>200309</v>
      </c>
      <c r="B346">
        <v>-1.24E-2</v>
      </c>
      <c r="C346">
        <v>7.9000000000000008E-3</v>
      </c>
      <c r="D346">
        <v>1.7000000000000001E-3</v>
      </c>
      <c r="E346">
        <v>-1.9E-3</v>
      </c>
      <c r="H346" s="7"/>
      <c r="I346" s="7"/>
    </row>
    <row r="347" spans="1:9" x14ac:dyDescent="0.25">
      <c r="A347">
        <v>200310</v>
      </c>
      <c r="B347">
        <v>6.08E-2</v>
      </c>
      <c r="C347">
        <v>2.69E-2</v>
      </c>
      <c r="D347">
        <v>1.9699999999999999E-2</v>
      </c>
      <c r="E347">
        <v>3.9900000000000005E-2</v>
      </c>
      <c r="H347" s="7"/>
      <c r="I347" s="7"/>
    </row>
    <row r="348" spans="1:9" x14ac:dyDescent="0.25">
      <c r="A348">
        <v>200311</v>
      </c>
      <c r="B348">
        <v>1.3500000000000002E-2</v>
      </c>
      <c r="C348">
        <v>2.0799999999999999E-2</v>
      </c>
      <c r="D348">
        <v>1.78E-2</v>
      </c>
      <c r="E348">
        <v>1.46E-2</v>
      </c>
      <c r="H348" s="7"/>
      <c r="I348" s="7"/>
    </row>
    <row r="349" spans="1:9" x14ac:dyDescent="0.25">
      <c r="A349">
        <v>200312</v>
      </c>
      <c r="B349">
        <v>4.2900000000000001E-2</v>
      </c>
      <c r="C349">
        <v>-2.6699999999999998E-2</v>
      </c>
      <c r="D349">
        <v>1.6E-2</v>
      </c>
      <c r="E349">
        <v>-5.57E-2</v>
      </c>
      <c r="H349" s="7"/>
      <c r="I349" s="7"/>
    </row>
    <row r="350" spans="1:9" x14ac:dyDescent="0.25">
      <c r="A350">
        <v>200401</v>
      </c>
      <c r="B350">
        <v>2.1499999999999998E-2</v>
      </c>
      <c r="C350">
        <v>2.5499999999999998E-2</v>
      </c>
      <c r="D350">
        <v>2.4900000000000002E-2</v>
      </c>
      <c r="E350">
        <v>2.58E-2</v>
      </c>
      <c r="H350" s="7"/>
      <c r="I350" s="7"/>
    </row>
    <row r="351" spans="1:9" x14ac:dyDescent="0.25">
      <c r="A351">
        <v>200402</v>
      </c>
      <c r="B351">
        <v>1.3999999999999999E-2</v>
      </c>
      <c r="C351">
        <v>-1.5700000000000002E-2</v>
      </c>
      <c r="D351">
        <v>8.8000000000000005E-3</v>
      </c>
      <c r="E351">
        <v>-1.1399999999999999E-2</v>
      </c>
      <c r="H351" s="7"/>
      <c r="I351" s="7"/>
    </row>
    <row r="352" spans="1:9" x14ac:dyDescent="0.25">
      <c r="A352">
        <v>200403</v>
      </c>
      <c r="B352">
        <v>-1.32E-2</v>
      </c>
      <c r="C352">
        <v>1.72E-2</v>
      </c>
      <c r="D352">
        <v>2.7000000000000001E-3</v>
      </c>
      <c r="E352">
        <v>1.7000000000000001E-3</v>
      </c>
      <c r="H352" s="7"/>
      <c r="I352" s="7"/>
    </row>
    <row r="353" spans="1:9" x14ac:dyDescent="0.25">
      <c r="A353">
        <v>200404</v>
      </c>
      <c r="B353">
        <v>-1.83E-2</v>
      </c>
      <c r="C353">
        <v>-1.7000000000000001E-2</v>
      </c>
      <c r="D353">
        <v>-3.0699999999999998E-2</v>
      </c>
      <c r="E353">
        <v>-5.3800000000000001E-2</v>
      </c>
      <c r="H353" s="7"/>
      <c r="I353" s="7"/>
    </row>
    <row r="354" spans="1:9" x14ac:dyDescent="0.25">
      <c r="A354">
        <v>200405</v>
      </c>
      <c r="B354">
        <v>1.1699999999999999E-2</v>
      </c>
      <c r="C354">
        <v>-2E-3</v>
      </c>
      <c r="D354">
        <v>-2.5000000000000001E-3</v>
      </c>
      <c r="E354">
        <v>1.4999999999999999E-2</v>
      </c>
      <c r="H354" s="7"/>
      <c r="I354" s="7"/>
    </row>
    <row r="355" spans="1:9" x14ac:dyDescent="0.25">
      <c r="A355">
        <v>200406</v>
      </c>
      <c r="B355">
        <v>1.8600000000000002E-2</v>
      </c>
      <c r="C355">
        <v>2.2599999999999999E-2</v>
      </c>
      <c r="D355">
        <v>1.18E-2</v>
      </c>
      <c r="E355">
        <v>2.0499999999999997E-2</v>
      </c>
      <c r="H355" s="7"/>
      <c r="I355" s="7"/>
    </row>
    <row r="356" spans="1:9" x14ac:dyDescent="0.25">
      <c r="A356">
        <v>200407</v>
      </c>
      <c r="B356">
        <v>-4.0599999999999997E-2</v>
      </c>
      <c r="C356">
        <v>-3.8199999999999998E-2</v>
      </c>
      <c r="D356">
        <v>3.2400000000000005E-2</v>
      </c>
      <c r="E356">
        <v>-2.29E-2</v>
      </c>
      <c r="H356" s="7"/>
      <c r="I356" s="7"/>
    </row>
    <row r="357" spans="1:9" x14ac:dyDescent="0.25">
      <c r="A357">
        <v>200408</v>
      </c>
      <c r="B357">
        <v>8.0000000000000004E-4</v>
      </c>
      <c r="C357">
        <v>-1.4800000000000001E-2</v>
      </c>
      <c r="D357">
        <v>9.7000000000000003E-3</v>
      </c>
      <c r="E357">
        <v>-1.5900000000000001E-2</v>
      </c>
      <c r="H357" s="7"/>
      <c r="I357" s="7"/>
    </row>
    <row r="358" spans="1:9" x14ac:dyDescent="0.25">
      <c r="A358">
        <v>200409</v>
      </c>
      <c r="B358">
        <v>1.6E-2</v>
      </c>
      <c r="C358">
        <v>3.0099999999999998E-2</v>
      </c>
      <c r="D358">
        <v>0</v>
      </c>
      <c r="E358">
        <v>5.4900000000000004E-2</v>
      </c>
      <c r="H358" s="7"/>
      <c r="I358" s="7"/>
    </row>
    <row r="359" spans="1:9" x14ac:dyDescent="0.25">
      <c r="A359">
        <v>200410</v>
      </c>
      <c r="B359">
        <v>1.43E-2</v>
      </c>
      <c r="C359">
        <v>1.5E-3</v>
      </c>
      <c r="D359">
        <v>-2.2000000000000001E-3</v>
      </c>
      <c r="E359">
        <v>-1.38E-2</v>
      </c>
      <c r="H359" s="7"/>
      <c r="I359" s="7"/>
    </row>
    <row r="360" spans="1:9" x14ac:dyDescent="0.25">
      <c r="A360">
        <v>200411</v>
      </c>
      <c r="B360">
        <v>4.5400000000000003E-2</v>
      </c>
      <c r="C360">
        <v>3.7400000000000003E-2</v>
      </c>
      <c r="D360">
        <v>1.41E-2</v>
      </c>
      <c r="E360">
        <v>3.1600000000000003E-2</v>
      </c>
      <c r="H360" s="7"/>
      <c r="I360" s="7"/>
    </row>
    <row r="361" spans="1:9" x14ac:dyDescent="0.25">
      <c r="A361">
        <v>200412</v>
      </c>
      <c r="B361">
        <v>3.4300000000000004E-2</v>
      </c>
      <c r="C361">
        <v>-2.9999999999999997E-4</v>
      </c>
      <c r="D361">
        <v>-2.2000000000000001E-3</v>
      </c>
      <c r="E361">
        <v>-2.87E-2</v>
      </c>
      <c r="H361" s="7"/>
      <c r="I361" s="7"/>
    </row>
    <row r="362" spans="1:9" x14ac:dyDescent="0.25">
      <c r="A362">
        <v>200501</v>
      </c>
      <c r="B362">
        <v>-2.76E-2</v>
      </c>
      <c r="C362">
        <v>-1.72E-2</v>
      </c>
      <c r="D362">
        <v>2.06E-2</v>
      </c>
      <c r="E362">
        <v>3.0499999999999999E-2</v>
      </c>
      <c r="H362" s="7"/>
      <c r="I362" s="7"/>
    </row>
    <row r="363" spans="1:9" x14ac:dyDescent="0.25">
      <c r="A363">
        <v>200502</v>
      </c>
      <c r="B363">
        <v>1.89E-2</v>
      </c>
      <c r="C363">
        <v>-5.6999999999999993E-3</v>
      </c>
      <c r="D363">
        <v>1.54E-2</v>
      </c>
      <c r="E363">
        <v>3.3700000000000001E-2</v>
      </c>
      <c r="H363" s="7"/>
      <c r="I363" s="7"/>
    </row>
    <row r="364" spans="1:9" x14ac:dyDescent="0.25">
      <c r="A364">
        <v>200503</v>
      </c>
      <c r="B364">
        <v>-1.9699999999999999E-2</v>
      </c>
      <c r="C364">
        <v>-1.3999999999999999E-2</v>
      </c>
      <c r="D364">
        <v>2.0400000000000001E-2</v>
      </c>
      <c r="E364">
        <v>4.0999999999999995E-3</v>
      </c>
      <c r="H364" s="7"/>
      <c r="I364" s="7"/>
    </row>
    <row r="365" spans="1:9" x14ac:dyDescent="0.25">
      <c r="A365">
        <v>200504</v>
      </c>
      <c r="B365">
        <v>-2.6099999999999998E-2</v>
      </c>
      <c r="C365">
        <v>-3.9399999999999998E-2</v>
      </c>
      <c r="D365">
        <v>7.000000000000001E-4</v>
      </c>
      <c r="E365">
        <v>-6.8999999999999999E-3</v>
      </c>
      <c r="H365" s="7"/>
      <c r="I365" s="7"/>
    </row>
    <row r="366" spans="1:9" x14ac:dyDescent="0.25">
      <c r="A366">
        <v>200505</v>
      </c>
      <c r="B366">
        <v>3.6499999999999998E-2</v>
      </c>
      <c r="C366">
        <v>2.8799999999999999E-2</v>
      </c>
      <c r="D366">
        <v>-6.4000000000000003E-3</v>
      </c>
      <c r="E366">
        <v>4.5000000000000005E-3</v>
      </c>
      <c r="H366" s="7"/>
      <c r="I366" s="7"/>
    </row>
    <row r="367" spans="1:9" x14ac:dyDescent="0.25">
      <c r="A367">
        <v>200506</v>
      </c>
      <c r="B367">
        <v>5.6999999999999993E-3</v>
      </c>
      <c r="C367">
        <v>2.58E-2</v>
      </c>
      <c r="D367">
        <v>2.8300000000000002E-2</v>
      </c>
      <c r="E367">
        <v>2.0499999999999997E-2</v>
      </c>
      <c r="H367" s="7"/>
      <c r="I367" s="7"/>
    </row>
    <row r="368" spans="1:9" x14ac:dyDescent="0.25">
      <c r="A368">
        <v>200507</v>
      </c>
      <c r="B368">
        <v>3.9199999999999999E-2</v>
      </c>
      <c r="C368">
        <v>2.9100000000000001E-2</v>
      </c>
      <c r="D368">
        <v>-7.9000000000000008E-3</v>
      </c>
      <c r="E368">
        <v>5.9999999999999995E-4</v>
      </c>
      <c r="H368" s="7"/>
      <c r="I368" s="7"/>
    </row>
    <row r="369" spans="1:9" x14ac:dyDescent="0.25">
      <c r="A369">
        <v>200508</v>
      </c>
      <c r="B369">
        <v>-1.2199999999999999E-2</v>
      </c>
      <c r="C369">
        <v>-9.7000000000000003E-3</v>
      </c>
      <c r="D369">
        <v>1.32E-2</v>
      </c>
      <c r="E369">
        <v>2.0799999999999999E-2</v>
      </c>
      <c r="H369" s="7"/>
      <c r="I369" s="7"/>
    </row>
    <row r="370" spans="1:9" x14ac:dyDescent="0.25">
      <c r="A370">
        <v>200509</v>
      </c>
      <c r="B370">
        <v>4.8999999999999998E-3</v>
      </c>
      <c r="C370">
        <v>-6.5000000000000006E-3</v>
      </c>
      <c r="D370">
        <v>7.0999999999999995E-3</v>
      </c>
      <c r="E370">
        <v>3.4300000000000004E-2</v>
      </c>
      <c r="H370" s="7"/>
      <c r="I370" s="7"/>
    </row>
    <row r="371" spans="1:9" x14ac:dyDescent="0.25">
      <c r="A371">
        <v>200510</v>
      </c>
      <c r="B371">
        <v>-2.0199999999999999E-2</v>
      </c>
      <c r="C371">
        <v>-1.2500000000000001E-2</v>
      </c>
      <c r="D371">
        <v>4.1999999999999997E-3</v>
      </c>
      <c r="E371">
        <v>-1.3899999999999999E-2</v>
      </c>
      <c r="H371" s="7"/>
      <c r="I371" s="7"/>
    </row>
    <row r="372" spans="1:9" x14ac:dyDescent="0.25">
      <c r="A372">
        <v>200511</v>
      </c>
      <c r="B372">
        <v>3.61E-2</v>
      </c>
      <c r="C372">
        <v>0.01</v>
      </c>
      <c r="D372">
        <v>-1.1599999999999999E-2</v>
      </c>
      <c r="E372">
        <v>3.4999999999999996E-3</v>
      </c>
      <c r="H372" s="7"/>
      <c r="I372" s="7"/>
    </row>
    <row r="373" spans="1:9" x14ac:dyDescent="0.25">
      <c r="A373">
        <v>200512</v>
      </c>
      <c r="B373">
        <v>-2.5000000000000001E-3</v>
      </c>
      <c r="C373">
        <v>-4.1999999999999997E-3</v>
      </c>
      <c r="D373">
        <v>2E-3</v>
      </c>
      <c r="E373">
        <v>7.7000000000000002E-3</v>
      </c>
      <c r="H373" s="7"/>
      <c r="I373" s="7"/>
    </row>
    <row r="374" spans="1:9" x14ac:dyDescent="0.25">
      <c r="A374">
        <v>200601</v>
      </c>
      <c r="B374">
        <v>3.04E-2</v>
      </c>
      <c r="C374">
        <v>5.4000000000000006E-2</v>
      </c>
      <c r="D374">
        <v>1.0800000000000001E-2</v>
      </c>
      <c r="E374">
        <v>2.53E-2</v>
      </c>
      <c r="H374" s="7"/>
      <c r="I374" s="7"/>
    </row>
    <row r="375" spans="1:9" x14ac:dyDescent="0.25">
      <c r="A375">
        <v>200602</v>
      </c>
      <c r="B375">
        <v>-3.0000000000000001E-3</v>
      </c>
      <c r="C375">
        <v>-3.8E-3</v>
      </c>
      <c r="D375">
        <v>-3.4000000000000002E-3</v>
      </c>
      <c r="E375">
        <v>-1.84E-2</v>
      </c>
      <c r="H375" s="7"/>
      <c r="I375" s="7"/>
    </row>
    <row r="376" spans="1:9" x14ac:dyDescent="0.25">
      <c r="A376">
        <v>200603</v>
      </c>
      <c r="B376">
        <v>1.46E-2</v>
      </c>
      <c r="C376">
        <v>3.44E-2</v>
      </c>
      <c r="D376">
        <v>6.0000000000000001E-3</v>
      </c>
      <c r="E376">
        <v>1.26E-2</v>
      </c>
      <c r="H376" s="7"/>
      <c r="I376" s="7"/>
    </row>
    <row r="377" spans="1:9" x14ac:dyDescent="0.25">
      <c r="A377">
        <v>200604</v>
      </c>
      <c r="B377">
        <v>7.3000000000000001E-3</v>
      </c>
      <c r="C377">
        <v>-1.4199999999999999E-2</v>
      </c>
      <c r="D377">
        <v>2.3399999999999997E-2</v>
      </c>
      <c r="E377">
        <v>6.4000000000000003E-3</v>
      </c>
      <c r="H377" s="7"/>
      <c r="I377" s="7"/>
    </row>
    <row r="378" spans="1:9" x14ac:dyDescent="0.25">
      <c r="A378">
        <v>200605</v>
      </c>
      <c r="B378">
        <v>-3.5699999999999996E-2</v>
      </c>
      <c r="C378">
        <v>-2.9600000000000001E-2</v>
      </c>
      <c r="D378">
        <v>2.41E-2</v>
      </c>
      <c r="E378">
        <v>-3.7000000000000005E-2</v>
      </c>
      <c r="H378" s="7"/>
      <c r="I378" s="7"/>
    </row>
    <row r="379" spans="1:9" x14ac:dyDescent="0.25">
      <c r="A379">
        <v>200606</v>
      </c>
      <c r="B379">
        <v>-3.4999999999999996E-3</v>
      </c>
      <c r="C379">
        <v>-3.9000000000000003E-3</v>
      </c>
      <c r="D379">
        <v>8.5000000000000006E-3</v>
      </c>
      <c r="E379">
        <v>1.54E-2</v>
      </c>
      <c r="H379" s="7"/>
      <c r="I379" s="7"/>
    </row>
    <row r="380" spans="1:9" x14ac:dyDescent="0.25">
      <c r="A380">
        <v>200607</v>
      </c>
      <c r="B380">
        <v>-7.8000000000000005E-3</v>
      </c>
      <c r="C380">
        <v>-3.9800000000000002E-2</v>
      </c>
      <c r="D380">
        <v>2.6000000000000002E-2</v>
      </c>
      <c r="E380">
        <v>-2.12E-2</v>
      </c>
      <c r="H380" s="7"/>
      <c r="I380" s="7"/>
    </row>
    <row r="381" spans="1:9" x14ac:dyDescent="0.25">
      <c r="A381">
        <v>200608</v>
      </c>
      <c r="B381">
        <v>2.0299999999999999E-2</v>
      </c>
      <c r="C381">
        <v>1.03E-2</v>
      </c>
      <c r="D381">
        <v>-2.06E-2</v>
      </c>
      <c r="E381">
        <v>-3.3799999999999997E-2</v>
      </c>
      <c r="H381" s="7"/>
      <c r="I381" s="7"/>
    </row>
    <row r="382" spans="1:9" x14ac:dyDescent="0.25">
      <c r="A382">
        <v>200609</v>
      </c>
      <c r="B382">
        <v>1.84E-2</v>
      </c>
      <c r="C382">
        <v>-1.3600000000000001E-2</v>
      </c>
      <c r="D382">
        <v>8.0000000000000004E-4</v>
      </c>
      <c r="E382">
        <v>-9.5999999999999992E-3</v>
      </c>
      <c r="H382" s="7"/>
      <c r="I382" s="7"/>
    </row>
    <row r="383" spans="1:9" x14ac:dyDescent="0.25">
      <c r="A383">
        <v>200610</v>
      </c>
      <c r="B383">
        <v>3.2300000000000002E-2</v>
      </c>
      <c r="C383">
        <v>1.7500000000000002E-2</v>
      </c>
      <c r="D383">
        <v>-3.0999999999999999E-3</v>
      </c>
      <c r="E383">
        <v>-2E-3</v>
      </c>
      <c r="H383" s="7"/>
      <c r="I383" s="7"/>
    </row>
    <row r="384" spans="1:9" x14ac:dyDescent="0.25">
      <c r="A384">
        <v>200611</v>
      </c>
      <c r="B384">
        <v>1.7100000000000001E-2</v>
      </c>
      <c r="C384">
        <v>6.9999999999999993E-3</v>
      </c>
      <c r="D384">
        <v>1.4000000000000002E-3</v>
      </c>
      <c r="E384">
        <v>-1.03E-2</v>
      </c>
      <c r="H384" s="7"/>
      <c r="I384" s="7"/>
    </row>
    <row r="385" spans="1:9" x14ac:dyDescent="0.25">
      <c r="A385">
        <v>200612</v>
      </c>
      <c r="B385">
        <v>8.6999999999999994E-3</v>
      </c>
      <c r="C385">
        <v>-1.15E-2</v>
      </c>
      <c r="D385">
        <v>2.7300000000000001E-2</v>
      </c>
      <c r="E385">
        <v>7.9000000000000008E-3</v>
      </c>
      <c r="H385" s="7"/>
      <c r="I385" s="7"/>
    </row>
    <row r="386" spans="1:9" x14ac:dyDescent="0.25">
      <c r="A386">
        <v>200701</v>
      </c>
      <c r="B386">
        <v>1.3999999999999999E-2</v>
      </c>
      <c r="C386">
        <v>1.1999999999999999E-3</v>
      </c>
      <c r="D386">
        <v>-6.8000000000000005E-3</v>
      </c>
      <c r="E386">
        <v>2.3999999999999998E-3</v>
      </c>
      <c r="H386" s="7"/>
      <c r="I386" s="7"/>
    </row>
    <row r="387" spans="1:9" x14ac:dyDescent="0.25">
      <c r="A387">
        <v>200702</v>
      </c>
      <c r="B387">
        <v>-1.9599999999999999E-2</v>
      </c>
      <c r="C387">
        <v>1.1899999999999999E-2</v>
      </c>
      <c r="D387">
        <v>-1.4000000000000002E-3</v>
      </c>
      <c r="E387">
        <v>-1.3500000000000002E-2</v>
      </c>
      <c r="H387" s="7"/>
      <c r="I387" s="7"/>
    </row>
    <row r="388" spans="1:9" x14ac:dyDescent="0.25">
      <c r="A388">
        <v>200703</v>
      </c>
      <c r="B388">
        <v>6.8000000000000005E-3</v>
      </c>
      <c r="C388">
        <v>1.6000000000000001E-3</v>
      </c>
      <c r="D388">
        <v>-9.7000000000000003E-3</v>
      </c>
      <c r="E388">
        <v>2.5600000000000001E-2</v>
      </c>
      <c r="H388" s="7"/>
      <c r="I388" s="7"/>
    </row>
    <row r="389" spans="1:9" x14ac:dyDescent="0.25">
      <c r="A389">
        <v>200704</v>
      </c>
      <c r="B389">
        <v>3.49E-2</v>
      </c>
      <c r="C389">
        <v>-2.1600000000000001E-2</v>
      </c>
      <c r="D389">
        <v>-1.4499999999999999E-2</v>
      </c>
      <c r="E389">
        <v>-2.3999999999999998E-3</v>
      </c>
      <c r="H389" s="7"/>
      <c r="I389" s="7"/>
    </row>
    <row r="390" spans="1:9" x14ac:dyDescent="0.25">
      <c r="A390">
        <v>200705</v>
      </c>
      <c r="B390">
        <v>3.2400000000000005E-2</v>
      </c>
      <c r="C390">
        <v>2.3999999999999998E-3</v>
      </c>
      <c r="D390">
        <v>-6.5000000000000006E-3</v>
      </c>
      <c r="E390">
        <v>-3.4000000000000002E-3</v>
      </c>
      <c r="H390" s="7"/>
      <c r="I390" s="7"/>
    </row>
    <row r="391" spans="1:9" x14ac:dyDescent="0.25">
      <c r="A391">
        <v>200706</v>
      </c>
      <c r="B391">
        <v>-1.9599999999999999E-2</v>
      </c>
      <c r="C391">
        <v>7.4999999999999997E-3</v>
      </c>
      <c r="D391">
        <v>-1.0500000000000001E-2</v>
      </c>
      <c r="E391">
        <v>5.1000000000000004E-3</v>
      </c>
      <c r="H391" s="7"/>
      <c r="I391" s="7"/>
    </row>
    <row r="392" spans="1:9" x14ac:dyDescent="0.25">
      <c r="A392">
        <v>200707</v>
      </c>
      <c r="B392">
        <v>-3.73E-2</v>
      </c>
      <c r="C392">
        <v>-2.6099999999999998E-2</v>
      </c>
      <c r="D392">
        <v>-3.7100000000000001E-2</v>
      </c>
      <c r="E392">
        <v>2.9399999999999999E-2</v>
      </c>
      <c r="H392" s="7"/>
      <c r="I392" s="7"/>
    </row>
    <row r="393" spans="1:9" x14ac:dyDescent="0.25">
      <c r="A393">
        <v>200708</v>
      </c>
      <c r="B393">
        <v>9.1999999999999998E-3</v>
      </c>
      <c r="C393">
        <v>-1.2999999999999999E-3</v>
      </c>
      <c r="D393">
        <v>-1.8600000000000002E-2</v>
      </c>
      <c r="E393">
        <v>1E-3</v>
      </c>
      <c r="H393" s="7"/>
      <c r="I393" s="7"/>
    </row>
    <row r="394" spans="1:9" x14ac:dyDescent="0.25">
      <c r="A394">
        <v>200709</v>
      </c>
      <c r="B394">
        <v>3.2199999999999999E-2</v>
      </c>
      <c r="C394">
        <v>-2.23E-2</v>
      </c>
      <c r="D394">
        <v>-2.2099999999999998E-2</v>
      </c>
      <c r="E394">
        <v>4.6300000000000001E-2</v>
      </c>
      <c r="H394" s="7"/>
      <c r="I394" s="7"/>
    </row>
    <row r="395" spans="1:9" x14ac:dyDescent="0.25">
      <c r="A395">
        <v>200710</v>
      </c>
      <c r="B395">
        <v>1.8000000000000002E-2</v>
      </c>
      <c r="C395">
        <v>8.0000000000000004E-4</v>
      </c>
      <c r="D395">
        <v>-2.98E-2</v>
      </c>
      <c r="E395">
        <v>5.0199999999999995E-2</v>
      </c>
      <c r="H395" s="7"/>
      <c r="I395" s="7"/>
    </row>
    <row r="396" spans="1:9" x14ac:dyDescent="0.25">
      <c r="A396">
        <v>200711</v>
      </c>
      <c r="B396">
        <v>-4.8300000000000003E-2</v>
      </c>
      <c r="C396">
        <v>-2.9300000000000003E-2</v>
      </c>
      <c r="D396">
        <v>-9.3999999999999986E-3</v>
      </c>
      <c r="E396">
        <v>9.8999999999999991E-3</v>
      </c>
      <c r="H396" s="7"/>
      <c r="I396" s="7"/>
    </row>
    <row r="397" spans="1:9" x14ac:dyDescent="0.25">
      <c r="A397">
        <v>200712</v>
      </c>
      <c r="B397">
        <v>-8.6999999999999994E-3</v>
      </c>
      <c r="C397">
        <v>1.2999999999999999E-3</v>
      </c>
      <c r="D397">
        <v>-5.5000000000000005E-3</v>
      </c>
      <c r="E397">
        <v>6.6299999999999998E-2</v>
      </c>
      <c r="H397" s="7"/>
      <c r="I397" s="7"/>
    </row>
    <row r="398" spans="1:9" x14ac:dyDescent="0.25">
      <c r="A398">
        <v>200801</v>
      </c>
      <c r="B398">
        <v>-6.3600000000000004E-2</v>
      </c>
      <c r="C398">
        <v>-1.03E-2</v>
      </c>
      <c r="D398">
        <v>3.9699999999999999E-2</v>
      </c>
      <c r="E398">
        <v>-7.7499999999999999E-2</v>
      </c>
      <c r="H398" s="7"/>
      <c r="I398" s="7"/>
    </row>
    <row r="399" spans="1:9" x14ac:dyDescent="0.25">
      <c r="A399">
        <v>200802</v>
      </c>
      <c r="B399">
        <v>-3.0899999999999997E-2</v>
      </c>
      <c r="C399">
        <v>-4.3E-3</v>
      </c>
      <c r="D399">
        <v>-8.3999999999999995E-3</v>
      </c>
      <c r="E399">
        <v>6.0999999999999999E-2</v>
      </c>
      <c r="H399" s="7"/>
      <c r="I399" s="7"/>
    </row>
    <row r="400" spans="1:9" x14ac:dyDescent="0.25">
      <c r="A400">
        <v>200803</v>
      </c>
      <c r="B400">
        <v>-9.300000000000001E-3</v>
      </c>
      <c r="C400">
        <v>7.0999999999999995E-3</v>
      </c>
      <c r="D400">
        <v>3.0000000000000001E-3</v>
      </c>
      <c r="E400">
        <v>4.2699999999999995E-2</v>
      </c>
      <c r="H400" s="7"/>
      <c r="I400" s="7"/>
    </row>
    <row r="401" spans="1:9" x14ac:dyDescent="0.25">
      <c r="A401">
        <v>200804</v>
      </c>
      <c r="B401">
        <v>4.5999999999999999E-2</v>
      </c>
      <c r="C401">
        <v>-1.72E-2</v>
      </c>
      <c r="D401">
        <v>-9.3999999999999986E-3</v>
      </c>
      <c r="E401">
        <v>-3.0999999999999999E-3</v>
      </c>
      <c r="H401" s="7"/>
      <c r="I401" s="7"/>
    </row>
    <row r="402" spans="1:9" x14ac:dyDescent="0.25">
      <c r="A402">
        <v>200805</v>
      </c>
      <c r="B402">
        <v>1.8600000000000002E-2</v>
      </c>
      <c r="C402">
        <v>2.9600000000000001E-2</v>
      </c>
      <c r="D402">
        <v>-1.43E-2</v>
      </c>
      <c r="E402">
        <v>3.3099999999999997E-2</v>
      </c>
      <c r="H402" s="7"/>
      <c r="I402" s="7"/>
    </row>
    <row r="403" spans="1:9" x14ac:dyDescent="0.25">
      <c r="A403">
        <v>200806</v>
      </c>
      <c r="B403">
        <v>-8.4399999999999989E-2</v>
      </c>
      <c r="C403">
        <v>1.23E-2</v>
      </c>
      <c r="D403">
        <v>-2.7099999999999999E-2</v>
      </c>
      <c r="E403">
        <v>0.1275</v>
      </c>
      <c r="H403" s="7"/>
      <c r="I403" s="7"/>
    </row>
    <row r="404" spans="1:9" x14ac:dyDescent="0.25">
      <c r="A404">
        <v>200807</v>
      </c>
      <c r="B404">
        <v>-7.7000000000000002E-3</v>
      </c>
      <c r="C404">
        <v>2.6000000000000002E-2</v>
      </c>
      <c r="D404">
        <v>5.4199999999999998E-2</v>
      </c>
      <c r="E404">
        <v>-5.1299999999999998E-2</v>
      </c>
      <c r="H404" s="7"/>
      <c r="I404" s="7"/>
    </row>
    <row r="405" spans="1:9" x14ac:dyDescent="0.25">
      <c r="A405">
        <v>200808</v>
      </c>
      <c r="B405">
        <v>1.5300000000000001E-2</v>
      </c>
      <c r="C405">
        <v>3.6000000000000004E-2</v>
      </c>
      <c r="D405">
        <v>1.5900000000000001E-2</v>
      </c>
      <c r="E405">
        <v>-4.0199999999999993E-2</v>
      </c>
      <c r="H405" s="7"/>
      <c r="I405" s="7"/>
    </row>
    <row r="406" spans="1:9" x14ac:dyDescent="0.25">
      <c r="A406">
        <v>200809</v>
      </c>
      <c r="B406">
        <v>-9.2399999999999996E-2</v>
      </c>
      <c r="C406">
        <v>-1.23E-2</v>
      </c>
      <c r="D406">
        <v>5.91E-2</v>
      </c>
      <c r="E406">
        <v>2.8000000000000004E-3</v>
      </c>
      <c r="H406" s="7"/>
      <c r="I406" s="7"/>
    </row>
    <row r="407" spans="1:9" x14ac:dyDescent="0.25">
      <c r="A407">
        <v>200810</v>
      </c>
      <c r="B407">
        <v>-0.17230000000000001</v>
      </c>
      <c r="C407">
        <v>-2.6000000000000002E-2</v>
      </c>
      <c r="D407">
        <v>-2.3E-2</v>
      </c>
      <c r="E407">
        <v>7.85E-2</v>
      </c>
      <c r="H407" s="7"/>
      <c r="I407" s="7"/>
    </row>
    <row r="408" spans="1:9" x14ac:dyDescent="0.25">
      <c r="A408">
        <v>200811</v>
      </c>
      <c r="B408">
        <v>-7.8600000000000003E-2</v>
      </c>
      <c r="C408">
        <v>-2.8500000000000001E-2</v>
      </c>
      <c r="D408">
        <v>-6.3099999999999989E-2</v>
      </c>
      <c r="E408">
        <v>7.17E-2</v>
      </c>
      <c r="H408" s="7"/>
      <c r="I408" s="7"/>
    </row>
    <row r="409" spans="1:9" x14ac:dyDescent="0.25">
      <c r="A409">
        <v>200812</v>
      </c>
      <c r="B409">
        <v>1.7399999999999999E-2</v>
      </c>
      <c r="C409">
        <v>3.4599999999999999E-2</v>
      </c>
      <c r="D409">
        <v>1.4000000000000002E-3</v>
      </c>
      <c r="E409">
        <v>-5.0900000000000001E-2</v>
      </c>
      <c r="H409" s="7"/>
      <c r="I409" s="7"/>
    </row>
    <row r="410" spans="1:9" x14ac:dyDescent="0.25">
      <c r="A410">
        <v>200901</v>
      </c>
      <c r="B410">
        <v>-8.1199999999999994E-2</v>
      </c>
      <c r="C410">
        <v>7.000000000000001E-4</v>
      </c>
      <c r="D410">
        <v>-0.11289999999999999</v>
      </c>
      <c r="E410">
        <v>-2.18E-2</v>
      </c>
      <c r="H410" s="7"/>
      <c r="I410" s="7"/>
    </row>
    <row r="411" spans="1:9" x14ac:dyDescent="0.25">
      <c r="A411">
        <v>200902</v>
      </c>
      <c r="B411">
        <v>-0.10099999999999999</v>
      </c>
      <c r="C411">
        <v>5.0000000000000001E-4</v>
      </c>
      <c r="D411">
        <v>-6.9500000000000006E-2</v>
      </c>
      <c r="E411">
        <v>4.41E-2</v>
      </c>
      <c r="H411" s="7"/>
      <c r="I411" s="7"/>
    </row>
    <row r="412" spans="1:9" x14ac:dyDescent="0.25">
      <c r="A412">
        <v>200903</v>
      </c>
      <c r="B412">
        <v>8.9499999999999996E-2</v>
      </c>
      <c r="C412">
        <v>2.9999999999999997E-4</v>
      </c>
      <c r="D412">
        <v>3.4700000000000002E-2</v>
      </c>
      <c r="E412">
        <v>-0.11869999999999999</v>
      </c>
      <c r="H412" s="7"/>
      <c r="I412" s="7"/>
    </row>
    <row r="413" spans="1:9" x14ac:dyDescent="0.25">
      <c r="A413">
        <v>200904</v>
      </c>
      <c r="B413">
        <v>0.1018</v>
      </c>
      <c r="C413">
        <v>5.3899999999999997E-2</v>
      </c>
      <c r="D413">
        <v>5.3600000000000002E-2</v>
      </c>
      <c r="E413">
        <v>-0.34299999999999997</v>
      </c>
      <c r="H413" s="7"/>
      <c r="I413" s="7"/>
    </row>
    <row r="414" spans="1:9" x14ac:dyDescent="0.25">
      <c r="A414">
        <v>200905</v>
      </c>
      <c r="B414">
        <v>5.21E-2</v>
      </c>
      <c r="C414">
        <v>-2.52E-2</v>
      </c>
      <c r="D414">
        <v>2.8000000000000004E-3</v>
      </c>
      <c r="E414">
        <v>-0.1249</v>
      </c>
      <c r="H414" s="7"/>
      <c r="I414" s="7"/>
    </row>
    <row r="415" spans="1:9" x14ac:dyDescent="0.25">
      <c r="A415">
        <v>200906</v>
      </c>
      <c r="B415">
        <v>4.3E-3</v>
      </c>
      <c r="C415">
        <v>2.63E-2</v>
      </c>
      <c r="D415">
        <v>-2.7300000000000001E-2</v>
      </c>
      <c r="E415">
        <v>5.4800000000000001E-2</v>
      </c>
      <c r="H415" s="7"/>
      <c r="I415" s="7"/>
    </row>
    <row r="416" spans="1:9" x14ac:dyDescent="0.25">
      <c r="A416">
        <v>200907</v>
      </c>
      <c r="B416">
        <v>7.7199999999999991E-2</v>
      </c>
      <c r="C416">
        <v>1.8700000000000001E-2</v>
      </c>
      <c r="D416">
        <v>4.8300000000000003E-2</v>
      </c>
      <c r="E416">
        <v>-5.5500000000000001E-2</v>
      </c>
      <c r="H416" s="7"/>
      <c r="I416" s="7"/>
    </row>
    <row r="417" spans="1:9" x14ac:dyDescent="0.25">
      <c r="A417">
        <v>200908</v>
      </c>
      <c r="B417">
        <v>3.3300000000000003E-2</v>
      </c>
      <c r="C417">
        <v>-1.0800000000000001E-2</v>
      </c>
      <c r="D417">
        <v>7.6299999999999993E-2</v>
      </c>
      <c r="E417">
        <v>-9.0700000000000003E-2</v>
      </c>
      <c r="H417" s="7"/>
      <c r="I417" s="7"/>
    </row>
    <row r="418" spans="1:9" x14ac:dyDescent="0.25">
      <c r="A418">
        <v>200909</v>
      </c>
      <c r="B418">
        <v>4.0800000000000003E-2</v>
      </c>
      <c r="C418">
        <v>2.4300000000000002E-2</v>
      </c>
      <c r="D418">
        <v>1.04E-2</v>
      </c>
      <c r="E418">
        <v>-4.7899999999999998E-2</v>
      </c>
      <c r="H418" s="7"/>
      <c r="I418" s="7"/>
    </row>
    <row r="419" spans="1:9" x14ac:dyDescent="0.25">
      <c r="A419">
        <v>200910</v>
      </c>
      <c r="B419">
        <v>-2.5899999999999999E-2</v>
      </c>
      <c r="C419">
        <v>-4.3499999999999997E-2</v>
      </c>
      <c r="D419">
        <v>-4.2099999999999999E-2</v>
      </c>
      <c r="E419">
        <v>2.6099999999999998E-2</v>
      </c>
      <c r="H419" s="7"/>
      <c r="I419" s="7"/>
    </row>
    <row r="420" spans="1:9" x14ac:dyDescent="0.25">
      <c r="A420">
        <v>200911</v>
      </c>
      <c r="B420">
        <v>5.5599999999999997E-2</v>
      </c>
      <c r="C420">
        <v>-2.4E-2</v>
      </c>
      <c r="D420">
        <v>-3.4000000000000002E-3</v>
      </c>
      <c r="E420">
        <v>3.0000000000000001E-3</v>
      </c>
      <c r="H420" s="7"/>
      <c r="I420" s="7"/>
    </row>
    <row r="421" spans="1:9" x14ac:dyDescent="0.25">
      <c r="A421">
        <v>200912</v>
      </c>
      <c r="B421">
        <v>2.75E-2</v>
      </c>
      <c r="C421">
        <v>6.0499999999999998E-2</v>
      </c>
      <c r="D421">
        <v>-1.6000000000000001E-3</v>
      </c>
      <c r="E421">
        <v>3.0099999999999998E-2</v>
      </c>
      <c r="H421" s="7"/>
      <c r="I421" s="7"/>
    </row>
    <row r="422" spans="1:9" x14ac:dyDescent="0.25">
      <c r="A422">
        <v>201001</v>
      </c>
      <c r="B422">
        <v>-3.3599999999999998E-2</v>
      </c>
      <c r="C422">
        <v>4.0000000000000001E-3</v>
      </c>
      <c r="D422">
        <v>4.3E-3</v>
      </c>
      <c r="E422">
        <v>-5.4000000000000006E-2</v>
      </c>
      <c r="H422" s="7"/>
      <c r="I422" s="7"/>
    </row>
    <row r="423" spans="1:9" x14ac:dyDescent="0.25">
      <c r="A423">
        <v>201002</v>
      </c>
      <c r="B423">
        <v>3.4000000000000002E-2</v>
      </c>
      <c r="C423">
        <v>1.1899999999999999E-2</v>
      </c>
      <c r="D423">
        <v>3.2199999999999999E-2</v>
      </c>
      <c r="E423">
        <v>3.7400000000000003E-2</v>
      </c>
      <c r="H423" s="7"/>
      <c r="I423" s="7"/>
    </row>
    <row r="424" spans="1:9" x14ac:dyDescent="0.25">
      <c r="A424">
        <v>201003</v>
      </c>
      <c r="B424">
        <v>6.3099999999999989E-2</v>
      </c>
      <c r="C424">
        <v>1.4800000000000001E-2</v>
      </c>
      <c r="D424">
        <v>2.2099999999999998E-2</v>
      </c>
      <c r="E424">
        <v>3.7599999999999995E-2</v>
      </c>
      <c r="H424" s="7"/>
      <c r="I424" s="7"/>
    </row>
    <row r="425" spans="1:9" x14ac:dyDescent="0.25">
      <c r="A425">
        <v>201004</v>
      </c>
      <c r="B425">
        <v>0.02</v>
      </c>
      <c r="C425">
        <v>4.87E-2</v>
      </c>
      <c r="D425">
        <v>2.8900000000000002E-2</v>
      </c>
      <c r="E425">
        <v>3.1600000000000003E-2</v>
      </c>
      <c r="H425" s="7"/>
      <c r="I425" s="7"/>
    </row>
    <row r="426" spans="1:9" x14ac:dyDescent="0.25">
      <c r="A426">
        <v>201005</v>
      </c>
      <c r="B426">
        <v>-7.8899999999999998E-2</v>
      </c>
      <c r="C426">
        <v>8.9999999999999998E-4</v>
      </c>
      <c r="D426">
        <v>-2.4399999999999998E-2</v>
      </c>
      <c r="E426">
        <v>-2.5000000000000001E-3</v>
      </c>
      <c r="H426" s="7"/>
      <c r="I426" s="7"/>
    </row>
    <row r="427" spans="1:9" x14ac:dyDescent="0.25">
      <c r="A427">
        <v>201006</v>
      </c>
      <c r="B427">
        <v>-5.57E-2</v>
      </c>
      <c r="C427">
        <v>-1.8100000000000002E-2</v>
      </c>
      <c r="D427">
        <v>-4.7E-2</v>
      </c>
      <c r="E427">
        <v>-2.76E-2</v>
      </c>
      <c r="H427" s="7"/>
      <c r="I427" s="7"/>
    </row>
    <row r="428" spans="1:9" x14ac:dyDescent="0.25">
      <c r="A428">
        <v>201007</v>
      </c>
      <c r="B428">
        <v>6.93E-2</v>
      </c>
      <c r="C428">
        <v>2E-3</v>
      </c>
      <c r="D428">
        <v>-3.0999999999999999E-3</v>
      </c>
      <c r="E428">
        <v>1.8799999999999997E-2</v>
      </c>
      <c r="H428" s="7"/>
      <c r="I428" s="7"/>
    </row>
    <row r="429" spans="1:9" x14ac:dyDescent="0.25">
      <c r="A429">
        <v>201008</v>
      </c>
      <c r="B429">
        <v>-4.7699999999999992E-2</v>
      </c>
      <c r="C429">
        <v>-0.03</v>
      </c>
      <c r="D429">
        <v>-1.9E-2</v>
      </c>
      <c r="E429">
        <v>-5.9999999999999995E-4</v>
      </c>
      <c r="H429" s="7"/>
      <c r="I429" s="7"/>
    </row>
    <row r="430" spans="1:9" x14ac:dyDescent="0.25">
      <c r="A430">
        <v>201009</v>
      </c>
      <c r="B430">
        <v>9.5399999999999985E-2</v>
      </c>
      <c r="C430">
        <v>3.9599999999999996E-2</v>
      </c>
      <c r="D430">
        <v>-3.1600000000000003E-2</v>
      </c>
      <c r="E430">
        <v>1.41E-2</v>
      </c>
      <c r="H430" s="7"/>
      <c r="I430" s="7"/>
    </row>
    <row r="431" spans="1:9" x14ac:dyDescent="0.25">
      <c r="A431">
        <v>201010</v>
      </c>
      <c r="B431">
        <v>3.8800000000000001E-2</v>
      </c>
      <c r="C431">
        <v>1.1299999999999999E-2</v>
      </c>
      <c r="D431">
        <v>-2.4199999999999999E-2</v>
      </c>
      <c r="E431">
        <v>1.5800000000000002E-2</v>
      </c>
      <c r="H431" s="7"/>
      <c r="I431" s="7"/>
    </row>
    <row r="432" spans="1:9" x14ac:dyDescent="0.25">
      <c r="A432">
        <v>201011</v>
      </c>
      <c r="B432">
        <v>6.0000000000000001E-3</v>
      </c>
      <c r="C432">
        <v>3.7599999999999995E-2</v>
      </c>
      <c r="D432">
        <v>-9.5999999999999992E-3</v>
      </c>
      <c r="E432">
        <v>2.6600000000000002E-2</v>
      </c>
      <c r="H432" s="7"/>
      <c r="I432" s="7"/>
    </row>
    <row r="433" spans="1:9" x14ac:dyDescent="0.25">
      <c r="A433">
        <v>201012</v>
      </c>
      <c r="B433">
        <v>6.8199999999999997E-2</v>
      </c>
      <c r="C433">
        <v>7.3000000000000001E-3</v>
      </c>
      <c r="D433">
        <v>3.6900000000000002E-2</v>
      </c>
      <c r="E433">
        <v>-3.0299999999999997E-2</v>
      </c>
      <c r="H433" s="7"/>
      <c r="I433" s="7"/>
    </row>
    <row r="434" spans="1:9" x14ac:dyDescent="0.25">
      <c r="A434">
        <v>201101</v>
      </c>
      <c r="B434">
        <v>1.9900000000000001E-2</v>
      </c>
      <c r="C434">
        <v>-2.5000000000000001E-2</v>
      </c>
      <c r="D434">
        <v>8.199999999999999E-3</v>
      </c>
      <c r="E434">
        <v>-2.8999999999999998E-3</v>
      </c>
      <c r="H434" s="7"/>
      <c r="I434" s="7"/>
    </row>
    <row r="435" spans="1:9" x14ac:dyDescent="0.25">
      <c r="A435">
        <v>201102</v>
      </c>
      <c r="B435">
        <v>3.49E-2</v>
      </c>
      <c r="C435">
        <v>1.5300000000000001E-2</v>
      </c>
      <c r="D435">
        <v>1.2699999999999999E-2</v>
      </c>
      <c r="E435">
        <v>1.9900000000000001E-2</v>
      </c>
      <c r="H435" s="7"/>
      <c r="I435" s="7"/>
    </row>
    <row r="436" spans="1:9" x14ac:dyDescent="0.25">
      <c r="A436">
        <v>201103</v>
      </c>
      <c r="B436">
        <v>4.5999999999999999E-3</v>
      </c>
      <c r="C436">
        <v>2.5399999999999999E-2</v>
      </c>
      <c r="D436">
        <v>-1.83E-2</v>
      </c>
      <c r="E436">
        <v>3.4000000000000002E-2</v>
      </c>
      <c r="H436" s="7"/>
      <c r="I436" s="7"/>
    </row>
    <row r="437" spans="1:9" x14ac:dyDescent="0.25">
      <c r="A437">
        <v>201104</v>
      </c>
      <c r="B437">
        <v>2.8999999999999998E-2</v>
      </c>
      <c r="C437">
        <v>-3.8E-3</v>
      </c>
      <c r="D437">
        <v>-2.4300000000000002E-2</v>
      </c>
      <c r="E437">
        <v>4.0000000000000002E-4</v>
      </c>
      <c r="H437" s="7"/>
      <c r="I437" s="7"/>
    </row>
    <row r="438" spans="1:9" x14ac:dyDescent="0.25">
      <c r="A438">
        <v>201105</v>
      </c>
      <c r="B438">
        <v>-1.2699999999999999E-2</v>
      </c>
      <c r="C438">
        <v>-5.8999999999999999E-3</v>
      </c>
      <c r="D438">
        <v>-2.12E-2</v>
      </c>
      <c r="E438">
        <v>-6.1999999999999998E-3</v>
      </c>
      <c r="H438" s="7"/>
      <c r="I438" s="7"/>
    </row>
    <row r="439" spans="1:9" x14ac:dyDescent="0.25">
      <c r="A439">
        <v>201106</v>
      </c>
      <c r="B439">
        <v>-1.7500000000000002E-2</v>
      </c>
      <c r="C439">
        <v>-1.1999999999999999E-3</v>
      </c>
      <c r="D439">
        <v>-4.1999999999999997E-3</v>
      </c>
      <c r="E439">
        <v>1.78E-2</v>
      </c>
      <c r="H439" s="7"/>
      <c r="I439" s="7"/>
    </row>
    <row r="440" spans="1:9" x14ac:dyDescent="0.25">
      <c r="A440">
        <v>201107</v>
      </c>
      <c r="B440">
        <v>-2.35E-2</v>
      </c>
      <c r="C440">
        <v>-1.2699999999999999E-2</v>
      </c>
      <c r="D440">
        <v>-8.8999999999999999E-3</v>
      </c>
      <c r="E440">
        <v>1.8E-3</v>
      </c>
      <c r="H440" s="7"/>
      <c r="I440" s="7"/>
    </row>
    <row r="441" spans="1:9" x14ac:dyDescent="0.25">
      <c r="A441">
        <v>201108</v>
      </c>
      <c r="B441">
        <v>-5.9900000000000002E-2</v>
      </c>
      <c r="C441">
        <v>-3.0499999999999999E-2</v>
      </c>
      <c r="D441">
        <v>-2.3599999999999999E-2</v>
      </c>
      <c r="E441">
        <v>-2.8000000000000004E-3</v>
      </c>
      <c r="H441" s="7"/>
      <c r="I441" s="7"/>
    </row>
    <row r="442" spans="1:9" x14ac:dyDescent="0.25">
      <c r="A442">
        <v>201109</v>
      </c>
      <c r="B442">
        <v>-7.5899999999999995E-2</v>
      </c>
      <c r="C442">
        <v>-3.3099999999999997E-2</v>
      </c>
      <c r="D442">
        <v>-1.7299999999999999E-2</v>
      </c>
      <c r="E442">
        <v>-2.4199999999999999E-2</v>
      </c>
      <c r="H442" s="7"/>
      <c r="I442" s="7"/>
    </row>
    <row r="443" spans="1:9" x14ac:dyDescent="0.25">
      <c r="A443">
        <v>201110</v>
      </c>
      <c r="B443">
        <v>0.11349999999999999</v>
      </c>
      <c r="C443">
        <v>3.2799999999999996E-2</v>
      </c>
      <c r="D443">
        <v>1.1000000000000001E-3</v>
      </c>
      <c r="E443">
        <v>-1.43E-2</v>
      </c>
      <c r="H443" s="7"/>
      <c r="I443" s="7"/>
    </row>
    <row r="444" spans="1:9" x14ac:dyDescent="0.25">
      <c r="A444">
        <v>201111</v>
      </c>
      <c r="B444">
        <v>-2.8000000000000004E-3</v>
      </c>
      <c r="C444">
        <v>-1.6000000000000001E-3</v>
      </c>
      <c r="D444">
        <v>-4.5000000000000005E-3</v>
      </c>
      <c r="E444">
        <v>3.8399999999999997E-2</v>
      </c>
      <c r="H444" s="7"/>
      <c r="I444" s="7"/>
    </row>
    <row r="445" spans="1:9" x14ac:dyDescent="0.25">
      <c r="A445">
        <v>201112</v>
      </c>
      <c r="B445">
        <v>7.4000000000000003E-3</v>
      </c>
      <c r="C445">
        <v>-5.8999999999999999E-3</v>
      </c>
      <c r="D445">
        <v>1.6299999999999999E-2</v>
      </c>
      <c r="E445">
        <v>1.8100000000000002E-2</v>
      </c>
      <c r="H445" s="7"/>
      <c r="I445" s="7"/>
    </row>
    <row r="446" spans="1:9" x14ac:dyDescent="0.25">
      <c r="A446">
        <v>201201</v>
      </c>
      <c r="B446">
        <v>5.0499999999999996E-2</v>
      </c>
      <c r="C446">
        <v>2.0400000000000001E-2</v>
      </c>
      <c r="D446">
        <v>-9.7000000000000003E-3</v>
      </c>
      <c r="E446">
        <v>-7.9100000000000004E-2</v>
      </c>
      <c r="H446" s="7"/>
      <c r="I446" s="7"/>
    </row>
    <row r="447" spans="1:9" x14ac:dyDescent="0.25">
      <c r="A447">
        <v>201202</v>
      </c>
      <c r="B447">
        <v>4.4199999999999996E-2</v>
      </c>
      <c r="C447">
        <v>-1.8500000000000003E-2</v>
      </c>
      <c r="D447">
        <v>4.3E-3</v>
      </c>
      <c r="E447">
        <v>-2.8999999999999998E-3</v>
      </c>
      <c r="H447" s="7"/>
      <c r="I447" s="7"/>
    </row>
    <row r="448" spans="1:9" x14ac:dyDescent="0.25">
      <c r="A448">
        <v>201203</v>
      </c>
      <c r="B448">
        <v>3.1099999999999999E-2</v>
      </c>
      <c r="C448">
        <v>-6.4000000000000003E-3</v>
      </c>
      <c r="D448">
        <v>1.1399999999999999E-2</v>
      </c>
      <c r="E448">
        <v>1.3000000000000001E-2</v>
      </c>
      <c r="H448" s="7"/>
      <c r="I448" s="7"/>
    </row>
    <row r="449" spans="1:9" x14ac:dyDescent="0.25">
      <c r="A449">
        <v>201204</v>
      </c>
      <c r="B449">
        <v>-8.5000000000000006E-3</v>
      </c>
      <c r="C449">
        <v>-4.1999999999999997E-3</v>
      </c>
      <c r="D449">
        <v>-7.8000000000000005E-3</v>
      </c>
      <c r="E449">
        <v>3.7499999999999999E-2</v>
      </c>
      <c r="H449" s="7"/>
      <c r="I449" s="7"/>
    </row>
    <row r="450" spans="1:9" x14ac:dyDescent="0.25">
      <c r="A450">
        <v>201205</v>
      </c>
      <c r="B450">
        <v>-6.1900000000000004E-2</v>
      </c>
      <c r="C450">
        <v>7.000000000000001E-4</v>
      </c>
      <c r="D450">
        <v>-1.0700000000000001E-2</v>
      </c>
      <c r="E450">
        <v>6.4899999999999999E-2</v>
      </c>
      <c r="H450" s="7"/>
      <c r="I450" s="7"/>
    </row>
    <row r="451" spans="1:9" x14ac:dyDescent="0.25">
      <c r="A451">
        <v>201206</v>
      </c>
      <c r="B451">
        <v>3.8900000000000004E-2</v>
      </c>
      <c r="C451">
        <v>6.7000000000000002E-3</v>
      </c>
      <c r="D451">
        <v>6.1999999999999998E-3</v>
      </c>
      <c r="E451">
        <v>-1.06E-2</v>
      </c>
      <c r="H451" s="7"/>
      <c r="I451" s="7"/>
    </row>
    <row r="452" spans="1:9" x14ac:dyDescent="0.25">
      <c r="A452">
        <v>201207</v>
      </c>
      <c r="B452">
        <v>7.9000000000000008E-3</v>
      </c>
      <c r="C452">
        <v>-2.75E-2</v>
      </c>
      <c r="D452">
        <v>-2.0000000000000001E-4</v>
      </c>
      <c r="E452">
        <v>3.04E-2</v>
      </c>
      <c r="H452" s="7"/>
      <c r="I452" s="7"/>
    </row>
    <row r="453" spans="1:9" x14ac:dyDescent="0.25">
      <c r="A453">
        <v>201208</v>
      </c>
      <c r="B453">
        <v>2.5499999999999998E-2</v>
      </c>
      <c r="C453">
        <v>4.6999999999999993E-3</v>
      </c>
      <c r="D453">
        <v>1.3000000000000001E-2</v>
      </c>
      <c r="E453">
        <v>-2.3700000000000002E-2</v>
      </c>
      <c r="H453" s="7"/>
      <c r="I453" s="7"/>
    </row>
    <row r="454" spans="1:9" x14ac:dyDescent="0.25">
      <c r="A454">
        <v>201209</v>
      </c>
      <c r="B454">
        <v>2.7300000000000001E-2</v>
      </c>
      <c r="C454">
        <v>5.1000000000000004E-3</v>
      </c>
      <c r="D454">
        <v>1.6E-2</v>
      </c>
      <c r="E454">
        <v>-1.1399999999999999E-2</v>
      </c>
      <c r="H454" s="7"/>
      <c r="I454" s="7"/>
    </row>
    <row r="455" spans="1:9" x14ac:dyDescent="0.25">
      <c r="A455">
        <v>201210</v>
      </c>
      <c r="B455">
        <v>-1.7600000000000001E-2</v>
      </c>
      <c r="C455">
        <v>-1.15E-2</v>
      </c>
      <c r="D455">
        <v>3.5900000000000001E-2</v>
      </c>
      <c r="E455">
        <v>1.4000000000000002E-3</v>
      </c>
      <c r="H455" s="7"/>
      <c r="I455" s="7"/>
    </row>
    <row r="456" spans="1:9" x14ac:dyDescent="0.25">
      <c r="A456">
        <v>201211</v>
      </c>
      <c r="B456">
        <v>7.8000000000000005E-3</v>
      </c>
      <c r="C456">
        <v>6.3E-3</v>
      </c>
      <c r="D456">
        <v>-8.3999999999999995E-3</v>
      </c>
      <c r="E456">
        <v>4.8999999999999998E-3</v>
      </c>
      <c r="H456" s="7"/>
      <c r="I456" s="7"/>
    </row>
    <row r="457" spans="1:9" x14ac:dyDescent="0.25">
      <c r="A457">
        <v>201212</v>
      </c>
      <c r="B457">
        <v>1.18E-2</v>
      </c>
      <c r="C457">
        <v>1.4800000000000001E-2</v>
      </c>
      <c r="D457">
        <v>3.5099999999999999E-2</v>
      </c>
      <c r="E457">
        <v>-2.86E-2</v>
      </c>
      <c r="H457" s="7"/>
      <c r="I457" s="7"/>
    </row>
    <row r="458" spans="1:9" x14ac:dyDescent="0.25">
      <c r="A458">
        <v>201301</v>
      </c>
      <c r="B458">
        <v>5.57E-2</v>
      </c>
      <c r="C458">
        <v>3.4000000000000002E-3</v>
      </c>
      <c r="D458">
        <v>9.5999999999999992E-3</v>
      </c>
      <c r="E458">
        <v>-1.7899999999999999E-2</v>
      </c>
      <c r="H458" s="7"/>
      <c r="I458" s="7"/>
    </row>
    <row r="459" spans="1:9" x14ac:dyDescent="0.25">
      <c r="A459">
        <v>201302</v>
      </c>
      <c r="B459">
        <v>1.29E-2</v>
      </c>
      <c r="C459">
        <v>-2.7000000000000001E-3</v>
      </c>
      <c r="D459">
        <v>1.1000000000000001E-3</v>
      </c>
      <c r="E459">
        <v>1.29E-2</v>
      </c>
      <c r="H459" s="7"/>
      <c r="I459" s="7"/>
    </row>
    <row r="460" spans="1:9" x14ac:dyDescent="0.25">
      <c r="A460">
        <v>201303</v>
      </c>
      <c r="B460">
        <v>4.0300000000000002E-2</v>
      </c>
      <c r="C460">
        <v>8.1000000000000013E-3</v>
      </c>
      <c r="D460">
        <v>-1.9E-3</v>
      </c>
      <c r="E460">
        <v>1.9199999999999998E-2</v>
      </c>
      <c r="H460" s="7"/>
      <c r="I460" s="7"/>
    </row>
    <row r="461" spans="1:9" x14ac:dyDescent="0.25">
      <c r="A461">
        <v>201304</v>
      </c>
      <c r="B461">
        <v>1.55E-2</v>
      </c>
      <c r="C461">
        <v>-2.3700000000000002E-2</v>
      </c>
      <c r="D461">
        <v>4.5000000000000005E-3</v>
      </c>
      <c r="E461">
        <v>2.2000000000000001E-3</v>
      </c>
      <c r="H461" s="7"/>
      <c r="I461" s="7"/>
    </row>
    <row r="462" spans="1:9" x14ac:dyDescent="0.25">
      <c r="A462">
        <v>201305</v>
      </c>
      <c r="B462">
        <v>2.7999999999999997E-2</v>
      </c>
      <c r="C462">
        <v>1.7100000000000001E-2</v>
      </c>
      <c r="D462">
        <v>2.63E-2</v>
      </c>
      <c r="E462">
        <v>-2.0199999999999999E-2</v>
      </c>
      <c r="H462" s="7"/>
      <c r="I462" s="7"/>
    </row>
    <row r="463" spans="1:9" x14ac:dyDescent="0.25">
      <c r="A463">
        <v>201306</v>
      </c>
      <c r="B463">
        <v>-1.2E-2</v>
      </c>
      <c r="C463">
        <v>1.3300000000000001E-2</v>
      </c>
      <c r="D463">
        <v>2.9999999999999997E-4</v>
      </c>
      <c r="E463">
        <v>5.1999999999999998E-3</v>
      </c>
      <c r="H463" s="7"/>
      <c r="I463" s="7"/>
    </row>
    <row r="464" spans="1:9" x14ac:dyDescent="0.25">
      <c r="A464">
        <v>201307</v>
      </c>
      <c r="B464">
        <v>5.6500000000000002E-2</v>
      </c>
      <c r="C464">
        <v>1.8700000000000001E-2</v>
      </c>
      <c r="D464">
        <v>5.6999999999999993E-3</v>
      </c>
      <c r="E464">
        <v>1.7600000000000001E-2</v>
      </c>
      <c r="H464" s="7"/>
      <c r="I464" s="7"/>
    </row>
    <row r="465" spans="1:9" x14ac:dyDescent="0.25">
      <c r="A465">
        <v>201308</v>
      </c>
      <c r="B465">
        <v>-2.7099999999999999E-2</v>
      </c>
      <c r="C465">
        <v>2.7000000000000001E-3</v>
      </c>
      <c r="D465">
        <v>-2.69E-2</v>
      </c>
      <c r="E465">
        <v>2.0000000000000001E-4</v>
      </c>
      <c r="H465" s="7"/>
      <c r="I465" s="7"/>
    </row>
    <row r="466" spans="1:9" x14ac:dyDescent="0.25">
      <c r="A466">
        <v>201309</v>
      </c>
      <c r="B466">
        <v>3.7699999999999997E-2</v>
      </c>
      <c r="C466">
        <v>2.87E-2</v>
      </c>
      <c r="D466">
        <v>-1.2199999999999999E-2</v>
      </c>
      <c r="E466">
        <v>3.0600000000000002E-2</v>
      </c>
      <c r="H466" s="7"/>
      <c r="I466" s="7"/>
    </row>
    <row r="467" spans="1:9" x14ac:dyDescent="0.25">
      <c r="A467">
        <v>201310</v>
      </c>
      <c r="B467">
        <v>4.1799999999999997E-2</v>
      </c>
      <c r="C467">
        <v>-1.52E-2</v>
      </c>
      <c r="D467">
        <v>1.2500000000000001E-2</v>
      </c>
      <c r="E467">
        <v>8.0000000000000004E-4</v>
      </c>
      <c r="H467" s="7"/>
      <c r="I467" s="7"/>
    </row>
    <row r="468" spans="1:9" x14ac:dyDescent="0.25">
      <c r="A468">
        <v>201311</v>
      </c>
      <c r="B468">
        <v>3.1300000000000001E-2</v>
      </c>
      <c r="C468">
        <v>1.29E-2</v>
      </c>
      <c r="D468">
        <v>3.2000000000000002E-3</v>
      </c>
      <c r="E468">
        <v>4.4000000000000003E-3</v>
      </c>
      <c r="H468" s="7"/>
      <c r="I468" s="7"/>
    </row>
    <row r="469" spans="1:9" x14ac:dyDescent="0.25">
      <c r="A469">
        <v>201312</v>
      </c>
      <c r="B469">
        <v>2.81E-2</v>
      </c>
      <c r="C469">
        <v>-4.6999999999999993E-3</v>
      </c>
      <c r="D469">
        <v>-2.0000000000000001E-4</v>
      </c>
      <c r="E469">
        <v>2.0000000000000001E-4</v>
      </c>
      <c r="H469" s="7"/>
      <c r="I469" s="7"/>
    </row>
    <row r="470" spans="1:9" x14ac:dyDescent="0.25">
      <c r="A470">
        <v>201401</v>
      </c>
      <c r="B470">
        <v>-3.32E-2</v>
      </c>
      <c r="C470">
        <v>8.8999999999999999E-3</v>
      </c>
      <c r="D470">
        <v>-2.07E-2</v>
      </c>
      <c r="E470">
        <v>1.7100000000000001E-2</v>
      </c>
      <c r="H470" s="7"/>
      <c r="I470" s="7"/>
    </row>
    <row r="471" spans="1:9" x14ac:dyDescent="0.25">
      <c r="A471">
        <v>201402</v>
      </c>
      <c r="B471">
        <v>4.6500000000000007E-2</v>
      </c>
      <c r="C471">
        <v>3.4000000000000002E-3</v>
      </c>
      <c r="D471">
        <v>-3.0999999999999999E-3</v>
      </c>
      <c r="E471">
        <v>2.07E-2</v>
      </c>
      <c r="H471" s="7"/>
      <c r="I471" s="7"/>
    </row>
    <row r="472" spans="1:9" x14ac:dyDescent="0.25">
      <c r="A472">
        <v>201403</v>
      </c>
      <c r="B472">
        <v>4.3E-3</v>
      </c>
      <c r="C472">
        <v>-1.8100000000000002E-2</v>
      </c>
      <c r="D472">
        <v>4.9299999999999997E-2</v>
      </c>
      <c r="E472">
        <v>-3.2899999999999999E-2</v>
      </c>
      <c r="H472" s="7"/>
      <c r="I472" s="7"/>
    </row>
    <row r="473" spans="1:9" x14ac:dyDescent="0.25">
      <c r="A473">
        <v>201404</v>
      </c>
      <c r="B473">
        <v>-1.9E-3</v>
      </c>
      <c r="C473">
        <v>-4.1799999999999997E-2</v>
      </c>
      <c r="D473">
        <v>1.1699999999999999E-2</v>
      </c>
      <c r="E473">
        <v>-3.8900000000000004E-2</v>
      </c>
      <c r="H473" s="7"/>
      <c r="I473" s="7"/>
    </row>
    <row r="474" spans="1:9" x14ac:dyDescent="0.25">
      <c r="A474">
        <v>201405</v>
      </c>
      <c r="B474">
        <v>2.06E-2</v>
      </c>
      <c r="C474">
        <v>-1.8799999999999997E-2</v>
      </c>
      <c r="D474">
        <v>-1.2999999999999999E-3</v>
      </c>
      <c r="E474">
        <v>8.6999999999999994E-3</v>
      </c>
      <c r="H474" s="7"/>
      <c r="I474" s="7"/>
    </row>
    <row r="475" spans="1:9" x14ac:dyDescent="0.25">
      <c r="A475">
        <v>201406</v>
      </c>
      <c r="B475">
        <v>2.6099999999999998E-2</v>
      </c>
      <c r="C475">
        <v>3.0899999999999997E-2</v>
      </c>
      <c r="D475">
        <v>-6.9999999999999993E-3</v>
      </c>
      <c r="E475">
        <v>6.8999999999999999E-3</v>
      </c>
      <c r="H475" s="7"/>
      <c r="I475" s="7"/>
    </row>
    <row r="476" spans="1:9" x14ac:dyDescent="0.25">
      <c r="A476">
        <v>201407</v>
      </c>
      <c r="B476">
        <v>-2.0400000000000001E-2</v>
      </c>
      <c r="C476">
        <v>-4.2999999999999997E-2</v>
      </c>
      <c r="D476">
        <v>4.0000000000000002E-4</v>
      </c>
      <c r="E476">
        <v>-1.1999999999999999E-3</v>
      </c>
      <c r="H476" s="7"/>
      <c r="I476" s="7"/>
    </row>
    <row r="477" spans="1:9" x14ac:dyDescent="0.25">
      <c r="A477">
        <v>201408</v>
      </c>
      <c r="B477">
        <v>4.24E-2</v>
      </c>
      <c r="C477">
        <v>4.0000000000000001E-3</v>
      </c>
      <c r="D477">
        <v>-4.5000000000000005E-3</v>
      </c>
      <c r="E477">
        <v>8.199999999999999E-3</v>
      </c>
      <c r="H477" s="7"/>
      <c r="I477" s="7"/>
    </row>
    <row r="478" spans="1:9" x14ac:dyDescent="0.25">
      <c r="A478">
        <v>201409</v>
      </c>
      <c r="B478">
        <v>-1.9699999999999999E-2</v>
      </c>
      <c r="C478">
        <v>-3.7000000000000005E-2</v>
      </c>
      <c r="D478">
        <v>-1.3500000000000002E-2</v>
      </c>
      <c r="E478">
        <v>5.0000000000000001E-3</v>
      </c>
      <c r="H478" s="7"/>
      <c r="I478" s="7"/>
    </row>
    <row r="479" spans="1:9" x14ac:dyDescent="0.25">
      <c r="A479">
        <v>201410</v>
      </c>
      <c r="B479">
        <v>2.52E-2</v>
      </c>
      <c r="C479">
        <v>4.2000000000000003E-2</v>
      </c>
      <c r="D479">
        <v>-1.8000000000000002E-2</v>
      </c>
      <c r="E479">
        <v>-5.9999999999999995E-4</v>
      </c>
      <c r="H479" s="7"/>
      <c r="I479" s="7"/>
    </row>
    <row r="480" spans="1:9" x14ac:dyDescent="0.25">
      <c r="A480">
        <v>201411</v>
      </c>
      <c r="B480">
        <v>2.5499999999999998E-2</v>
      </c>
      <c r="C480">
        <v>-2.06E-2</v>
      </c>
      <c r="D480">
        <v>-3.1E-2</v>
      </c>
      <c r="E480">
        <v>6.8000000000000005E-3</v>
      </c>
      <c r="H480" s="7"/>
      <c r="I480" s="7"/>
    </row>
    <row r="481" spans="1:9" x14ac:dyDescent="0.25">
      <c r="A481">
        <v>201412</v>
      </c>
      <c r="B481">
        <v>-5.9999999999999995E-4</v>
      </c>
      <c r="C481">
        <v>2.4900000000000002E-2</v>
      </c>
      <c r="D481">
        <v>2.2700000000000001E-2</v>
      </c>
      <c r="E481">
        <v>1.1200000000000002E-2</v>
      </c>
      <c r="H481" s="7"/>
      <c r="I481" s="7"/>
    </row>
    <row r="482" spans="1:9" x14ac:dyDescent="0.25">
      <c r="A482">
        <v>201501</v>
      </c>
      <c r="B482">
        <v>-3.1099999999999999E-2</v>
      </c>
      <c r="C482">
        <v>-5.6000000000000008E-3</v>
      </c>
      <c r="D482">
        <v>-3.5900000000000001E-2</v>
      </c>
      <c r="E482">
        <v>3.8399999999999997E-2</v>
      </c>
    </row>
    <row r="483" spans="1:9" x14ac:dyDescent="0.25">
      <c r="A483">
        <v>201502</v>
      </c>
      <c r="B483">
        <v>6.13E-2</v>
      </c>
      <c r="C483">
        <v>6.3E-3</v>
      </c>
      <c r="D483">
        <v>-1.8600000000000002E-2</v>
      </c>
      <c r="E483">
        <v>-2.8199999999999999E-2</v>
      </c>
    </row>
    <row r="484" spans="1:9" x14ac:dyDescent="0.25">
      <c r="A484">
        <v>201503</v>
      </c>
      <c r="B484">
        <v>-1.1200000000000002E-2</v>
      </c>
      <c r="C484">
        <v>3.04E-2</v>
      </c>
      <c r="D484">
        <v>-3.8E-3</v>
      </c>
      <c r="E484">
        <v>2.7400000000000001E-2</v>
      </c>
    </row>
    <row r="485" spans="1:9" x14ac:dyDescent="0.25">
      <c r="A485">
        <v>201504</v>
      </c>
      <c r="B485">
        <v>5.8999999999999999E-3</v>
      </c>
      <c r="C485">
        <v>-3.0600000000000002E-2</v>
      </c>
      <c r="D485">
        <v>1.8200000000000001E-2</v>
      </c>
      <c r="E485">
        <v>-7.2700000000000001E-2</v>
      </c>
    </row>
    <row r="486" spans="1:9" x14ac:dyDescent="0.25">
      <c r="A486">
        <v>201505</v>
      </c>
      <c r="B486">
        <v>1.3600000000000001E-2</v>
      </c>
      <c r="C486">
        <v>9.3999999999999986E-3</v>
      </c>
      <c r="D486">
        <v>-1.15E-2</v>
      </c>
      <c r="E486">
        <v>5.8200000000000002E-2</v>
      </c>
    </row>
    <row r="487" spans="1:9" x14ac:dyDescent="0.25">
      <c r="A487">
        <v>201506</v>
      </c>
      <c r="B487">
        <v>-1.5300000000000001E-2</v>
      </c>
      <c r="C487">
        <v>2.9100000000000001E-2</v>
      </c>
      <c r="D487">
        <v>-7.9000000000000008E-3</v>
      </c>
      <c r="E487">
        <v>3.0099999999999998E-2</v>
      </c>
    </row>
    <row r="488" spans="1:9" x14ac:dyDescent="0.25">
      <c r="A488">
        <v>201507</v>
      </c>
      <c r="B488">
        <v>1.54E-2</v>
      </c>
      <c r="C488">
        <v>-4.1700000000000001E-2</v>
      </c>
      <c r="D488">
        <v>-4.1299999999999996E-2</v>
      </c>
      <c r="E488">
        <v>9.98E-2</v>
      </c>
    </row>
    <row r="489" spans="1:9" x14ac:dyDescent="0.25">
      <c r="A489">
        <v>201508</v>
      </c>
      <c r="B489">
        <v>-6.0400000000000002E-2</v>
      </c>
      <c r="C489">
        <v>3.3E-3</v>
      </c>
      <c r="D489">
        <v>2.7699999999999999E-2</v>
      </c>
      <c r="E489">
        <v>-2.0899999999999998E-2</v>
      </c>
    </row>
    <row r="490" spans="1:9" x14ac:dyDescent="0.25">
      <c r="A490">
        <v>201509</v>
      </c>
      <c r="B490">
        <v>-3.0699999999999998E-2</v>
      </c>
      <c r="C490">
        <v>-2.6200000000000001E-2</v>
      </c>
      <c r="D490">
        <v>5.6000000000000008E-3</v>
      </c>
      <c r="E490">
        <v>5.2199999999999996E-2</v>
      </c>
    </row>
    <row r="491" spans="1:9" x14ac:dyDescent="0.25">
      <c r="A491">
        <v>201510</v>
      </c>
      <c r="B491">
        <v>7.7499999999999999E-2</v>
      </c>
      <c r="C491">
        <v>-1.89E-2</v>
      </c>
      <c r="D491">
        <v>-4.5999999999999999E-3</v>
      </c>
      <c r="E491">
        <v>-3.2799999999999996E-2</v>
      </c>
    </row>
    <row r="492" spans="1:9" x14ac:dyDescent="0.25">
      <c r="A492">
        <v>201511</v>
      </c>
      <c r="B492">
        <v>5.6999999999999993E-3</v>
      </c>
      <c r="C492">
        <v>3.5900000000000001E-2</v>
      </c>
      <c r="D492">
        <v>-4.1999999999999997E-3</v>
      </c>
      <c r="E492">
        <v>2.2799999999999997E-2</v>
      </c>
    </row>
    <row r="493" spans="1:9" x14ac:dyDescent="0.25">
      <c r="A493">
        <v>201512</v>
      </c>
      <c r="B493">
        <v>-2.1700000000000001E-2</v>
      </c>
      <c r="C493">
        <v>-2.8500000000000001E-2</v>
      </c>
      <c r="D493">
        <v>-2.6099999999999998E-2</v>
      </c>
      <c r="E493">
        <v>3.3599999999999998E-2</v>
      </c>
    </row>
    <row r="494" spans="1:9" x14ac:dyDescent="0.25">
      <c r="A494">
        <v>201601</v>
      </c>
      <c r="B494">
        <v>-5.7699999999999994E-2</v>
      </c>
      <c r="C494">
        <v>-3.4200000000000001E-2</v>
      </c>
      <c r="D494">
        <v>2.0899999999999998E-2</v>
      </c>
      <c r="E494">
        <v>1.44E-2</v>
      </c>
    </row>
    <row r="495" spans="1:9" x14ac:dyDescent="0.25">
      <c r="A495">
        <v>201602</v>
      </c>
      <c r="B495">
        <v>-7.000000000000001E-4</v>
      </c>
      <c r="C495">
        <v>7.4000000000000003E-3</v>
      </c>
      <c r="D495">
        <v>-5.6999999999999993E-3</v>
      </c>
      <c r="E495">
        <v>-4.3799999999999999E-2</v>
      </c>
    </row>
    <row r="496" spans="1:9" x14ac:dyDescent="0.25">
      <c r="A496">
        <v>201603</v>
      </c>
      <c r="B496">
        <v>6.9599999999999995E-2</v>
      </c>
      <c r="C496">
        <v>8.199999999999999E-3</v>
      </c>
      <c r="D496">
        <v>1.1899999999999999E-2</v>
      </c>
      <c r="E496">
        <v>-5.0099999999999999E-2</v>
      </c>
    </row>
    <row r="497" spans="1:5" x14ac:dyDescent="0.25">
      <c r="A497">
        <v>201604</v>
      </c>
      <c r="B497">
        <v>9.1000000000000004E-3</v>
      </c>
      <c r="C497">
        <v>7.6E-3</v>
      </c>
      <c r="D497">
        <v>3.2799999999999996E-2</v>
      </c>
      <c r="E497">
        <v>-6.0199999999999997E-2</v>
      </c>
    </row>
    <row r="498" spans="1:5" x14ac:dyDescent="0.25">
      <c r="A498">
        <v>201605</v>
      </c>
      <c r="B498">
        <v>1.78E-2</v>
      </c>
      <c r="C498">
        <v>-1.7000000000000001E-3</v>
      </c>
      <c r="D498">
        <v>-1.66E-2</v>
      </c>
      <c r="E498">
        <v>1.43E-2</v>
      </c>
    </row>
    <row r="499" spans="1:5" x14ac:dyDescent="0.25">
      <c r="A499">
        <v>201606</v>
      </c>
      <c r="B499">
        <v>-5.0000000000000001E-4</v>
      </c>
      <c r="C499">
        <v>6.0999999999999995E-3</v>
      </c>
      <c r="D499">
        <v>-1.4800000000000001E-2</v>
      </c>
      <c r="E499">
        <v>4.1500000000000002E-2</v>
      </c>
    </row>
    <row r="500" spans="1:5" x14ac:dyDescent="0.25">
      <c r="A500">
        <v>201607</v>
      </c>
      <c r="B500">
        <v>3.95E-2</v>
      </c>
      <c r="C500">
        <v>2.4900000000000002E-2</v>
      </c>
      <c r="D500">
        <v>-1.32E-2</v>
      </c>
      <c r="E500">
        <v>-3.3399999999999999E-2</v>
      </c>
    </row>
    <row r="501" spans="1:5" x14ac:dyDescent="0.25">
      <c r="A501">
        <v>201608</v>
      </c>
      <c r="B501">
        <v>4.8999999999999998E-3</v>
      </c>
      <c r="C501">
        <v>1.1599999999999999E-2</v>
      </c>
      <c r="D501">
        <v>3.1800000000000002E-2</v>
      </c>
      <c r="E501">
        <v>-3.4799999999999998E-2</v>
      </c>
    </row>
    <row r="502" spans="1:5" x14ac:dyDescent="0.25">
      <c r="A502">
        <v>201609</v>
      </c>
      <c r="B502">
        <v>2.5000000000000001E-3</v>
      </c>
      <c r="C502">
        <v>2.12E-2</v>
      </c>
      <c r="D502">
        <v>-1.24E-2</v>
      </c>
      <c r="E502">
        <v>1.9E-3</v>
      </c>
    </row>
    <row r="503" spans="1:5" x14ac:dyDescent="0.25">
      <c r="A503">
        <v>201610</v>
      </c>
      <c r="B503">
        <v>-2.0199999999999999E-2</v>
      </c>
      <c r="C503">
        <v>-4.4000000000000004E-2</v>
      </c>
      <c r="D503">
        <v>4.0899999999999999E-2</v>
      </c>
      <c r="E503">
        <v>5.8999999999999999E-3</v>
      </c>
    </row>
    <row r="504" spans="1:5" x14ac:dyDescent="0.25">
      <c r="A504">
        <v>201611</v>
      </c>
      <c r="B504">
        <v>4.8600000000000004E-2</v>
      </c>
      <c r="C504">
        <v>5.7099999999999998E-2</v>
      </c>
      <c r="D504">
        <v>8.2100000000000006E-2</v>
      </c>
      <c r="E504">
        <v>-4.6300000000000001E-2</v>
      </c>
    </row>
    <row r="505" spans="1:5" x14ac:dyDescent="0.25">
      <c r="A505">
        <v>201612</v>
      </c>
      <c r="B505">
        <v>1.8200000000000001E-2</v>
      </c>
      <c r="C505">
        <v>1E-3</v>
      </c>
      <c r="D505">
        <v>3.5299999999999998E-2</v>
      </c>
      <c r="E505">
        <v>-2.5000000000000001E-3</v>
      </c>
    </row>
    <row r="506" spans="1:5" x14ac:dyDescent="0.25">
      <c r="A506">
        <v>201701</v>
      </c>
      <c r="B506">
        <v>1.9400000000000001E-2</v>
      </c>
      <c r="C506">
        <v>-1.18E-2</v>
      </c>
      <c r="D506">
        <v>-2.75E-2</v>
      </c>
      <c r="E506">
        <v>-9.300000000000001E-3</v>
      </c>
    </row>
    <row r="507" spans="1:5" x14ac:dyDescent="0.25">
      <c r="A507">
        <v>201702</v>
      </c>
      <c r="B507">
        <v>3.5699999999999996E-2</v>
      </c>
      <c r="C507">
        <v>-2.0499999999999997E-2</v>
      </c>
      <c r="D507">
        <v>-1.67E-2</v>
      </c>
      <c r="E507">
        <v>-1.6500000000000001E-2</v>
      </c>
    </row>
    <row r="508" spans="1:5" x14ac:dyDescent="0.25">
      <c r="A508">
        <v>201703</v>
      </c>
      <c r="B508">
        <v>1.7000000000000001E-3</v>
      </c>
      <c r="C508">
        <v>1.1399999999999999E-2</v>
      </c>
      <c r="D508">
        <v>-3.3500000000000002E-2</v>
      </c>
      <c r="E508">
        <v>-1.03E-2</v>
      </c>
    </row>
    <row r="509" spans="1:5" x14ac:dyDescent="0.25">
      <c r="A509">
        <v>201704</v>
      </c>
      <c r="B509">
        <v>1.09E-2</v>
      </c>
      <c r="C509">
        <v>7.3000000000000001E-3</v>
      </c>
      <c r="D509">
        <v>-2.1299999999999999E-2</v>
      </c>
      <c r="E509">
        <v>4.8999999999999998E-3</v>
      </c>
    </row>
    <row r="510" spans="1:5" x14ac:dyDescent="0.25">
      <c r="A510">
        <v>201705</v>
      </c>
      <c r="B510">
        <v>1.06E-2</v>
      </c>
      <c r="C510">
        <v>-2.5699999999999997E-2</v>
      </c>
      <c r="D510">
        <v>-3.78E-2</v>
      </c>
      <c r="E510">
        <v>1.4800000000000001E-2</v>
      </c>
    </row>
    <row r="511" spans="1:5" x14ac:dyDescent="0.25">
      <c r="A511">
        <v>201706</v>
      </c>
      <c r="B511">
        <v>7.8000000000000005E-3</v>
      </c>
      <c r="C511">
        <v>2.2499999999999999E-2</v>
      </c>
      <c r="D511">
        <v>1.4800000000000001E-2</v>
      </c>
      <c r="E511">
        <v>-1.1000000000000001E-3</v>
      </c>
    </row>
    <row r="512" spans="1:5" x14ac:dyDescent="0.25">
      <c r="A512">
        <v>201707</v>
      </c>
      <c r="B512">
        <v>1.8700000000000001E-2</v>
      </c>
      <c r="C512">
        <v>-1.4999999999999999E-2</v>
      </c>
      <c r="D512">
        <v>-3.0999999999999999E-3</v>
      </c>
      <c r="E512">
        <v>1.6899999999999998E-2</v>
      </c>
    </row>
    <row r="513" spans="1:5" x14ac:dyDescent="0.25">
      <c r="A513">
        <v>201708</v>
      </c>
      <c r="B513">
        <v>1.6000000000000001E-3</v>
      </c>
      <c r="C513">
        <v>-1.67E-2</v>
      </c>
      <c r="D513">
        <v>-2.1000000000000001E-2</v>
      </c>
      <c r="E513">
        <v>3.3000000000000002E-2</v>
      </c>
    </row>
    <row r="514" spans="1:5" x14ac:dyDescent="0.25">
      <c r="A514">
        <v>201709</v>
      </c>
      <c r="B514">
        <v>2.5099999999999997E-2</v>
      </c>
      <c r="C514">
        <v>4.4699999999999997E-2</v>
      </c>
      <c r="D514">
        <v>3.1200000000000002E-2</v>
      </c>
      <c r="E514">
        <v>-1.3300000000000001E-2</v>
      </c>
    </row>
    <row r="515" spans="1:5" x14ac:dyDescent="0.25">
      <c r="A515">
        <v>201710</v>
      </c>
      <c r="B515">
        <v>2.2499999999999999E-2</v>
      </c>
      <c r="C515">
        <v>-1.9400000000000001E-2</v>
      </c>
      <c r="D515">
        <v>1.9E-3</v>
      </c>
      <c r="E515">
        <v>4.2699999999999995E-2</v>
      </c>
    </row>
    <row r="516" spans="1:5" x14ac:dyDescent="0.25">
      <c r="A516">
        <v>201711</v>
      </c>
      <c r="B516">
        <v>3.1200000000000002E-2</v>
      </c>
      <c r="C516">
        <v>-5.4000000000000003E-3</v>
      </c>
      <c r="D516">
        <v>-2.9999999999999997E-4</v>
      </c>
      <c r="E516">
        <v>-9.1999999999999998E-3</v>
      </c>
    </row>
    <row r="517" spans="1:5" x14ac:dyDescent="0.25">
      <c r="A517">
        <v>201712</v>
      </c>
      <c r="B517">
        <v>1.06E-2</v>
      </c>
      <c r="C517">
        <v>-1.32E-2</v>
      </c>
      <c r="D517">
        <v>5.9999999999999995E-4</v>
      </c>
      <c r="E517">
        <v>-1.54E-2</v>
      </c>
    </row>
    <row r="518" spans="1:5" x14ac:dyDescent="0.25">
      <c r="A518">
        <v>201801</v>
      </c>
      <c r="B518">
        <v>5.57E-2</v>
      </c>
      <c r="C518">
        <v>-3.1200000000000002E-2</v>
      </c>
      <c r="D518">
        <v>-1.2800000000000001E-2</v>
      </c>
      <c r="E518">
        <v>4.0500000000000001E-2</v>
      </c>
    </row>
    <row r="519" spans="1:5" x14ac:dyDescent="0.25">
      <c r="A519">
        <v>201802</v>
      </c>
      <c r="B519">
        <v>-3.6499999999999998E-2</v>
      </c>
      <c r="C519">
        <v>2.5999999999999999E-3</v>
      </c>
      <c r="D519">
        <v>-1.04E-2</v>
      </c>
      <c r="E519">
        <v>3.5499999999999997E-2</v>
      </c>
    </row>
    <row r="520" spans="1:5" x14ac:dyDescent="0.25">
      <c r="A520">
        <v>201803</v>
      </c>
      <c r="B520">
        <v>-2.35E-2</v>
      </c>
      <c r="C520">
        <v>4.0599999999999997E-2</v>
      </c>
      <c r="D520">
        <v>-2E-3</v>
      </c>
      <c r="E520">
        <v>-1.1299999999999999E-2</v>
      </c>
    </row>
    <row r="521" spans="1:5" x14ac:dyDescent="0.25">
      <c r="A521">
        <v>201804</v>
      </c>
      <c r="B521">
        <v>2.8999999999999998E-3</v>
      </c>
      <c r="C521">
        <v>1.1299999999999999E-2</v>
      </c>
      <c r="D521">
        <v>5.4000000000000003E-3</v>
      </c>
      <c r="E521">
        <v>3.7000000000000002E-3</v>
      </c>
    </row>
    <row r="522" spans="1:5" x14ac:dyDescent="0.25">
      <c r="A522">
        <v>201805</v>
      </c>
      <c r="B522">
        <v>2.6499999999999999E-2</v>
      </c>
      <c r="C522">
        <v>5.2600000000000001E-2</v>
      </c>
      <c r="D522">
        <v>-3.2199999999999999E-2</v>
      </c>
      <c r="E522">
        <v>3.8699999999999998E-2</v>
      </c>
    </row>
    <row r="523" spans="1:5" x14ac:dyDescent="0.25">
      <c r="A523">
        <v>201806</v>
      </c>
      <c r="B523">
        <v>4.7999999999999996E-3</v>
      </c>
      <c r="C523">
        <v>1.1399999999999999E-2</v>
      </c>
      <c r="D523">
        <v>-2.3300000000000001E-2</v>
      </c>
      <c r="E523">
        <v>-2.3599999999999999E-2</v>
      </c>
    </row>
    <row r="524" spans="1:5" x14ac:dyDescent="0.25">
      <c r="A524">
        <v>201807</v>
      </c>
      <c r="B524">
        <v>3.1899999999999998E-2</v>
      </c>
      <c r="C524">
        <v>-2.2200000000000001E-2</v>
      </c>
      <c r="D524">
        <v>4.5000000000000005E-3</v>
      </c>
      <c r="E524">
        <v>-1.4199999999999999E-2</v>
      </c>
    </row>
    <row r="525" spans="1:5" x14ac:dyDescent="0.25">
      <c r="A525">
        <v>201808</v>
      </c>
      <c r="B525">
        <v>3.44E-2</v>
      </c>
      <c r="C525">
        <v>1.15E-2</v>
      </c>
      <c r="D525">
        <v>-0.04</v>
      </c>
      <c r="E525">
        <v>5.28E-2</v>
      </c>
    </row>
    <row r="526" spans="1:5" x14ac:dyDescent="0.25">
      <c r="A526">
        <v>201809</v>
      </c>
      <c r="B526">
        <v>5.9999999999999995E-4</v>
      </c>
      <c r="C526">
        <v>-2.29E-2</v>
      </c>
      <c r="D526">
        <v>-1.7100000000000001E-2</v>
      </c>
      <c r="E526">
        <v>4.0000000000000002E-4</v>
      </c>
    </row>
    <row r="527" spans="1:5" x14ac:dyDescent="0.25">
      <c r="A527">
        <v>201810</v>
      </c>
      <c r="B527">
        <v>-7.6799999999999993E-2</v>
      </c>
      <c r="C527">
        <v>-4.7400000000000005E-2</v>
      </c>
      <c r="D527">
        <v>3.4000000000000002E-2</v>
      </c>
      <c r="E527">
        <v>-2.07E-2</v>
      </c>
    </row>
    <row r="528" spans="1:5" x14ac:dyDescent="0.25">
      <c r="A528">
        <v>201811</v>
      </c>
      <c r="B528">
        <v>1.6899999999999998E-2</v>
      </c>
      <c r="C528">
        <v>-6.8000000000000005E-3</v>
      </c>
      <c r="D528">
        <v>2.8000000000000004E-3</v>
      </c>
      <c r="E528">
        <v>-1.37E-2</v>
      </c>
    </row>
    <row r="529" spans="1:5" x14ac:dyDescent="0.25">
      <c r="A529">
        <v>201812</v>
      </c>
      <c r="B529">
        <v>-9.5700000000000007E-2</v>
      </c>
      <c r="C529">
        <v>-2.3700000000000002E-2</v>
      </c>
      <c r="D529">
        <v>-1.8799999999999997E-2</v>
      </c>
      <c r="E529">
        <v>2.1099999999999997E-2</v>
      </c>
    </row>
    <row r="530" spans="1:5" x14ac:dyDescent="0.25">
      <c r="A530">
        <v>201901</v>
      </c>
      <c r="B530">
        <v>8.4000000000000005E-2</v>
      </c>
      <c r="C530">
        <v>2.8799999999999999E-2</v>
      </c>
      <c r="D530">
        <v>-4.5000000000000005E-3</v>
      </c>
      <c r="E530">
        <v>-8.6599999999999996E-2</v>
      </c>
    </row>
    <row r="531" spans="1:5" x14ac:dyDescent="0.25">
      <c r="A531">
        <v>201902</v>
      </c>
      <c r="B531">
        <v>3.4000000000000002E-2</v>
      </c>
      <c r="C531">
        <v>2.06E-2</v>
      </c>
      <c r="D531">
        <v>-2.7099999999999999E-2</v>
      </c>
      <c r="E531">
        <v>8.5000000000000006E-3</v>
      </c>
    </row>
    <row r="532" spans="1:5" x14ac:dyDescent="0.25">
      <c r="A532">
        <v>201903</v>
      </c>
      <c r="B532">
        <v>1.1000000000000001E-2</v>
      </c>
      <c r="C532">
        <v>-3.0499999999999999E-2</v>
      </c>
      <c r="D532">
        <v>-4.1200000000000001E-2</v>
      </c>
      <c r="E532">
        <v>2.1899999999999999E-2</v>
      </c>
    </row>
    <row r="533" spans="1:5" x14ac:dyDescent="0.25">
      <c r="A533">
        <v>201904</v>
      </c>
      <c r="B533">
        <v>3.9699999999999999E-2</v>
      </c>
      <c r="C533">
        <v>-1.72E-2</v>
      </c>
      <c r="D533">
        <v>2.1600000000000001E-2</v>
      </c>
      <c r="E533">
        <v>-2.9700000000000001E-2</v>
      </c>
    </row>
    <row r="534" spans="1:5" x14ac:dyDescent="0.25">
      <c r="A534">
        <v>201905</v>
      </c>
      <c r="B534">
        <v>-6.9400000000000003E-2</v>
      </c>
      <c r="C534">
        <v>-1.3100000000000001E-2</v>
      </c>
      <c r="D534">
        <v>-2.3700000000000002E-2</v>
      </c>
      <c r="E534">
        <v>7.5800000000000006E-2</v>
      </c>
    </row>
    <row r="535" spans="1:5" x14ac:dyDescent="0.25">
      <c r="A535">
        <v>201906</v>
      </c>
      <c r="B535">
        <v>6.93E-2</v>
      </c>
      <c r="C535">
        <v>2.8000000000000004E-3</v>
      </c>
      <c r="D535">
        <v>-6.9999999999999993E-3</v>
      </c>
      <c r="E535">
        <v>-2.2499999999999999E-2</v>
      </c>
    </row>
    <row r="536" spans="1:5" x14ac:dyDescent="0.25">
      <c r="A536">
        <v>201907</v>
      </c>
      <c r="B536">
        <v>1.1899999999999999E-2</v>
      </c>
      <c r="C536">
        <v>-1.9299999999999998E-2</v>
      </c>
      <c r="D536">
        <v>4.6999999999999993E-3</v>
      </c>
      <c r="E536">
        <v>2.8799999999999999E-2</v>
      </c>
    </row>
    <row r="537" spans="1:5" x14ac:dyDescent="0.25">
      <c r="A537">
        <v>201908</v>
      </c>
      <c r="B537">
        <v>-2.58E-2</v>
      </c>
      <c r="C537">
        <v>-2.3900000000000001E-2</v>
      </c>
      <c r="D537">
        <v>-4.7899999999999998E-2</v>
      </c>
      <c r="E537">
        <v>6.9099999999999995E-2</v>
      </c>
    </row>
    <row r="538" spans="1:5" x14ac:dyDescent="0.25">
      <c r="A538">
        <v>201909</v>
      </c>
      <c r="B538">
        <v>1.43E-2</v>
      </c>
      <c r="C538">
        <v>-9.7000000000000003E-3</v>
      </c>
      <c r="D538">
        <v>6.7699999999999996E-2</v>
      </c>
      <c r="E538">
        <v>-6.83E-2</v>
      </c>
    </row>
    <row r="539" spans="1:5" x14ac:dyDescent="0.25">
      <c r="A539">
        <v>201910</v>
      </c>
      <c r="B539">
        <v>2.06E-2</v>
      </c>
      <c r="C539">
        <v>2.8999999999999998E-3</v>
      </c>
      <c r="D539">
        <v>-1.9E-2</v>
      </c>
      <c r="E539">
        <v>1.5E-3</v>
      </c>
    </row>
    <row r="540" spans="1:5" x14ac:dyDescent="0.25">
      <c r="A540">
        <v>201911</v>
      </c>
      <c r="B540">
        <v>3.8800000000000001E-2</v>
      </c>
      <c r="C540">
        <v>7.8000000000000005E-3</v>
      </c>
      <c r="D540">
        <v>-1.9900000000000001E-2</v>
      </c>
      <c r="E540">
        <v>-2.64E-2</v>
      </c>
    </row>
    <row r="541" spans="1:5" x14ac:dyDescent="0.25">
      <c r="A541">
        <v>201912</v>
      </c>
      <c r="B541">
        <v>2.7699999999999999E-2</v>
      </c>
      <c r="C541">
        <v>7.3000000000000001E-3</v>
      </c>
      <c r="D541">
        <v>1.78E-2</v>
      </c>
      <c r="E541">
        <v>-1.8700000000000001E-2</v>
      </c>
    </row>
    <row r="542" spans="1:5" x14ac:dyDescent="0.25">
      <c r="A542">
        <v>202001</v>
      </c>
      <c r="B542">
        <v>-1.1000000000000001E-3</v>
      </c>
      <c r="C542">
        <v>-3.1300000000000001E-2</v>
      </c>
      <c r="D542">
        <v>-6.25E-2</v>
      </c>
      <c r="E542">
        <v>5.9699999999999996E-2</v>
      </c>
    </row>
    <row r="543" spans="1:5" x14ac:dyDescent="0.25">
      <c r="A543">
        <v>202002</v>
      </c>
      <c r="B543">
        <v>-8.1300000000000011E-2</v>
      </c>
      <c r="C543">
        <v>1.0700000000000001E-2</v>
      </c>
      <c r="D543">
        <v>-3.7999999999999999E-2</v>
      </c>
      <c r="E543">
        <v>-3.4999999999999996E-3</v>
      </c>
    </row>
    <row r="544" spans="1:5" x14ac:dyDescent="0.25">
      <c r="A544">
        <v>202003</v>
      </c>
      <c r="B544">
        <v>-0.13390000000000002</v>
      </c>
      <c r="C544">
        <v>-4.7899999999999998E-2</v>
      </c>
      <c r="D544">
        <v>-0.13880000000000001</v>
      </c>
      <c r="E544">
        <v>7.9600000000000004E-2</v>
      </c>
    </row>
    <row r="545" spans="1:5" x14ac:dyDescent="0.25">
      <c r="A545">
        <v>202004</v>
      </c>
      <c r="B545">
        <v>0.13650000000000001</v>
      </c>
      <c r="C545">
        <v>2.4500000000000001E-2</v>
      </c>
      <c r="D545">
        <v>-1.34E-2</v>
      </c>
      <c r="E545">
        <v>-5.2600000000000001E-2</v>
      </c>
    </row>
    <row r="546" spans="1:5" x14ac:dyDescent="0.25">
      <c r="A546">
        <v>202005</v>
      </c>
      <c r="B546">
        <v>5.5800000000000002E-2</v>
      </c>
      <c r="C546">
        <v>2.4900000000000002E-2</v>
      </c>
      <c r="D546">
        <v>-4.8499999999999995E-2</v>
      </c>
      <c r="E546">
        <v>4.0999999999999995E-3</v>
      </c>
    </row>
    <row r="547" spans="1:5" x14ac:dyDescent="0.25">
      <c r="A547">
        <v>202006</v>
      </c>
      <c r="B547">
        <v>2.46E-2</v>
      </c>
      <c r="C547">
        <v>2.69E-2</v>
      </c>
      <c r="D547">
        <v>-2.23E-2</v>
      </c>
      <c r="E547">
        <v>-7.3000000000000001E-3</v>
      </c>
    </row>
    <row r="548" spans="1:5" x14ac:dyDescent="0.25">
      <c r="A548">
        <v>202007</v>
      </c>
      <c r="B548">
        <v>5.7699999999999994E-2</v>
      </c>
      <c r="C548">
        <v>-2.3E-2</v>
      </c>
      <c r="D548">
        <v>-1.44E-2</v>
      </c>
      <c r="E548">
        <v>7.5899999999999995E-2</v>
      </c>
    </row>
    <row r="549" spans="1:5" x14ac:dyDescent="0.25">
      <c r="A549">
        <v>202008</v>
      </c>
      <c r="B549">
        <v>7.6299999999999993E-2</v>
      </c>
      <c r="C549">
        <v>-2.8000000000000004E-3</v>
      </c>
      <c r="D549">
        <v>-2.8799999999999999E-2</v>
      </c>
      <c r="E549">
        <v>4.4000000000000003E-3</v>
      </c>
    </row>
    <row r="550" spans="1:5" x14ac:dyDescent="0.25">
      <c r="A550">
        <v>202009</v>
      </c>
      <c r="B550">
        <v>-3.6299999999999999E-2</v>
      </c>
      <c r="C550">
        <v>-2.9999999999999997E-4</v>
      </c>
      <c r="D550">
        <v>-2.6499999999999999E-2</v>
      </c>
      <c r="E550">
        <v>3.1400000000000004E-2</v>
      </c>
    </row>
    <row r="551" spans="1:5" x14ac:dyDescent="0.25">
      <c r="A551">
        <v>202010</v>
      </c>
      <c r="B551">
        <v>-2.1000000000000001E-2</v>
      </c>
      <c r="C551">
        <v>4.2699999999999995E-2</v>
      </c>
      <c r="D551">
        <v>4.3099999999999999E-2</v>
      </c>
      <c r="E551">
        <v>-3.2000000000000001E-2</v>
      </c>
    </row>
    <row r="552" spans="1:5" x14ac:dyDescent="0.25">
      <c r="A552">
        <v>202011</v>
      </c>
      <c r="B552">
        <v>0.12470000000000001</v>
      </c>
      <c r="C552">
        <v>5.7200000000000001E-2</v>
      </c>
      <c r="D552">
        <v>2.1499999999999998E-2</v>
      </c>
      <c r="E552">
        <v>-0.12470000000000001</v>
      </c>
    </row>
    <row r="553" spans="1:5" x14ac:dyDescent="0.25">
      <c r="A553">
        <v>202012</v>
      </c>
      <c r="B553">
        <v>4.6300000000000001E-2</v>
      </c>
      <c r="C553">
        <v>4.7899999999999998E-2</v>
      </c>
      <c r="D553">
        <v>-1.34E-2</v>
      </c>
      <c r="E553">
        <v>-2.3799999999999998E-2</v>
      </c>
    </row>
    <row r="554" spans="1:5" x14ac:dyDescent="0.25">
      <c r="A554">
        <v>202101</v>
      </c>
      <c r="B554">
        <v>-2.9999999999999997E-4</v>
      </c>
      <c r="C554">
        <v>7.4999999999999997E-2</v>
      </c>
      <c r="D554">
        <v>2.8500000000000001E-2</v>
      </c>
      <c r="E554">
        <v>4.53E-2</v>
      </c>
    </row>
    <row r="555" spans="1:5" x14ac:dyDescent="0.25">
      <c r="A555">
        <v>202102</v>
      </c>
      <c r="B555">
        <v>2.7799999999999998E-2</v>
      </c>
      <c r="C555">
        <v>2.07E-2</v>
      </c>
      <c r="D555">
        <v>7.0999999999999994E-2</v>
      </c>
      <c r="E555">
        <v>-7.9299999999999995E-2</v>
      </c>
    </row>
    <row r="556" spans="1:5" x14ac:dyDescent="0.25">
      <c r="A556">
        <v>202103</v>
      </c>
      <c r="B556">
        <v>3.0800000000000001E-2</v>
      </c>
      <c r="C556">
        <v>-2.2799999999999997E-2</v>
      </c>
      <c r="D556">
        <v>7.2700000000000001E-2</v>
      </c>
      <c r="E556">
        <v>-6.1600000000000002E-2</v>
      </c>
    </row>
    <row r="557" spans="1:5" x14ac:dyDescent="0.25">
      <c r="A557">
        <v>202104</v>
      </c>
      <c r="B557">
        <v>4.9299999999999997E-2</v>
      </c>
      <c r="C557">
        <v>-3.2000000000000001E-2</v>
      </c>
      <c r="D557">
        <v>-9.4999999999999998E-3</v>
      </c>
      <c r="E557">
        <v>1.2199999999999999E-2</v>
      </c>
    </row>
    <row r="558" spans="1:5" x14ac:dyDescent="0.25">
      <c r="A558">
        <v>202105</v>
      </c>
      <c r="B558">
        <v>2.8999999999999998E-3</v>
      </c>
      <c r="C558">
        <v>-2.7000000000000001E-3</v>
      </c>
      <c r="D558">
        <v>7.1300000000000002E-2</v>
      </c>
      <c r="E558">
        <v>9.0000000000000011E-3</v>
      </c>
    </row>
    <row r="559" spans="1:5" x14ac:dyDescent="0.25">
      <c r="A559">
        <v>202106</v>
      </c>
      <c r="B559">
        <v>2.75E-2</v>
      </c>
      <c r="C559">
        <v>1.6E-2</v>
      </c>
      <c r="D559">
        <v>-7.7499999999999999E-2</v>
      </c>
      <c r="E559">
        <v>2.1600000000000001E-2</v>
      </c>
    </row>
    <row r="560" spans="1:5" x14ac:dyDescent="0.25">
      <c r="A560">
        <v>202107</v>
      </c>
      <c r="B560">
        <v>1.2699999999999999E-2</v>
      </c>
      <c r="C560">
        <v>-3.9399999999999998E-2</v>
      </c>
      <c r="D560">
        <v>-1.8100000000000002E-2</v>
      </c>
      <c r="E560">
        <v>-2.3099999999999999E-2</v>
      </c>
    </row>
    <row r="561" spans="1:5" x14ac:dyDescent="0.25">
      <c r="A561">
        <v>202108</v>
      </c>
      <c r="B561">
        <v>2.9100000000000001E-2</v>
      </c>
      <c r="C561">
        <v>-4.5999999999999999E-3</v>
      </c>
      <c r="D561">
        <v>-1E-3</v>
      </c>
      <c r="E561">
        <v>2.4900000000000002E-2</v>
      </c>
    </row>
    <row r="562" spans="1:5" x14ac:dyDescent="0.25">
      <c r="A562">
        <v>202109</v>
      </c>
      <c r="B562">
        <v>-4.3700000000000003E-2</v>
      </c>
      <c r="C562">
        <v>6.7000000000000002E-3</v>
      </c>
      <c r="D562">
        <v>5.0999999999999997E-2</v>
      </c>
      <c r="E562">
        <v>1.4999999999999999E-2</v>
      </c>
    </row>
    <row r="563" spans="1:5" x14ac:dyDescent="0.25">
      <c r="A563">
        <v>202110</v>
      </c>
      <c r="B563">
        <v>6.6500000000000004E-2</v>
      </c>
      <c r="C563">
        <v>-2.3700000000000002E-2</v>
      </c>
      <c r="D563">
        <v>-4.5000000000000005E-3</v>
      </c>
      <c r="E563">
        <v>3.2400000000000005E-2</v>
      </c>
    </row>
    <row r="564" spans="1:5" x14ac:dyDescent="0.25">
      <c r="A564">
        <v>202111</v>
      </c>
      <c r="B564">
        <v>-1.55E-2</v>
      </c>
      <c r="C564">
        <v>-1.32E-2</v>
      </c>
      <c r="D564">
        <v>-4.0999999999999995E-3</v>
      </c>
      <c r="E564">
        <v>8.6E-3</v>
      </c>
    </row>
    <row r="565" spans="1:5" x14ac:dyDescent="0.25">
      <c r="A565">
        <v>202112</v>
      </c>
      <c r="B565">
        <v>3.1E-2</v>
      </c>
      <c r="C565">
        <v>-1.6399999999999998E-2</v>
      </c>
      <c r="D565">
        <v>3.2199999999999999E-2</v>
      </c>
      <c r="E565">
        <v>-2.7400000000000001E-2</v>
      </c>
    </row>
    <row r="566" spans="1:5" x14ac:dyDescent="0.25">
      <c r="A566">
        <v>202201</v>
      </c>
      <c r="B566">
        <v>-6.25E-2</v>
      </c>
      <c r="C566">
        <v>-5.96E-2</v>
      </c>
      <c r="D566">
        <v>0.128</v>
      </c>
      <c r="E566">
        <v>-2.6200000000000001E-2</v>
      </c>
    </row>
    <row r="567" spans="1:5" x14ac:dyDescent="0.25">
      <c r="A567">
        <v>202202</v>
      </c>
      <c r="B567">
        <v>-2.29E-2</v>
      </c>
      <c r="C567">
        <v>2.1899999999999999E-2</v>
      </c>
      <c r="D567">
        <v>3.1E-2</v>
      </c>
      <c r="E567">
        <v>1.77E-2</v>
      </c>
    </row>
    <row r="568" spans="1:5" x14ac:dyDescent="0.25">
      <c r="A568">
        <v>202203</v>
      </c>
      <c r="B568">
        <v>3.0600000000000002E-2</v>
      </c>
      <c r="C568">
        <v>-1.66E-2</v>
      </c>
      <c r="D568">
        <v>-1.7600000000000001E-2</v>
      </c>
      <c r="E568">
        <v>2.9700000000000001E-2</v>
      </c>
    </row>
    <row r="569" spans="1:5" x14ac:dyDescent="0.25">
      <c r="A569">
        <v>202204</v>
      </c>
      <c r="B569">
        <v>-9.4600000000000004E-2</v>
      </c>
      <c r="C569">
        <v>-1.38E-2</v>
      </c>
      <c r="D569">
        <v>6.1699999999999998E-2</v>
      </c>
      <c r="E569">
        <v>4.87E-2</v>
      </c>
    </row>
    <row r="570" spans="1:5" x14ac:dyDescent="0.25">
      <c r="A570">
        <v>202205</v>
      </c>
      <c r="B570">
        <v>-3.4000000000000002E-3</v>
      </c>
      <c r="C570">
        <v>-1.9599999999999999E-2</v>
      </c>
      <c r="D570">
        <v>8.5900000000000004E-2</v>
      </c>
      <c r="E570">
        <v>2.46E-2</v>
      </c>
    </row>
    <row r="571" spans="1:5" x14ac:dyDescent="0.25">
      <c r="A571">
        <v>202206</v>
      </c>
      <c r="B571">
        <v>-8.4399999999999989E-2</v>
      </c>
      <c r="C571">
        <v>2.18E-2</v>
      </c>
      <c r="D571">
        <v>-6.0999999999999999E-2</v>
      </c>
      <c r="E571">
        <v>7.3000000000000001E-3</v>
      </c>
    </row>
    <row r="572" spans="1:5" x14ac:dyDescent="0.25">
      <c r="A572">
        <v>202207</v>
      </c>
      <c r="B572">
        <v>9.5700000000000007E-2</v>
      </c>
      <c r="C572">
        <v>2.7999999999999997E-2</v>
      </c>
      <c r="D572">
        <v>-4.0300000000000002E-2</v>
      </c>
      <c r="E572">
        <v>-3.9399999999999998E-2</v>
      </c>
    </row>
    <row r="573" spans="1:5" x14ac:dyDescent="0.25">
      <c r="A573">
        <v>202208</v>
      </c>
      <c r="B573">
        <v>-3.7699999999999997E-2</v>
      </c>
      <c r="C573">
        <v>1.3999999999999999E-2</v>
      </c>
      <c r="D573">
        <v>2.8999999999999998E-3</v>
      </c>
      <c r="E573">
        <v>2.1000000000000001E-2</v>
      </c>
    </row>
    <row r="574" spans="1:5" x14ac:dyDescent="0.25">
      <c r="A574">
        <v>202209</v>
      </c>
      <c r="B574">
        <v>-9.35E-2</v>
      </c>
      <c r="C574">
        <v>-8.199999999999999E-3</v>
      </c>
      <c r="D574">
        <v>2.0000000000000001E-4</v>
      </c>
      <c r="E574">
        <v>3.5099999999999999E-2</v>
      </c>
    </row>
    <row r="575" spans="1:5" x14ac:dyDescent="0.25">
      <c r="A575">
        <v>202210</v>
      </c>
      <c r="B575">
        <v>7.8299999999999995E-2</v>
      </c>
      <c r="C575">
        <v>7.000000000000001E-4</v>
      </c>
      <c r="D575">
        <v>8.0600000000000005E-2</v>
      </c>
      <c r="E575">
        <v>3.9599999999999996E-2</v>
      </c>
    </row>
    <row r="576" spans="1:5" x14ac:dyDescent="0.25">
      <c r="A576">
        <v>202211</v>
      </c>
      <c r="B576">
        <v>4.6100000000000002E-2</v>
      </c>
      <c r="C576">
        <v>-3.5099999999999999E-2</v>
      </c>
      <c r="D576">
        <v>1.41E-2</v>
      </c>
      <c r="E576">
        <v>-1.9799999999999998E-2</v>
      </c>
    </row>
    <row r="577" spans="1:5" x14ac:dyDescent="0.25">
      <c r="A577">
        <v>202212</v>
      </c>
      <c r="B577">
        <v>-6.4100000000000004E-2</v>
      </c>
      <c r="C577">
        <v>-6.8999999999999999E-3</v>
      </c>
      <c r="D577">
        <v>1.34E-2</v>
      </c>
      <c r="E577">
        <v>4.53E-2</v>
      </c>
    </row>
    <row r="578" spans="1:5" x14ac:dyDescent="0.25">
      <c r="A578">
        <v>202301</v>
      </c>
      <c r="B578">
        <v>6.6400000000000001E-2</v>
      </c>
      <c r="C578">
        <v>5.0099999999999999E-2</v>
      </c>
      <c r="D578">
        <v>-0.04</v>
      </c>
      <c r="E578">
        <v>-0.16020000000000001</v>
      </c>
    </row>
    <row r="579" spans="1:5" x14ac:dyDescent="0.25">
      <c r="A579">
        <v>202302</v>
      </c>
      <c r="B579">
        <v>-2.5899999999999999E-2</v>
      </c>
      <c r="C579">
        <v>1.1699999999999999E-2</v>
      </c>
      <c r="D579">
        <v>-8.3000000000000001E-3</v>
      </c>
      <c r="E579">
        <v>1.2999999999999999E-3</v>
      </c>
    </row>
    <row r="580" spans="1:5" x14ac:dyDescent="0.25">
      <c r="A580">
        <v>202303</v>
      </c>
      <c r="B580">
        <v>2.5099999999999997E-2</v>
      </c>
      <c r="C580">
        <v>-5.5099999999999996E-2</v>
      </c>
      <c r="D580">
        <v>-8.8699999999999987E-2</v>
      </c>
      <c r="E580">
        <v>-2.4500000000000001E-2</v>
      </c>
    </row>
    <row r="581" spans="1:5" x14ac:dyDescent="0.25">
      <c r="A581">
        <v>202304</v>
      </c>
      <c r="B581">
        <v>6.0999999999999995E-3</v>
      </c>
      <c r="C581">
        <v>-3.3599999999999998E-2</v>
      </c>
      <c r="D581">
        <v>-5.0000000000000001E-4</v>
      </c>
      <c r="E581">
        <v>1.6200000000000003E-2</v>
      </c>
    </row>
    <row r="582" spans="1:5" x14ac:dyDescent="0.25">
      <c r="A582">
        <v>202305</v>
      </c>
      <c r="B582">
        <v>3.4999999999999996E-3</v>
      </c>
      <c r="C582">
        <v>1.6E-2</v>
      </c>
      <c r="D582">
        <v>-7.7399999999999997E-2</v>
      </c>
      <c r="E582">
        <v>-6.5000000000000006E-3</v>
      </c>
    </row>
    <row r="583" spans="1:5" x14ac:dyDescent="0.25">
      <c r="A583">
        <v>202306</v>
      </c>
      <c r="B583">
        <v>6.4699999999999994E-2</v>
      </c>
      <c r="C583">
        <v>1.55E-2</v>
      </c>
      <c r="D583">
        <v>-2E-3</v>
      </c>
      <c r="E583">
        <v>-2.35E-2</v>
      </c>
    </row>
    <row r="584" spans="1:5" x14ac:dyDescent="0.25">
      <c r="A584">
        <v>202307</v>
      </c>
      <c r="B584">
        <v>3.2099999999999997E-2</v>
      </c>
      <c r="C584">
        <v>2.0499999999999997E-2</v>
      </c>
      <c r="D584">
        <v>4.1100000000000005E-2</v>
      </c>
      <c r="E584">
        <v>-4.0500000000000001E-2</v>
      </c>
    </row>
    <row r="585" spans="1:5" x14ac:dyDescent="0.25">
      <c r="A585">
        <v>202308</v>
      </c>
      <c r="B585">
        <v>-2.3900000000000001E-2</v>
      </c>
      <c r="C585">
        <v>-3.2000000000000001E-2</v>
      </c>
      <c r="D585">
        <v>-1.0800000000000001E-2</v>
      </c>
      <c r="E585">
        <v>3.7699999999999997E-2</v>
      </c>
    </row>
    <row r="586" spans="1:5" x14ac:dyDescent="0.25">
      <c r="A586">
        <v>202309</v>
      </c>
      <c r="B586">
        <v>-5.2400000000000002E-2</v>
      </c>
      <c r="C586">
        <v>-2.4900000000000002E-2</v>
      </c>
      <c r="D586">
        <v>1.4499999999999999E-2</v>
      </c>
      <c r="E586">
        <v>2.3999999999999998E-3</v>
      </c>
    </row>
    <row r="587" spans="1:5" x14ac:dyDescent="0.25">
      <c r="A587">
        <v>202310</v>
      </c>
      <c r="B587">
        <v>-3.1800000000000002E-2</v>
      </c>
      <c r="C587">
        <v>-3.8800000000000001E-2</v>
      </c>
      <c r="D587">
        <v>1.9E-3</v>
      </c>
      <c r="E587">
        <v>1.6799999999999999E-2</v>
      </c>
    </row>
    <row r="588" spans="1:5" x14ac:dyDescent="0.25">
      <c r="A588">
        <v>202311</v>
      </c>
      <c r="B588">
        <v>8.8300000000000003E-2</v>
      </c>
      <c r="C588">
        <v>-2.9999999999999997E-4</v>
      </c>
      <c r="D588">
        <v>1.66E-2</v>
      </c>
      <c r="E588">
        <v>2.76E-2</v>
      </c>
    </row>
    <row r="589" spans="1:5" x14ac:dyDescent="0.25">
      <c r="A589">
        <v>202312</v>
      </c>
      <c r="B589">
        <v>4.87E-2</v>
      </c>
      <c r="C589">
        <v>6.3600000000000004E-2</v>
      </c>
      <c r="D589">
        <v>4.9200000000000001E-2</v>
      </c>
      <c r="E589">
        <v>-5.4800000000000001E-2</v>
      </c>
    </row>
    <row r="590" spans="1:5" x14ac:dyDescent="0.25">
      <c r="A590">
        <v>202401</v>
      </c>
      <c r="B590">
        <v>7.3000000000000001E-3</v>
      </c>
      <c r="C590">
        <v>-5.0700000000000002E-2</v>
      </c>
      <c r="D590">
        <v>-2.3799999999999998E-2</v>
      </c>
      <c r="E590">
        <v>5.4199999999999998E-2</v>
      </c>
    </row>
    <row r="591" spans="1:5" x14ac:dyDescent="0.25">
      <c r="A591">
        <v>202402</v>
      </c>
      <c r="B591">
        <v>5.0700000000000002E-2</v>
      </c>
      <c r="C591">
        <v>-2.3999999999999998E-3</v>
      </c>
      <c r="D591">
        <v>-3.4300000000000004E-2</v>
      </c>
      <c r="E591">
        <v>4.9000000000000002E-2</v>
      </c>
    </row>
    <row r="592" spans="1:5" x14ac:dyDescent="0.25">
      <c r="A592">
        <v>202403</v>
      </c>
      <c r="B592">
        <v>2.8399999999999998E-2</v>
      </c>
      <c r="C592">
        <v>-2.5000000000000001E-2</v>
      </c>
      <c r="D592">
        <v>4.1599999999999998E-2</v>
      </c>
      <c r="E592">
        <v>-3.2000000000000002E-3</v>
      </c>
    </row>
    <row r="593" spans="1:5" x14ac:dyDescent="0.25">
      <c r="A593">
        <v>202404</v>
      </c>
      <c r="B593">
        <v>-4.6500000000000007E-2</v>
      </c>
      <c r="C593">
        <v>-2.3700000000000002E-2</v>
      </c>
      <c r="D593">
        <v>-4.5000000000000005E-3</v>
      </c>
      <c r="E593">
        <v>-4.3E-3</v>
      </c>
    </row>
    <row r="594" spans="1:5" x14ac:dyDescent="0.25">
      <c r="A594">
        <v>202405</v>
      </c>
      <c r="B594">
        <v>4.3299999999999998E-2</v>
      </c>
      <c r="C594">
        <v>5.5000000000000005E-3</v>
      </c>
      <c r="D594">
        <v>-1.3100000000000001E-2</v>
      </c>
      <c r="E594">
        <v>-1.6000000000000001E-3</v>
      </c>
    </row>
    <row r="595" spans="1:5" x14ac:dyDescent="0.25">
      <c r="A595">
        <v>202406</v>
      </c>
      <c r="B595">
        <v>2.7999999999999997E-2</v>
      </c>
      <c r="C595">
        <v>-0.03</v>
      </c>
      <c r="D595">
        <v>-3.3599999999999998E-2</v>
      </c>
      <c r="E595">
        <v>8.5000000000000006E-3</v>
      </c>
    </row>
    <row r="596" spans="1:5" x14ac:dyDescent="0.25">
      <c r="A596">
        <v>202407</v>
      </c>
      <c r="B596">
        <v>1.2199999999999999E-2</v>
      </c>
      <c r="C596">
        <v>6.8099999999999994E-2</v>
      </c>
      <c r="D596">
        <v>5.62E-2</v>
      </c>
      <c r="E596">
        <v>-2.35E-2</v>
      </c>
    </row>
    <row r="597" spans="1:5" x14ac:dyDescent="0.25">
      <c r="A597">
        <v>202408</v>
      </c>
      <c r="B597">
        <v>1.6E-2</v>
      </c>
      <c r="C597">
        <v>-3.49E-2</v>
      </c>
      <c r="D597">
        <v>-1.1000000000000001E-2</v>
      </c>
      <c r="E597">
        <v>4.8099999999999997E-2</v>
      </c>
    </row>
    <row r="598" spans="1:5" x14ac:dyDescent="0.25">
      <c r="A598">
        <v>202409</v>
      </c>
      <c r="B598">
        <v>1.72E-2</v>
      </c>
      <c r="C598">
        <v>-1.2999999999999999E-3</v>
      </c>
      <c r="D598">
        <v>-2.7699999999999999E-2</v>
      </c>
      <c r="E598">
        <v>-6.1999999999999998E-3</v>
      </c>
    </row>
    <row r="599" spans="1:5" x14ac:dyDescent="0.25">
      <c r="A599">
        <v>202410</v>
      </c>
      <c r="B599">
        <v>-0.01</v>
      </c>
      <c r="C599">
        <v>-9.8999999999999991E-3</v>
      </c>
      <c r="D599">
        <v>8.6E-3</v>
      </c>
      <c r="E599">
        <v>0.03</v>
      </c>
    </row>
    <row r="600" spans="1:5" x14ac:dyDescent="0.25">
      <c r="A600">
        <v>202411</v>
      </c>
      <c r="B600">
        <v>6.4899999999999999E-2</v>
      </c>
      <c r="C600">
        <v>4.4600000000000001E-2</v>
      </c>
      <c r="D600">
        <v>1.5E-3</v>
      </c>
      <c r="E600">
        <v>0.01</v>
      </c>
    </row>
    <row r="601" spans="1:5" x14ac:dyDescent="0.25">
      <c r="A601">
        <v>202412</v>
      </c>
      <c r="B601">
        <v>-3.1699999999999999E-2</v>
      </c>
      <c r="C601">
        <v>-2.7099999999999999E-2</v>
      </c>
      <c r="D601">
        <v>-0.03</v>
      </c>
      <c r="E601">
        <v>-3.0000000000000001E-3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ReturnData</vt:lpstr>
      <vt:lpstr>Momentum Signal</vt:lpstr>
      <vt:lpstr>Monthly Ranks</vt:lpstr>
      <vt:lpstr>HighMomentumPortfolio</vt:lpstr>
      <vt:lpstr>LowMomentumPortfolio</vt:lpstr>
      <vt:lpstr>Other Factor Returns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Bacidore</dc:creator>
  <cp:lastModifiedBy>Ulisse Palmiero</cp:lastModifiedBy>
  <dcterms:created xsi:type="dcterms:W3CDTF">2023-11-03T13:25:33Z</dcterms:created>
  <dcterms:modified xsi:type="dcterms:W3CDTF">2026-04-28T15:16:09Z</dcterms:modified>
</cp:coreProperties>
</file>